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ahue/Papers/ACCEPT2/ApJS/MachineReadableTables/SubmittedVersions/"/>
    </mc:Choice>
  </mc:AlternateContent>
  <xr:revisionPtr revIDLastSave="0" documentId="8_{EB52EDFC-CAFE-DB45-80B1-A7088ECB5874}" xr6:coauthVersionLast="47" xr6:coauthVersionMax="47" xr10:uidLastSave="{00000000-0000-0000-0000-000000000000}"/>
  <bookViews>
    <workbookView xWindow="44240" yWindow="-3080" windowWidth="27260" windowHeight="15960" xr2:uid="{F5DA9BAF-23EE-6E48-A55B-9200C516D7C8}"/>
  </bookViews>
  <sheets>
    <sheet name="Table2_v2" sheetId="2" r:id="rId1"/>
    <sheet name="Table3_v2" sheetId="3" r:id="rId2"/>
    <sheet name="Table5_v2" sheetId="4" r:id="rId3"/>
    <sheet name="Table6" sheetId="5" r:id="rId4"/>
    <sheet name="Table7" sheetId="1" r:id="rId5"/>
  </sheets>
  <externalReferences>
    <externalReference r:id="rId6"/>
    <externalReference r:id="rId7"/>
  </externalReferences>
  <definedNames>
    <definedName name="Table2" localSheetId="0">Table2_v2!$A$1:$K$535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1" i="3" l="1"/>
  <c r="V291" i="3"/>
  <c r="U291" i="3"/>
  <c r="T291" i="3"/>
  <c r="S291" i="3"/>
  <c r="R291" i="3"/>
  <c r="Q291" i="3"/>
  <c r="P291" i="3"/>
  <c r="W290" i="3"/>
  <c r="V290" i="3"/>
  <c r="U290" i="3"/>
  <c r="T290" i="3"/>
  <c r="S290" i="3"/>
  <c r="R290" i="3"/>
  <c r="Q290" i="3"/>
  <c r="P290" i="3"/>
  <c r="W289" i="3"/>
  <c r="V289" i="3"/>
  <c r="U289" i="3"/>
  <c r="T289" i="3"/>
  <c r="S289" i="3"/>
  <c r="R289" i="3"/>
  <c r="Q289" i="3"/>
  <c r="P289" i="3"/>
  <c r="W288" i="3"/>
  <c r="V288" i="3"/>
  <c r="U288" i="3"/>
  <c r="T288" i="3"/>
  <c r="S288" i="3"/>
  <c r="R288" i="3"/>
  <c r="Q288" i="3"/>
  <c r="P288" i="3"/>
  <c r="W287" i="3"/>
  <c r="V287" i="3"/>
  <c r="U287" i="3"/>
  <c r="T287" i="3"/>
  <c r="S287" i="3"/>
  <c r="R287" i="3"/>
  <c r="Q287" i="3"/>
  <c r="P287" i="3"/>
  <c r="W286" i="3"/>
  <c r="V286" i="3"/>
  <c r="U286" i="3"/>
  <c r="T286" i="3"/>
  <c r="S286" i="3"/>
  <c r="R286" i="3"/>
  <c r="Q286" i="3"/>
  <c r="P286" i="3"/>
  <c r="W285" i="3"/>
  <c r="V285" i="3"/>
  <c r="U285" i="3"/>
  <c r="T285" i="3"/>
  <c r="S285" i="3"/>
  <c r="R285" i="3"/>
  <c r="Q285" i="3"/>
  <c r="P285" i="3"/>
  <c r="W284" i="3"/>
  <c r="V284" i="3"/>
  <c r="U284" i="3"/>
  <c r="T284" i="3"/>
  <c r="S284" i="3"/>
  <c r="R284" i="3"/>
  <c r="Q284" i="3"/>
  <c r="P284" i="3"/>
  <c r="W283" i="3"/>
  <c r="V283" i="3"/>
  <c r="U283" i="3"/>
  <c r="T283" i="3"/>
  <c r="S283" i="3"/>
  <c r="R283" i="3"/>
  <c r="Q283" i="3"/>
  <c r="P283" i="3"/>
  <c r="W282" i="3"/>
  <c r="V282" i="3"/>
  <c r="U282" i="3"/>
  <c r="T282" i="3"/>
  <c r="S282" i="3"/>
  <c r="R282" i="3"/>
  <c r="Q282" i="3"/>
  <c r="P282" i="3"/>
  <c r="W281" i="3"/>
  <c r="V281" i="3"/>
  <c r="U281" i="3"/>
  <c r="T281" i="3"/>
  <c r="S281" i="3"/>
  <c r="R281" i="3"/>
  <c r="Q281" i="3"/>
  <c r="P281" i="3"/>
  <c r="W280" i="3"/>
  <c r="V280" i="3"/>
  <c r="U280" i="3"/>
  <c r="T280" i="3"/>
  <c r="S280" i="3"/>
  <c r="R280" i="3"/>
  <c r="Q280" i="3"/>
  <c r="P280" i="3"/>
  <c r="W279" i="3"/>
  <c r="V279" i="3"/>
  <c r="U279" i="3"/>
  <c r="T279" i="3"/>
  <c r="S279" i="3"/>
  <c r="R279" i="3"/>
  <c r="Q279" i="3"/>
  <c r="P279" i="3"/>
  <c r="W278" i="3"/>
  <c r="V278" i="3"/>
  <c r="U278" i="3"/>
  <c r="T278" i="3"/>
  <c r="S278" i="3"/>
  <c r="R278" i="3"/>
  <c r="Q278" i="3"/>
  <c r="P278" i="3"/>
  <c r="W277" i="3"/>
  <c r="V277" i="3"/>
  <c r="U277" i="3"/>
  <c r="T277" i="3"/>
  <c r="S277" i="3"/>
  <c r="R277" i="3"/>
  <c r="Q277" i="3"/>
  <c r="P277" i="3"/>
  <c r="W276" i="3"/>
  <c r="V276" i="3"/>
  <c r="U276" i="3"/>
  <c r="T276" i="3"/>
  <c r="S276" i="3"/>
  <c r="R276" i="3"/>
  <c r="Q276" i="3"/>
  <c r="P276" i="3"/>
  <c r="W275" i="3"/>
  <c r="V275" i="3"/>
  <c r="U275" i="3"/>
  <c r="T275" i="3"/>
  <c r="S275" i="3"/>
  <c r="R275" i="3"/>
  <c r="Q275" i="3"/>
  <c r="P275" i="3"/>
  <c r="W274" i="3"/>
  <c r="V274" i="3"/>
  <c r="U274" i="3"/>
  <c r="T274" i="3"/>
  <c r="S274" i="3"/>
  <c r="R274" i="3"/>
  <c r="Q274" i="3"/>
  <c r="P274" i="3"/>
  <c r="W273" i="3"/>
  <c r="V273" i="3"/>
  <c r="U273" i="3"/>
  <c r="T273" i="3"/>
  <c r="S273" i="3"/>
  <c r="R273" i="3"/>
  <c r="Q273" i="3"/>
  <c r="P273" i="3"/>
  <c r="W272" i="3"/>
  <c r="V272" i="3"/>
  <c r="U272" i="3"/>
  <c r="T272" i="3"/>
  <c r="S272" i="3"/>
  <c r="R272" i="3"/>
  <c r="Q272" i="3"/>
  <c r="P272" i="3"/>
  <c r="W271" i="3"/>
  <c r="V271" i="3"/>
  <c r="U271" i="3"/>
  <c r="T271" i="3"/>
  <c r="S271" i="3"/>
  <c r="R271" i="3"/>
  <c r="Q271" i="3"/>
  <c r="P271" i="3"/>
  <c r="W270" i="3"/>
  <c r="V270" i="3"/>
  <c r="U270" i="3"/>
  <c r="T270" i="3"/>
  <c r="S270" i="3"/>
  <c r="R270" i="3"/>
  <c r="Q270" i="3"/>
  <c r="P270" i="3"/>
  <c r="W269" i="3"/>
  <c r="V269" i="3"/>
  <c r="U269" i="3"/>
  <c r="T269" i="3"/>
  <c r="S269" i="3"/>
  <c r="R269" i="3"/>
  <c r="Q269" i="3"/>
  <c r="P269" i="3"/>
  <c r="W268" i="3"/>
  <c r="V268" i="3"/>
  <c r="U268" i="3"/>
  <c r="T268" i="3"/>
  <c r="S268" i="3"/>
  <c r="R268" i="3"/>
  <c r="Q268" i="3"/>
  <c r="P268" i="3"/>
  <c r="W267" i="3"/>
  <c r="V267" i="3"/>
  <c r="U267" i="3"/>
  <c r="T267" i="3"/>
  <c r="S267" i="3"/>
  <c r="R267" i="3"/>
  <c r="Q267" i="3"/>
  <c r="P267" i="3"/>
  <c r="W266" i="3"/>
  <c r="V266" i="3"/>
  <c r="U266" i="3"/>
  <c r="T266" i="3"/>
  <c r="S266" i="3"/>
  <c r="R266" i="3"/>
  <c r="Q266" i="3"/>
  <c r="P266" i="3"/>
  <c r="W265" i="3"/>
  <c r="V265" i="3"/>
  <c r="U265" i="3"/>
  <c r="T265" i="3"/>
  <c r="S265" i="3"/>
  <c r="R265" i="3"/>
  <c r="Q265" i="3"/>
  <c r="P265" i="3"/>
  <c r="W264" i="3"/>
  <c r="V264" i="3"/>
  <c r="U264" i="3"/>
  <c r="T264" i="3"/>
  <c r="S264" i="3"/>
  <c r="R264" i="3"/>
  <c r="Q264" i="3"/>
  <c r="P264" i="3"/>
  <c r="W263" i="3"/>
  <c r="V263" i="3"/>
  <c r="U263" i="3"/>
  <c r="T263" i="3"/>
  <c r="S263" i="3"/>
  <c r="R263" i="3"/>
  <c r="Q263" i="3"/>
  <c r="P263" i="3"/>
  <c r="W262" i="3"/>
  <c r="V262" i="3"/>
  <c r="U262" i="3"/>
  <c r="T262" i="3"/>
  <c r="S262" i="3"/>
  <c r="R262" i="3"/>
  <c r="Q262" i="3"/>
  <c r="P262" i="3"/>
  <c r="W261" i="3"/>
  <c r="V261" i="3"/>
  <c r="U261" i="3"/>
  <c r="T261" i="3"/>
  <c r="S261" i="3"/>
  <c r="R261" i="3"/>
  <c r="Q261" i="3"/>
  <c r="P261" i="3"/>
  <c r="W260" i="3"/>
  <c r="V260" i="3"/>
  <c r="U260" i="3"/>
  <c r="T260" i="3"/>
  <c r="S260" i="3"/>
  <c r="R260" i="3"/>
  <c r="Q260" i="3"/>
  <c r="P260" i="3"/>
  <c r="W259" i="3"/>
  <c r="V259" i="3"/>
  <c r="U259" i="3"/>
  <c r="T259" i="3"/>
  <c r="S259" i="3"/>
  <c r="R259" i="3"/>
  <c r="Q259" i="3"/>
  <c r="P259" i="3"/>
  <c r="W258" i="3"/>
  <c r="V258" i="3"/>
  <c r="U258" i="3"/>
  <c r="T258" i="3"/>
  <c r="S258" i="3"/>
  <c r="R258" i="3"/>
  <c r="Q258" i="3"/>
  <c r="P258" i="3"/>
  <c r="W257" i="3"/>
  <c r="V257" i="3"/>
  <c r="U257" i="3"/>
  <c r="T257" i="3"/>
  <c r="S257" i="3"/>
  <c r="R257" i="3"/>
  <c r="Q257" i="3"/>
  <c r="P257" i="3"/>
  <c r="W256" i="3"/>
  <c r="V256" i="3"/>
  <c r="U256" i="3"/>
  <c r="T256" i="3"/>
  <c r="S256" i="3"/>
  <c r="R256" i="3"/>
  <c r="Q256" i="3"/>
  <c r="P256" i="3"/>
  <c r="W255" i="3"/>
  <c r="V255" i="3"/>
  <c r="U255" i="3"/>
  <c r="T255" i="3"/>
  <c r="S255" i="3"/>
  <c r="R255" i="3"/>
  <c r="Q255" i="3"/>
  <c r="P255" i="3"/>
  <c r="W254" i="3"/>
  <c r="V254" i="3"/>
  <c r="U254" i="3"/>
  <c r="T254" i="3"/>
  <c r="S254" i="3"/>
  <c r="R254" i="3"/>
  <c r="Q254" i="3"/>
  <c r="P254" i="3"/>
  <c r="W253" i="3"/>
  <c r="V253" i="3"/>
  <c r="U253" i="3"/>
  <c r="T253" i="3"/>
  <c r="S253" i="3"/>
  <c r="R253" i="3"/>
  <c r="Q253" i="3"/>
  <c r="P253" i="3"/>
  <c r="W252" i="3"/>
  <c r="V252" i="3"/>
  <c r="U252" i="3"/>
  <c r="T252" i="3"/>
  <c r="S252" i="3"/>
  <c r="R252" i="3"/>
  <c r="Q252" i="3"/>
  <c r="P252" i="3"/>
  <c r="W251" i="3"/>
  <c r="V251" i="3"/>
  <c r="U251" i="3"/>
  <c r="T251" i="3"/>
  <c r="S251" i="3"/>
  <c r="R251" i="3"/>
  <c r="Q251" i="3"/>
  <c r="P251" i="3"/>
  <c r="W250" i="3"/>
  <c r="V250" i="3"/>
  <c r="U250" i="3"/>
  <c r="T250" i="3"/>
  <c r="S250" i="3"/>
  <c r="R250" i="3"/>
  <c r="Q250" i="3"/>
  <c r="P250" i="3"/>
  <c r="W249" i="3"/>
  <c r="V249" i="3"/>
  <c r="U249" i="3"/>
  <c r="T249" i="3"/>
  <c r="S249" i="3"/>
  <c r="R249" i="3"/>
  <c r="Q249" i="3"/>
  <c r="P249" i="3"/>
  <c r="W248" i="3"/>
  <c r="V248" i="3"/>
  <c r="U248" i="3"/>
  <c r="T248" i="3"/>
  <c r="S248" i="3"/>
  <c r="R248" i="3"/>
  <c r="Q248" i="3"/>
  <c r="P248" i="3"/>
  <c r="W247" i="3"/>
  <c r="V247" i="3"/>
  <c r="U247" i="3"/>
  <c r="T247" i="3"/>
  <c r="S247" i="3"/>
  <c r="R247" i="3"/>
  <c r="Q247" i="3"/>
  <c r="P247" i="3"/>
  <c r="W246" i="3"/>
  <c r="V246" i="3"/>
  <c r="U246" i="3"/>
  <c r="T246" i="3"/>
  <c r="S246" i="3"/>
  <c r="R246" i="3"/>
  <c r="Q246" i="3"/>
  <c r="P246" i="3"/>
  <c r="W245" i="3"/>
  <c r="V245" i="3"/>
  <c r="U245" i="3"/>
  <c r="T245" i="3"/>
  <c r="S245" i="3"/>
  <c r="R245" i="3"/>
  <c r="Q245" i="3"/>
  <c r="P245" i="3"/>
  <c r="W244" i="3"/>
  <c r="V244" i="3"/>
  <c r="U244" i="3"/>
  <c r="T244" i="3"/>
  <c r="S244" i="3"/>
  <c r="R244" i="3"/>
  <c r="Q244" i="3"/>
  <c r="P244" i="3"/>
  <c r="W243" i="3"/>
  <c r="V243" i="3"/>
  <c r="U243" i="3"/>
  <c r="T243" i="3"/>
  <c r="S243" i="3"/>
  <c r="R243" i="3"/>
  <c r="Q243" i="3"/>
  <c r="P243" i="3"/>
  <c r="W242" i="3"/>
  <c r="V242" i="3"/>
  <c r="U242" i="3"/>
  <c r="T242" i="3"/>
  <c r="S242" i="3"/>
  <c r="R242" i="3"/>
  <c r="Q242" i="3"/>
  <c r="P242" i="3"/>
  <c r="W241" i="3"/>
  <c r="V241" i="3"/>
  <c r="U241" i="3"/>
  <c r="T241" i="3"/>
  <c r="S241" i="3"/>
  <c r="R241" i="3"/>
  <c r="Q241" i="3"/>
  <c r="P241" i="3"/>
  <c r="W240" i="3"/>
  <c r="V240" i="3"/>
  <c r="U240" i="3"/>
  <c r="T240" i="3"/>
  <c r="S240" i="3"/>
  <c r="R240" i="3"/>
  <c r="Q240" i="3"/>
  <c r="P240" i="3"/>
  <c r="W239" i="3"/>
  <c r="V239" i="3"/>
  <c r="U239" i="3"/>
  <c r="T239" i="3"/>
  <c r="S239" i="3"/>
  <c r="R239" i="3"/>
  <c r="Q239" i="3"/>
  <c r="P239" i="3"/>
  <c r="W238" i="3"/>
  <c r="V238" i="3"/>
  <c r="U238" i="3"/>
  <c r="T238" i="3"/>
  <c r="S238" i="3"/>
  <c r="R238" i="3"/>
  <c r="Q238" i="3"/>
  <c r="P238" i="3"/>
  <c r="W237" i="3"/>
  <c r="V237" i="3"/>
  <c r="U237" i="3"/>
  <c r="T237" i="3"/>
  <c r="S237" i="3"/>
  <c r="R237" i="3"/>
  <c r="Q237" i="3"/>
  <c r="P237" i="3"/>
  <c r="W236" i="3"/>
  <c r="V236" i="3"/>
  <c r="U236" i="3"/>
  <c r="T236" i="3"/>
  <c r="S236" i="3"/>
  <c r="R236" i="3"/>
  <c r="Q236" i="3"/>
  <c r="P236" i="3"/>
  <c r="W235" i="3"/>
  <c r="V235" i="3"/>
  <c r="U235" i="3"/>
  <c r="T235" i="3"/>
  <c r="S235" i="3"/>
  <c r="R235" i="3"/>
  <c r="Q235" i="3"/>
  <c r="P235" i="3"/>
  <c r="W234" i="3"/>
  <c r="V234" i="3"/>
  <c r="U234" i="3"/>
  <c r="T234" i="3"/>
  <c r="S234" i="3"/>
  <c r="R234" i="3"/>
  <c r="Q234" i="3"/>
  <c r="P234" i="3"/>
  <c r="W233" i="3"/>
  <c r="V233" i="3"/>
  <c r="U233" i="3"/>
  <c r="T233" i="3"/>
  <c r="S233" i="3"/>
  <c r="R233" i="3"/>
  <c r="Q233" i="3"/>
  <c r="P233" i="3"/>
  <c r="W232" i="3"/>
  <c r="V232" i="3"/>
  <c r="U232" i="3"/>
  <c r="T232" i="3"/>
  <c r="S232" i="3"/>
  <c r="R232" i="3"/>
  <c r="Q232" i="3"/>
  <c r="P232" i="3"/>
  <c r="W231" i="3"/>
  <c r="V231" i="3"/>
  <c r="U231" i="3"/>
  <c r="T231" i="3"/>
  <c r="S231" i="3"/>
  <c r="R231" i="3"/>
  <c r="Q231" i="3"/>
  <c r="P231" i="3"/>
  <c r="W230" i="3"/>
  <c r="V230" i="3"/>
  <c r="U230" i="3"/>
  <c r="T230" i="3"/>
  <c r="S230" i="3"/>
  <c r="R230" i="3"/>
  <c r="Q230" i="3"/>
  <c r="P230" i="3"/>
  <c r="W229" i="3"/>
  <c r="V229" i="3"/>
  <c r="U229" i="3"/>
  <c r="T229" i="3"/>
  <c r="S229" i="3"/>
  <c r="R229" i="3"/>
  <c r="Q229" i="3"/>
  <c r="P229" i="3"/>
  <c r="W228" i="3"/>
  <c r="V228" i="3"/>
  <c r="U228" i="3"/>
  <c r="T228" i="3"/>
  <c r="S228" i="3"/>
  <c r="R228" i="3"/>
  <c r="Q228" i="3"/>
  <c r="P228" i="3"/>
  <c r="W227" i="3"/>
  <c r="V227" i="3"/>
  <c r="U227" i="3"/>
  <c r="T227" i="3"/>
  <c r="S227" i="3"/>
  <c r="R227" i="3"/>
  <c r="Q227" i="3"/>
  <c r="P227" i="3"/>
  <c r="W226" i="3"/>
  <c r="V226" i="3"/>
  <c r="U226" i="3"/>
  <c r="T226" i="3"/>
  <c r="S226" i="3"/>
  <c r="R226" i="3"/>
  <c r="Q226" i="3"/>
  <c r="P226" i="3"/>
  <c r="W225" i="3"/>
  <c r="V225" i="3"/>
  <c r="U225" i="3"/>
  <c r="T225" i="3"/>
  <c r="S225" i="3"/>
  <c r="R225" i="3"/>
  <c r="Q225" i="3"/>
  <c r="P225" i="3"/>
  <c r="W224" i="3"/>
  <c r="V224" i="3"/>
  <c r="U224" i="3"/>
  <c r="T224" i="3"/>
  <c r="S224" i="3"/>
  <c r="R224" i="3"/>
  <c r="Q224" i="3"/>
  <c r="P224" i="3"/>
  <c r="W223" i="3"/>
  <c r="V223" i="3"/>
  <c r="U223" i="3"/>
  <c r="T223" i="3"/>
  <c r="S223" i="3"/>
  <c r="R223" i="3"/>
  <c r="Q223" i="3"/>
  <c r="P223" i="3"/>
  <c r="W222" i="3"/>
  <c r="V222" i="3"/>
  <c r="U222" i="3"/>
  <c r="T222" i="3"/>
  <c r="S222" i="3"/>
  <c r="R222" i="3"/>
  <c r="Q222" i="3"/>
  <c r="P222" i="3"/>
  <c r="W221" i="3"/>
  <c r="V221" i="3"/>
  <c r="U221" i="3"/>
  <c r="T221" i="3"/>
  <c r="S221" i="3"/>
  <c r="R221" i="3"/>
  <c r="Q221" i="3"/>
  <c r="P221" i="3"/>
  <c r="W220" i="3"/>
  <c r="V220" i="3"/>
  <c r="U220" i="3"/>
  <c r="T220" i="3"/>
  <c r="S220" i="3"/>
  <c r="R220" i="3"/>
  <c r="Q220" i="3"/>
  <c r="P220" i="3"/>
  <c r="W219" i="3"/>
  <c r="V219" i="3"/>
  <c r="U219" i="3"/>
  <c r="T219" i="3"/>
  <c r="S219" i="3"/>
  <c r="R219" i="3"/>
  <c r="Q219" i="3"/>
  <c r="P219" i="3"/>
  <c r="W218" i="3"/>
  <c r="V218" i="3"/>
  <c r="U218" i="3"/>
  <c r="T218" i="3"/>
  <c r="S218" i="3"/>
  <c r="R218" i="3"/>
  <c r="Q218" i="3"/>
  <c r="P218" i="3"/>
  <c r="W217" i="3"/>
  <c r="V217" i="3"/>
  <c r="U217" i="3"/>
  <c r="T217" i="3"/>
  <c r="S217" i="3"/>
  <c r="R217" i="3"/>
  <c r="Q217" i="3"/>
  <c r="P217" i="3"/>
  <c r="W216" i="3"/>
  <c r="V216" i="3"/>
  <c r="U216" i="3"/>
  <c r="T216" i="3"/>
  <c r="S216" i="3"/>
  <c r="R216" i="3"/>
  <c r="Q216" i="3"/>
  <c r="P216" i="3"/>
  <c r="W215" i="3"/>
  <c r="V215" i="3"/>
  <c r="U215" i="3"/>
  <c r="T215" i="3"/>
  <c r="S215" i="3"/>
  <c r="R215" i="3"/>
  <c r="Q215" i="3"/>
  <c r="P215" i="3"/>
  <c r="W214" i="3"/>
  <c r="V214" i="3"/>
  <c r="U214" i="3"/>
  <c r="T214" i="3"/>
  <c r="S214" i="3"/>
  <c r="R214" i="3"/>
  <c r="Q214" i="3"/>
  <c r="P214" i="3"/>
  <c r="W213" i="3"/>
  <c r="V213" i="3"/>
  <c r="U213" i="3"/>
  <c r="T213" i="3"/>
  <c r="S213" i="3"/>
  <c r="R213" i="3"/>
  <c r="Q213" i="3"/>
  <c r="P213" i="3"/>
  <c r="W212" i="3"/>
  <c r="V212" i="3"/>
  <c r="U212" i="3"/>
  <c r="T212" i="3"/>
  <c r="S212" i="3"/>
  <c r="R212" i="3"/>
  <c r="Q212" i="3"/>
  <c r="P212" i="3"/>
  <c r="W211" i="3"/>
  <c r="V211" i="3"/>
  <c r="U211" i="3"/>
  <c r="T211" i="3"/>
  <c r="S211" i="3"/>
  <c r="R211" i="3"/>
  <c r="Q211" i="3"/>
  <c r="P211" i="3"/>
  <c r="W210" i="3"/>
  <c r="V210" i="3"/>
  <c r="U210" i="3"/>
  <c r="T210" i="3"/>
  <c r="S210" i="3"/>
  <c r="R210" i="3"/>
  <c r="Q210" i="3"/>
  <c r="P210" i="3"/>
  <c r="W209" i="3"/>
  <c r="V209" i="3"/>
  <c r="U209" i="3"/>
  <c r="T209" i="3"/>
  <c r="S209" i="3"/>
  <c r="R209" i="3"/>
  <c r="Q209" i="3"/>
  <c r="P209" i="3"/>
  <c r="W208" i="3"/>
  <c r="V208" i="3"/>
  <c r="U208" i="3"/>
  <c r="T208" i="3"/>
  <c r="S208" i="3"/>
  <c r="R208" i="3"/>
  <c r="Q208" i="3"/>
  <c r="P208" i="3"/>
  <c r="W207" i="3"/>
  <c r="V207" i="3"/>
  <c r="U207" i="3"/>
  <c r="T207" i="3"/>
  <c r="S207" i="3"/>
  <c r="R207" i="3"/>
  <c r="Q207" i="3"/>
  <c r="P207" i="3"/>
  <c r="W206" i="3"/>
  <c r="V206" i="3"/>
  <c r="U206" i="3"/>
  <c r="T206" i="3"/>
  <c r="S206" i="3"/>
  <c r="R206" i="3"/>
  <c r="Q206" i="3"/>
  <c r="P206" i="3"/>
  <c r="W205" i="3"/>
  <c r="V205" i="3"/>
  <c r="U205" i="3"/>
  <c r="T205" i="3"/>
  <c r="S205" i="3"/>
  <c r="R205" i="3"/>
  <c r="Q205" i="3"/>
  <c r="P205" i="3"/>
  <c r="W204" i="3"/>
  <c r="V204" i="3"/>
  <c r="U204" i="3"/>
  <c r="T204" i="3"/>
  <c r="S204" i="3"/>
  <c r="R204" i="3"/>
  <c r="Q204" i="3"/>
  <c r="P204" i="3"/>
  <c r="W203" i="3"/>
  <c r="V203" i="3"/>
  <c r="U203" i="3"/>
  <c r="T203" i="3"/>
  <c r="S203" i="3"/>
  <c r="R203" i="3"/>
  <c r="Q203" i="3"/>
  <c r="P203" i="3"/>
  <c r="W202" i="3"/>
  <c r="V202" i="3"/>
  <c r="U202" i="3"/>
  <c r="T202" i="3"/>
  <c r="S202" i="3"/>
  <c r="R202" i="3"/>
  <c r="Q202" i="3"/>
  <c r="P202" i="3"/>
  <c r="W201" i="3"/>
  <c r="V201" i="3"/>
  <c r="U201" i="3"/>
  <c r="T201" i="3"/>
  <c r="S201" i="3"/>
  <c r="R201" i="3"/>
  <c r="Q201" i="3"/>
  <c r="P201" i="3"/>
  <c r="W200" i="3"/>
  <c r="V200" i="3"/>
  <c r="U200" i="3"/>
  <c r="T200" i="3"/>
  <c r="S200" i="3"/>
  <c r="R200" i="3"/>
  <c r="Q200" i="3"/>
  <c r="P200" i="3"/>
  <c r="W199" i="3"/>
  <c r="V199" i="3"/>
  <c r="U199" i="3"/>
  <c r="T199" i="3"/>
  <c r="S199" i="3"/>
  <c r="R199" i="3"/>
  <c r="Q199" i="3"/>
  <c r="P199" i="3"/>
  <c r="W198" i="3"/>
  <c r="V198" i="3"/>
  <c r="U198" i="3"/>
  <c r="T198" i="3"/>
  <c r="S198" i="3"/>
  <c r="R198" i="3"/>
  <c r="Q198" i="3"/>
  <c r="P198" i="3"/>
  <c r="W197" i="3"/>
  <c r="V197" i="3"/>
  <c r="U197" i="3"/>
  <c r="T197" i="3"/>
  <c r="S197" i="3"/>
  <c r="R197" i="3"/>
  <c r="Q197" i="3"/>
  <c r="P197" i="3"/>
  <c r="W196" i="3"/>
  <c r="V196" i="3"/>
  <c r="U196" i="3"/>
  <c r="T196" i="3"/>
  <c r="S196" i="3"/>
  <c r="R196" i="3"/>
  <c r="Q196" i="3"/>
  <c r="P196" i="3"/>
  <c r="W195" i="3"/>
  <c r="V195" i="3"/>
  <c r="U195" i="3"/>
  <c r="T195" i="3"/>
  <c r="S195" i="3"/>
  <c r="R195" i="3"/>
  <c r="Q195" i="3"/>
  <c r="P195" i="3"/>
  <c r="W194" i="3"/>
  <c r="V194" i="3"/>
  <c r="U194" i="3"/>
  <c r="T194" i="3"/>
  <c r="S194" i="3"/>
  <c r="R194" i="3"/>
  <c r="Q194" i="3"/>
  <c r="P194" i="3"/>
  <c r="W193" i="3"/>
  <c r="V193" i="3"/>
  <c r="U193" i="3"/>
  <c r="T193" i="3"/>
  <c r="S193" i="3"/>
  <c r="R193" i="3"/>
  <c r="Q193" i="3"/>
  <c r="P193" i="3"/>
  <c r="W192" i="3"/>
  <c r="V192" i="3"/>
  <c r="U192" i="3"/>
  <c r="T192" i="3"/>
  <c r="S192" i="3"/>
  <c r="R192" i="3"/>
  <c r="Q192" i="3"/>
  <c r="P192" i="3"/>
  <c r="W191" i="3"/>
  <c r="V191" i="3"/>
  <c r="U191" i="3"/>
  <c r="T191" i="3"/>
  <c r="S191" i="3"/>
  <c r="R191" i="3"/>
  <c r="Q191" i="3"/>
  <c r="P191" i="3"/>
  <c r="W190" i="3"/>
  <c r="V190" i="3"/>
  <c r="U190" i="3"/>
  <c r="T190" i="3"/>
  <c r="S190" i="3"/>
  <c r="R190" i="3"/>
  <c r="Q190" i="3"/>
  <c r="P190" i="3"/>
  <c r="W189" i="3"/>
  <c r="V189" i="3"/>
  <c r="U189" i="3"/>
  <c r="T189" i="3"/>
  <c r="S189" i="3"/>
  <c r="R189" i="3"/>
  <c r="Q189" i="3"/>
  <c r="P189" i="3"/>
  <c r="W188" i="3"/>
  <c r="V188" i="3"/>
  <c r="U188" i="3"/>
  <c r="T188" i="3"/>
  <c r="S188" i="3"/>
  <c r="R188" i="3"/>
  <c r="Q188" i="3"/>
  <c r="P188" i="3"/>
  <c r="W187" i="3"/>
  <c r="V187" i="3"/>
  <c r="U187" i="3"/>
  <c r="T187" i="3"/>
  <c r="S187" i="3"/>
  <c r="R187" i="3"/>
  <c r="Q187" i="3"/>
  <c r="P187" i="3"/>
  <c r="W186" i="3"/>
  <c r="V186" i="3"/>
  <c r="U186" i="3"/>
  <c r="T186" i="3"/>
  <c r="S186" i="3"/>
  <c r="R186" i="3"/>
  <c r="Q186" i="3"/>
  <c r="P186" i="3"/>
  <c r="W185" i="3"/>
  <c r="V185" i="3"/>
  <c r="U185" i="3"/>
  <c r="T185" i="3"/>
  <c r="S185" i="3"/>
  <c r="R185" i="3"/>
  <c r="Q185" i="3"/>
  <c r="P185" i="3"/>
  <c r="W184" i="3"/>
  <c r="V184" i="3"/>
  <c r="U184" i="3"/>
  <c r="T184" i="3"/>
  <c r="S184" i="3"/>
  <c r="R184" i="3"/>
  <c r="Q184" i="3"/>
  <c r="P184" i="3"/>
  <c r="W183" i="3"/>
  <c r="V183" i="3"/>
  <c r="U183" i="3"/>
  <c r="T183" i="3"/>
  <c r="S183" i="3"/>
  <c r="R183" i="3"/>
  <c r="Q183" i="3"/>
  <c r="P183" i="3"/>
  <c r="W182" i="3"/>
  <c r="V182" i="3"/>
  <c r="U182" i="3"/>
  <c r="T182" i="3"/>
  <c r="S182" i="3"/>
  <c r="R182" i="3"/>
  <c r="Q182" i="3"/>
  <c r="P182" i="3"/>
  <c r="W181" i="3"/>
  <c r="V181" i="3"/>
  <c r="U181" i="3"/>
  <c r="T181" i="3"/>
  <c r="S181" i="3"/>
  <c r="R181" i="3"/>
  <c r="Q181" i="3"/>
  <c r="P181" i="3"/>
  <c r="W180" i="3"/>
  <c r="V180" i="3"/>
  <c r="U180" i="3"/>
  <c r="T180" i="3"/>
  <c r="S180" i="3"/>
  <c r="R180" i="3"/>
  <c r="Q180" i="3"/>
  <c r="P180" i="3"/>
  <c r="W179" i="3"/>
  <c r="V179" i="3"/>
  <c r="U179" i="3"/>
  <c r="T179" i="3"/>
  <c r="S179" i="3"/>
  <c r="R179" i="3"/>
  <c r="Q179" i="3"/>
  <c r="P179" i="3"/>
  <c r="W178" i="3"/>
  <c r="V178" i="3"/>
  <c r="U178" i="3"/>
  <c r="T178" i="3"/>
  <c r="S178" i="3"/>
  <c r="R178" i="3"/>
  <c r="Q178" i="3"/>
  <c r="P178" i="3"/>
  <c r="W177" i="3"/>
  <c r="V177" i="3"/>
  <c r="U177" i="3"/>
  <c r="T177" i="3"/>
  <c r="S177" i="3"/>
  <c r="R177" i="3"/>
  <c r="Q177" i="3"/>
  <c r="P177" i="3"/>
  <c r="W176" i="3"/>
  <c r="V176" i="3"/>
  <c r="U176" i="3"/>
  <c r="T176" i="3"/>
  <c r="S176" i="3"/>
  <c r="R176" i="3"/>
  <c r="Q176" i="3"/>
  <c r="P176" i="3"/>
  <c r="W175" i="3"/>
  <c r="V175" i="3"/>
  <c r="U175" i="3"/>
  <c r="T175" i="3"/>
  <c r="S175" i="3"/>
  <c r="R175" i="3"/>
  <c r="Q175" i="3"/>
  <c r="P175" i="3"/>
  <c r="W174" i="3"/>
  <c r="V174" i="3"/>
  <c r="U174" i="3"/>
  <c r="T174" i="3"/>
  <c r="S174" i="3"/>
  <c r="R174" i="3"/>
  <c r="Q174" i="3"/>
  <c r="P174" i="3"/>
  <c r="W173" i="3"/>
  <c r="V173" i="3"/>
  <c r="U173" i="3"/>
  <c r="T173" i="3"/>
  <c r="S173" i="3"/>
  <c r="R173" i="3"/>
  <c r="Q173" i="3"/>
  <c r="P173" i="3"/>
  <c r="W172" i="3"/>
  <c r="V172" i="3"/>
  <c r="U172" i="3"/>
  <c r="T172" i="3"/>
  <c r="S172" i="3"/>
  <c r="R172" i="3"/>
  <c r="Q172" i="3"/>
  <c r="P172" i="3"/>
  <c r="W171" i="3"/>
  <c r="V171" i="3"/>
  <c r="U171" i="3"/>
  <c r="T171" i="3"/>
  <c r="S171" i="3"/>
  <c r="R171" i="3"/>
  <c r="Q171" i="3"/>
  <c r="P171" i="3"/>
  <c r="W170" i="3"/>
  <c r="V170" i="3"/>
  <c r="U170" i="3"/>
  <c r="T170" i="3"/>
  <c r="S170" i="3"/>
  <c r="R170" i="3"/>
  <c r="Q170" i="3"/>
  <c r="P170" i="3"/>
  <c r="W169" i="3"/>
  <c r="V169" i="3"/>
  <c r="U169" i="3"/>
  <c r="T169" i="3"/>
  <c r="S169" i="3"/>
  <c r="R169" i="3"/>
  <c r="Q169" i="3"/>
  <c r="P169" i="3"/>
  <c r="W168" i="3"/>
  <c r="V168" i="3"/>
  <c r="U168" i="3"/>
  <c r="T168" i="3"/>
  <c r="S168" i="3"/>
  <c r="R168" i="3"/>
  <c r="Q168" i="3"/>
  <c r="P168" i="3"/>
  <c r="W167" i="3"/>
  <c r="V167" i="3"/>
  <c r="U167" i="3"/>
  <c r="T167" i="3"/>
  <c r="S167" i="3"/>
  <c r="R167" i="3"/>
  <c r="Q167" i="3"/>
  <c r="P167" i="3"/>
  <c r="W166" i="3"/>
  <c r="V166" i="3"/>
  <c r="U166" i="3"/>
  <c r="T166" i="3"/>
  <c r="S166" i="3"/>
  <c r="R166" i="3"/>
  <c r="Q166" i="3"/>
  <c r="P166" i="3"/>
  <c r="W165" i="3"/>
  <c r="V165" i="3"/>
  <c r="U165" i="3"/>
  <c r="T165" i="3"/>
  <c r="S165" i="3"/>
  <c r="R165" i="3"/>
  <c r="Q165" i="3"/>
  <c r="P165" i="3"/>
  <c r="W164" i="3"/>
  <c r="V164" i="3"/>
  <c r="U164" i="3"/>
  <c r="T164" i="3"/>
  <c r="S164" i="3"/>
  <c r="R164" i="3"/>
  <c r="Q164" i="3"/>
  <c r="P164" i="3"/>
  <c r="W163" i="3"/>
  <c r="V163" i="3"/>
  <c r="U163" i="3"/>
  <c r="T163" i="3"/>
  <c r="S163" i="3"/>
  <c r="R163" i="3"/>
  <c r="Q163" i="3"/>
  <c r="P163" i="3"/>
  <c r="W162" i="3"/>
  <c r="V162" i="3"/>
  <c r="U162" i="3"/>
  <c r="T162" i="3"/>
  <c r="S162" i="3"/>
  <c r="R162" i="3"/>
  <c r="Q162" i="3"/>
  <c r="P162" i="3"/>
  <c r="W161" i="3"/>
  <c r="V161" i="3"/>
  <c r="U161" i="3"/>
  <c r="T161" i="3"/>
  <c r="S161" i="3"/>
  <c r="R161" i="3"/>
  <c r="Q161" i="3"/>
  <c r="P161" i="3"/>
  <c r="W160" i="3"/>
  <c r="V160" i="3"/>
  <c r="U160" i="3"/>
  <c r="T160" i="3"/>
  <c r="S160" i="3"/>
  <c r="R160" i="3"/>
  <c r="Q160" i="3"/>
  <c r="P160" i="3"/>
  <c r="W159" i="3"/>
  <c r="V159" i="3"/>
  <c r="U159" i="3"/>
  <c r="T159" i="3"/>
  <c r="S159" i="3"/>
  <c r="R159" i="3"/>
  <c r="Q159" i="3"/>
  <c r="P159" i="3"/>
  <c r="W158" i="3"/>
  <c r="V158" i="3"/>
  <c r="U158" i="3"/>
  <c r="T158" i="3"/>
  <c r="S158" i="3"/>
  <c r="R158" i="3"/>
  <c r="Q158" i="3"/>
  <c r="P158" i="3"/>
  <c r="W157" i="3"/>
  <c r="V157" i="3"/>
  <c r="U157" i="3"/>
  <c r="T157" i="3"/>
  <c r="S157" i="3"/>
  <c r="R157" i="3"/>
  <c r="Q157" i="3"/>
  <c r="P157" i="3"/>
  <c r="W156" i="3"/>
  <c r="V156" i="3"/>
  <c r="U156" i="3"/>
  <c r="T156" i="3"/>
  <c r="S156" i="3"/>
  <c r="R156" i="3"/>
  <c r="Q156" i="3"/>
  <c r="P156" i="3"/>
  <c r="W155" i="3"/>
  <c r="V155" i="3"/>
  <c r="U155" i="3"/>
  <c r="T155" i="3"/>
  <c r="S155" i="3"/>
  <c r="R155" i="3"/>
  <c r="Q155" i="3"/>
  <c r="P155" i="3"/>
  <c r="W154" i="3"/>
  <c r="V154" i="3"/>
  <c r="U154" i="3"/>
  <c r="T154" i="3"/>
  <c r="S154" i="3"/>
  <c r="R154" i="3"/>
  <c r="Q154" i="3"/>
  <c r="P154" i="3"/>
  <c r="W153" i="3"/>
  <c r="V153" i="3"/>
  <c r="U153" i="3"/>
  <c r="T153" i="3"/>
  <c r="S153" i="3"/>
  <c r="R153" i="3"/>
  <c r="Q153" i="3"/>
  <c r="P153" i="3"/>
  <c r="W152" i="3"/>
  <c r="V152" i="3"/>
  <c r="U152" i="3"/>
  <c r="T152" i="3"/>
  <c r="S152" i="3"/>
  <c r="R152" i="3"/>
  <c r="Q152" i="3"/>
  <c r="P152" i="3"/>
  <c r="W151" i="3"/>
  <c r="V151" i="3"/>
  <c r="U151" i="3"/>
  <c r="T151" i="3"/>
  <c r="S151" i="3"/>
  <c r="R151" i="3"/>
  <c r="Q151" i="3"/>
  <c r="P151" i="3"/>
  <c r="W150" i="3"/>
  <c r="V150" i="3"/>
  <c r="U150" i="3"/>
  <c r="T150" i="3"/>
  <c r="S150" i="3"/>
  <c r="R150" i="3"/>
  <c r="Q150" i="3"/>
  <c r="P150" i="3"/>
  <c r="W149" i="3"/>
  <c r="V149" i="3"/>
  <c r="U149" i="3"/>
  <c r="T149" i="3"/>
  <c r="S149" i="3"/>
  <c r="R149" i="3"/>
  <c r="Q149" i="3"/>
  <c r="P149" i="3"/>
  <c r="W148" i="3"/>
  <c r="V148" i="3"/>
  <c r="U148" i="3"/>
  <c r="T148" i="3"/>
  <c r="S148" i="3"/>
  <c r="R148" i="3"/>
  <c r="Q148" i="3"/>
  <c r="P148" i="3"/>
  <c r="W147" i="3"/>
  <c r="V147" i="3"/>
  <c r="U147" i="3"/>
  <c r="T147" i="3"/>
  <c r="S147" i="3"/>
  <c r="R147" i="3"/>
  <c r="Q147" i="3"/>
  <c r="P147" i="3"/>
  <c r="W146" i="3"/>
  <c r="V146" i="3"/>
  <c r="U146" i="3"/>
  <c r="T146" i="3"/>
  <c r="S146" i="3"/>
  <c r="R146" i="3"/>
  <c r="Q146" i="3"/>
  <c r="P146" i="3"/>
  <c r="W145" i="3"/>
  <c r="V145" i="3"/>
  <c r="U145" i="3"/>
  <c r="T145" i="3"/>
  <c r="S145" i="3"/>
  <c r="R145" i="3"/>
  <c r="Q145" i="3"/>
  <c r="P145" i="3"/>
  <c r="W144" i="3"/>
  <c r="V144" i="3"/>
  <c r="U144" i="3"/>
  <c r="T144" i="3"/>
  <c r="S144" i="3"/>
  <c r="R144" i="3"/>
  <c r="Q144" i="3"/>
  <c r="P144" i="3"/>
  <c r="W143" i="3"/>
  <c r="V143" i="3"/>
  <c r="U143" i="3"/>
  <c r="T143" i="3"/>
  <c r="S143" i="3"/>
  <c r="R143" i="3"/>
  <c r="Q143" i="3"/>
  <c r="P143" i="3"/>
  <c r="W142" i="3"/>
  <c r="V142" i="3"/>
  <c r="U142" i="3"/>
  <c r="T142" i="3"/>
  <c r="S142" i="3"/>
  <c r="R142" i="3"/>
  <c r="Q142" i="3"/>
  <c r="P142" i="3"/>
  <c r="W141" i="3"/>
  <c r="V141" i="3"/>
  <c r="U141" i="3"/>
  <c r="T141" i="3"/>
  <c r="S141" i="3"/>
  <c r="R141" i="3"/>
  <c r="Q141" i="3"/>
  <c r="P141" i="3"/>
  <c r="W140" i="3"/>
  <c r="V140" i="3"/>
  <c r="U140" i="3"/>
  <c r="T140" i="3"/>
  <c r="S140" i="3"/>
  <c r="R140" i="3"/>
  <c r="Q140" i="3"/>
  <c r="P140" i="3"/>
  <c r="W139" i="3"/>
  <c r="V139" i="3"/>
  <c r="U139" i="3"/>
  <c r="T139" i="3"/>
  <c r="S139" i="3"/>
  <c r="R139" i="3"/>
  <c r="Q139" i="3"/>
  <c r="P139" i="3"/>
  <c r="W138" i="3"/>
  <c r="V138" i="3"/>
  <c r="U138" i="3"/>
  <c r="T138" i="3"/>
  <c r="S138" i="3"/>
  <c r="R138" i="3"/>
  <c r="Q138" i="3"/>
  <c r="P138" i="3"/>
  <c r="W137" i="3"/>
  <c r="V137" i="3"/>
  <c r="U137" i="3"/>
  <c r="T137" i="3"/>
  <c r="S137" i="3"/>
  <c r="R137" i="3"/>
  <c r="Q137" i="3"/>
  <c r="P137" i="3"/>
  <c r="W136" i="3"/>
  <c r="V136" i="3"/>
  <c r="U136" i="3"/>
  <c r="T136" i="3"/>
  <c r="S136" i="3"/>
  <c r="R136" i="3"/>
  <c r="Q136" i="3"/>
  <c r="P136" i="3"/>
  <c r="W135" i="3"/>
  <c r="V135" i="3"/>
  <c r="U135" i="3"/>
  <c r="T135" i="3"/>
  <c r="S135" i="3"/>
  <c r="R135" i="3"/>
  <c r="Q135" i="3"/>
  <c r="P135" i="3"/>
  <c r="W134" i="3"/>
  <c r="V134" i="3"/>
  <c r="U134" i="3"/>
  <c r="T134" i="3"/>
  <c r="S134" i="3"/>
  <c r="R134" i="3"/>
  <c r="Q134" i="3"/>
  <c r="P134" i="3"/>
  <c r="W133" i="3"/>
  <c r="V133" i="3"/>
  <c r="U133" i="3"/>
  <c r="T133" i="3"/>
  <c r="S133" i="3"/>
  <c r="R133" i="3"/>
  <c r="Q133" i="3"/>
  <c r="P133" i="3"/>
  <c r="W132" i="3"/>
  <c r="V132" i="3"/>
  <c r="U132" i="3"/>
  <c r="T132" i="3"/>
  <c r="S132" i="3"/>
  <c r="R132" i="3"/>
  <c r="Q132" i="3"/>
  <c r="P132" i="3"/>
  <c r="W131" i="3"/>
  <c r="V131" i="3"/>
  <c r="U131" i="3"/>
  <c r="T131" i="3"/>
  <c r="S131" i="3"/>
  <c r="R131" i="3"/>
  <c r="Q131" i="3"/>
  <c r="P131" i="3"/>
  <c r="W130" i="3"/>
  <c r="V130" i="3"/>
  <c r="U130" i="3"/>
  <c r="T130" i="3"/>
  <c r="S130" i="3"/>
  <c r="R130" i="3"/>
  <c r="Q130" i="3"/>
  <c r="P130" i="3"/>
  <c r="W129" i="3"/>
  <c r="V129" i="3"/>
  <c r="U129" i="3"/>
  <c r="T129" i="3"/>
  <c r="S129" i="3"/>
  <c r="R129" i="3"/>
  <c r="Q129" i="3"/>
  <c r="P129" i="3"/>
  <c r="W128" i="3"/>
  <c r="V128" i="3"/>
  <c r="U128" i="3"/>
  <c r="T128" i="3"/>
  <c r="S128" i="3"/>
  <c r="R128" i="3"/>
  <c r="Q128" i="3"/>
  <c r="P128" i="3"/>
  <c r="W127" i="3"/>
  <c r="V127" i="3"/>
  <c r="U127" i="3"/>
  <c r="T127" i="3"/>
  <c r="S127" i="3"/>
  <c r="R127" i="3"/>
  <c r="Q127" i="3"/>
  <c r="P127" i="3"/>
  <c r="W126" i="3"/>
  <c r="V126" i="3"/>
  <c r="U126" i="3"/>
  <c r="T126" i="3"/>
  <c r="S126" i="3"/>
  <c r="R126" i="3"/>
  <c r="Q126" i="3"/>
  <c r="P126" i="3"/>
  <c r="W125" i="3"/>
  <c r="V125" i="3"/>
  <c r="U125" i="3"/>
  <c r="T125" i="3"/>
  <c r="S125" i="3"/>
  <c r="R125" i="3"/>
  <c r="Q125" i="3"/>
  <c r="P125" i="3"/>
  <c r="W124" i="3"/>
  <c r="V124" i="3"/>
  <c r="U124" i="3"/>
  <c r="T124" i="3"/>
  <c r="S124" i="3"/>
  <c r="R124" i="3"/>
  <c r="Q124" i="3"/>
  <c r="P124" i="3"/>
  <c r="W123" i="3"/>
  <c r="V123" i="3"/>
  <c r="U123" i="3"/>
  <c r="T123" i="3"/>
  <c r="S123" i="3"/>
  <c r="R123" i="3"/>
  <c r="Q123" i="3"/>
  <c r="P123" i="3"/>
  <c r="W122" i="3"/>
  <c r="V122" i="3"/>
  <c r="U122" i="3"/>
  <c r="T122" i="3"/>
  <c r="S122" i="3"/>
  <c r="R122" i="3"/>
  <c r="Q122" i="3"/>
  <c r="P122" i="3"/>
  <c r="W121" i="3"/>
  <c r="V121" i="3"/>
  <c r="U121" i="3"/>
  <c r="T121" i="3"/>
  <c r="S121" i="3"/>
  <c r="R121" i="3"/>
  <c r="Q121" i="3"/>
  <c r="P121" i="3"/>
  <c r="W120" i="3"/>
  <c r="V120" i="3"/>
  <c r="U120" i="3"/>
  <c r="T120" i="3"/>
  <c r="S120" i="3"/>
  <c r="R120" i="3"/>
  <c r="Q120" i="3"/>
  <c r="P120" i="3"/>
  <c r="W119" i="3"/>
  <c r="V119" i="3"/>
  <c r="U119" i="3"/>
  <c r="T119" i="3"/>
  <c r="S119" i="3"/>
  <c r="R119" i="3"/>
  <c r="Q119" i="3"/>
  <c r="P119" i="3"/>
  <c r="W118" i="3"/>
  <c r="V118" i="3"/>
  <c r="U118" i="3"/>
  <c r="T118" i="3"/>
  <c r="S118" i="3"/>
  <c r="R118" i="3"/>
  <c r="Q118" i="3"/>
  <c r="P118" i="3"/>
  <c r="W117" i="3"/>
  <c r="V117" i="3"/>
  <c r="U117" i="3"/>
  <c r="T117" i="3"/>
  <c r="S117" i="3"/>
  <c r="R117" i="3"/>
  <c r="Q117" i="3"/>
  <c r="P117" i="3"/>
  <c r="W116" i="3"/>
  <c r="V116" i="3"/>
  <c r="U116" i="3"/>
  <c r="T116" i="3"/>
  <c r="S116" i="3"/>
  <c r="R116" i="3"/>
  <c r="Q116" i="3"/>
  <c r="P116" i="3"/>
  <c r="W115" i="3"/>
  <c r="V115" i="3"/>
  <c r="U115" i="3"/>
  <c r="T115" i="3"/>
  <c r="S115" i="3"/>
  <c r="R115" i="3"/>
  <c r="Q115" i="3"/>
  <c r="P115" i="3"/>
  <c r="W114" i="3"/>
  <c r="V114" i="3"/>
  <c r="U114" i="3"/>
  <c r="T114" i="3"/>
  <c r="S114" i="3"/>
  <c r="R114" i="3"/>
  <c r="Q114" i="3"/>
  <c r="P114" i="3"/>
  <c r="W113" i="3"/>
  <c r="V113" i="3"/>
  <c r="U113" i="3"/>
  <c r="T113" i="3"/>
  <c r="S113" i="3"/>
  <c r="R113" i="3"/>
  <c r="Q113" i="3"/>
  <c r="P113" i="3"/>
  <c r="W112" i="3"/>
  <c r="V112" i="3"/>
  <c r="U112" i="3"/>
  <c r="T112" i="3"/>
  <c r="S112" i="3"/>
  <c r="R112" i="3"/>
  <c r="Q112" i="3"/>
  <c r="P112" i="3"/>
  <c r="W111" i="3"/>
  <c r="V111" i="3"/>
  <c r="U111" i="3"/>
  <c r="T111" i="3"/>
  <c r="S111" i="3"/>
  <c r="R111" i="3"/>
  <c r="Q111" i="3"/>
  <c r="P111" i="3"/>
  <c r="W110" i="3"/>
  <c r="V110" i="3"/>
  <c r="U110" i="3"/>
  <c r="T110" i="3"/>
  <c r="S110" i="3"/>
  <c r="R110" i="3"/>
  <c r="Q110" i="3"/>
  <c r="P110" i="3"/>
  <c r="W109" i="3"/>
  <c r="V109" i="3"/>
  <c r="U109" i="3"/>
  <c r="T109" i="3"/>
  <c r="S109" i="3"/>
  <c r="R109" i="3"/>
  <c r="Q109" i="3"/>
  <c r="P109" i="3"/>
  <c r="W108" i="3"/>
  <c r="V108" i="3"/>
  <c r="U108" i="3"/>
  <c r="T108" i="3"/>
  <c r="S108" i="3"/>
  <c r="R108" i="3"/>
  <c r="Q108" i="3"/>
  <c r="P108" i="3"/>
  <c r="W107" i="3"/>
  <c r="V107" i="3"/>
  <c r="U107" i="3"/>
  <c r="T107" i="3"/>
  <c r="S107" i="3"/>
  <c r="R107" i="3"/>
  <c r="Q107" i="3"/>
  <c r="P107" i="3"/>
  <c r="W106" i="3"/>
  <c r="V106" i="3"/>
  <c r="U106" i="3"/>
  <c r="T106" i="3"/>
  <c r="S106" i="3"/>
  <c r="R106" i="3"/>
  <c r="Q106" i="3"/>
  <c r="P106" i="3"/>
  <c r="W105" i="3"/>
  <c r="V105" i="3"/>
  <c r="U105" i="3"/>
  <c r="T105" i="3"/>
  <c r="S105" i="3"/>
  <c r="R105" i="3"/>
  <c r="Q105" i="3"/>
  <c r="P105" i="3"/>
  <c r="W104" i="3"/>
  <c r="V104" i="3"/>
  <c r="U104" i="3"/>
  <c r="T104" i="3"/>
  <c r="S104" i="3"/>
  <c r="R104" i="3"/>
  <c r="Q104" i="3"/>
  <c r="P104" i="3"/>
  <c r="W103" i="3"/>
  <c r="V103" i="3"/>
  <c r="U103" i="3"/>
  <c r="T103" i="3"/>
  <c r="S103" i="3"/>
  <c r="R103" i="3"/>
  <c r="Q103" i="3"/>
  <c r="P103" i="3"/>
  <c r="W102" i="3"/>
  <c r="V102" i="3"/>
  <c r="U102" i="3"/>
  <c r="T102" i="3"/>
  <c r="S102" i="3"/>
  <c r="R102" i="3"/>
  <c r="Q102" i="3"/>
  <c r="P102" i="3"/>
  <c r="W101" i="3"/>
  <c r="V101" i="3"/>
  <c r="U101" i="3"/>
  <c r="T101" i="3"/>
  <c r="S101" i="3"/>
  <c r="R101" i="3"/>
  <c r="Q101" i="3"/>
  <c r="P101" i="3"/>
  <c r="W100" i="3"/>
  <c r="V100" i="3"/>
  <c r="U100" i="3"/>
  <c r="T100" i="3"/>
  <c r="S100" i="3"/>
  <c r="R100" i="3"/>
  <c r="Q100" i="3"/>
  <c r="P100" i="3"/>
  <c r="W99" i="3"/>
  <c r="V99" i="3"/>
  <c r="U99" i="3"/>
  <c r="T99" i="3"/>
  <c r="S99" i="3"/>
  <c r="R99" i="3"/>
  <c r="Q99" i="3"/>
  <c r="P99" i="3"/>
  <c r="W98" i="3"/>
  <c r="V98" i="3"/>
  <c r="U98" i="3"/>
  <c r="T98" i="3"/>
  <c r="S98" i="3"/>
  <c r="R98" i="3"/>
  <c r="Q98" i="3"/>
  <c r="P98" i="3"/>
  <c r="W97" i="3"/>
  <c r="V97" i="3"/>
  <c r="U97" i="3"/>
  <c r="T97" i="3"/>
  <c r="S97" i="3"/>
  <c r="R97" i="3"/>
  <c r="Q97" i="3"/>
  <c r="P97" i="3"/>
  <c r="W96" i="3"/>
  <c r="V96" i="3"/>
  <c r="U96" i="3"/>
  <c r="T96" i="3"/>
  <c r="S96" i="3"/>
  <c r="R96" i="3"/>
  <c r="Q96" i="3"/>
  <c r="P96" i="3"/>
  <c r="W95" i="3"/>
  <c r="V95" i="3"/>
  <c r="U95" i="3"/>
  <c r="T95" i="3"/>
  <c r="S95" i="3"/>
  <c r="R95" i="3"/>
  <c r="Q95" i="3"/>
  <c r="P95" i="3"/>
  <c r="W94" i="3"/>
  <c r="V94" i="3"/>
  <c r="U94" i="3"/>
  <c r="T94" i="3"/>
  <c r="S94" i="3"/>
  <c r="R94" i="3"/>
  <c r="Q94" i="3"/>
  <c r="P94" i="3"/>
  <c r="W93" i="3"/>
  <c r="V93" i="3"/>
  <c r="U93" i="3"/>
  <c r="T93" i="3"/>
  <c r="S93" i="3"/>
  <c r="R93" i="3"/>
  <c r="Q93" i="3"/>
  <c r="P93" i="3"/>
  <c r="W92" i="3"/>
  <c r="V92" i="3"/>
  <c r="U92" i="3"/>
  <c r="T92" i="3"/>
  <c r="S92" i="3"/>
  <c r="R92" i="3"/>
  <c r="Q92" i="3"/>
  <c r="P92" i="3"/>
  <c r="W91" i="3"/>
  <c r="V91" i="3"/>
  <c r="U91" i="3"/>
  <c r="T91" i="3"/>
  <c r="S91" i="3"/>
  <c r="R91" i="3"/>
  <c r="Q91" i="3"/>
  <c r="P91" i="3"/>
  <c r="W90" i="3"/>
  <c r="V90" i="3"/>
  <c r="U90" i="3"/>
  <c r="T90" i="3"/>
  <c r="S90" i="3"/>
  <c r="R90" i="3"/>
  <c r="Q90" i="3"/>
  <c r="P90" i="3"/>
  <c r="W89" i="3"/>
  <c r="V89" i="3"/>
  <c r="U89" i="3"/>
  <c r="T89" i="3"/>
  <c r="S89" i="3"/>
  <c r="R89" i="3"/>
  <c r="Q89" i="3"/>
  <c r="P89" i="3"/>
  <c r="W88" i="3"/>
  <c r="V88" i="3"/>
  <c r="U88" i="3"/>
  <c r="T88" i="3"/>
  <c r="S88" i="3"/>
  <c r="R88" i="3"/>
  <c r="Q88" i="3"/>
  <c r="P88" i="3"/>
  <c r="W87" i="3"/>
  <c r="V87" i="3"/>
  <c r="U87" i="3"/>
  <c r="T87" i="3"/>
  <c r="S87" i="3"/>
  <c r="R87" i="3"/>
  <c r="Q87" i="3"/>
  <c r="P87" i="3"/>
  <c r="W86" i="3"/>
  <c r="V86" i="3"/>
  <c r="U86" i="3"/>
  <c r="T86" i="3"/>
  <c r="S86" i="3"/>
  <c r="R86" i="3"/>
  <c r="Q86" i="3"/>
  <c r="P86" i="3"/>
  <c r="W85" i="3"/>
  <c r="V85" i="3"/>
  <c r="U85" i="3"/>
  <c r="T85" i="3"/>
  <c r="S85" i="3"/>
  <c r="R85" i="3"/>
  <c r="Q85" i="3"/>
  <c r="P85" i="3"/>
  <c r="W84" i="3"/>
  <c r="V84" i="3"/>
  <c r="U84" i="3"/>
  <c r="T84" i="3"/>
  <c r="S84" i="3"/>
  <c r="R84" i="3"/>
  <c r="Q84" i="3"/>
  <c r="P84" i="3"/>
  <c r="W83" i="3"/>
  <c r="V83" i="3"/>
  <c r="U83" i="3"/>
  <c r="T83" i="3"/>
  <c r="S83" i="3"/>
  <c r="R83" i="3"/>
  <c r="Q83" i="3"/>
  <c r="P83" i="3"/>
  <c r="W82" i="3"/>
  <c r="V82" i="3"/>
  <c r="U82" i="3"/>
  <c r="T82" i="3"/>
  <c r="S82" i="3"/>
  <c r="R82" i="3"/>
  <c r="Q82" i="3"/>
  <c r="P82" i="3"/>
  <c r="W81" i="3"/>
  <c r="V81" i="3"/>
  <c r="U81" i="3"/>
  <c r="T81" i="3"/>
  <c r="S81" i="3"/>
  <c r="R81" i="3"/>
  <c r="Q81" i="3"/>
  <c r="P81" i="3"/>
  <c r="W80" i="3"/>
  <c r="V80" i="3"/>
  <c r="U80" i="3"/>
  <c r="T80" i="3"/>
  <c r="S80" i="3"/>
  <c r="R80" i="3"/>
  <c r="Q80" i="3"/>
  <c r="P80" i="3"/>
  <c r="W79" i="3"/>
  <c r="V79" i="3"/>
  <c r="U79" i="3"/>
  <c r="T79" i="3"/>
  <c r="S79" i="3"/>
  <c r="R79" i="3"/>
  <c r="Q79" i="3"/>
  <c r="P79" i="3"/>
  <c r="W78" i="3"/>
  <c r="V78" i="3"/>
  <c r="U78" i="3"/>
  <c r="T78" i="3"/>
  <c r="S78" i="3"/>
  <c r="R78" i="3"/>
  <c r="Q78" i="3"/>
  <c r="P78" i="3"/>
  <c r="W77" i="3"/>
  <c r="V77" i="3"/>
  <c r="U77" i="3"/>
  <c r="T77" i="3"/>
  <c r="S77" i="3"/>
  <c r="R77" i="3"/>
  <c r="Q77" i="3"/>
  <c r="P77" i="3"/>
  <c r="W76" i="3"/>
  <c r="V76" i="3"/>
  <c r="U76" i="3"/>
  <c r="T76" i="3"/>
  <c r="S76" i="3"/>
  <c r="R76" i="3"/>
  <c r="Q76" i="3"/>
  <c r="P76" i="3"/>
  <c r="W75" i="3"/>
  <c r="V75" i="3"/>
  <c r="U75" i="3"/>
  <c r="T75" i="3"/>
  <c r="S75" i="3"/>
  <c r="R75" i="3"/>
  <c r="Q75" i="3"/>
  <c r="P75" i="3"/>
  <c r="W74" i="3"/>
  <c r="V74" i="3"/>
  <c r="U74" i="3"/>
  <c r="T74" i="3"/>
  <c r="S74" i="3"/>
  <c r="R74" i="3"/>
  <c r="Q74" i="3"/>
  <c r="P74" i="3"/>
  <c r="W73" i="3"/>
  <c r="V73" i="3"/>
  <c r="U73" i="3"/>
  <c r="T73" i="3"/>
  <c r="S73" i="3"/>
  <c r="R73" i="3"/>
  <c r="Q73" i="3"/>
  <c r="P73" i="3"/>
  <c r="W72" i="3"/>
  <c r="V72" i="3"/>
  <c r="U72" i="3"/>
  <c r="T72" i="3"/>
  <c r="S72" i="3"/>
  <c r="R72" i="3"/>
  <c r="Q72" i="3"/>
  <c r="P72" i="3"/>
  <c r="W71" i="3"/>
  <c r="V71" i="3"/>
  <c r="U71" i="3"/>
  <c r="T71" i="3"/>
  <c r="S71" i="3"/>
  <c r="R71" i="3"/>
  <c r="Q71" i="3"/>
  <c r="P71" i="3"/>
  <c r="W70" i="3"/>
  <c r="V70" i="3"/>
  <c r="U70" i="3"/>
  <c r="T70" i="3"/>
  <c r="S70" i="3"/>
  <c r="R70" i="3"/>
  <c r="Q70" i="3"/>
  <c r="P70" i="3"/>
  <c r="W69" i="3"/>
  <c r="V69" i="3"/>
  <c r="U69" i="3"/>
  <c r="T69" i="3"/>
  <c r="S69" i="3"/>
  <c r="R69" i="3"/>
  <c r="Q69" i="3"/>
  <c r="P69" i="3"/>
  <c r="W68" i="3"/>
  <c r="V68" i="3"/>
  <c r="U68" i="3"/>
  <c r="T68" i="3"/>
  <c r="S68" i="3"/>
  <c r="R68" i="3"/>
  <c r="Q68" i="3"/>
  <c r="P68" i="3"/>
  <c r="W67" i="3"/>
  <c r="V67" i="3"/>
  <c r="U67" i="3"/>
  <c r="T67" i="3"/>
  <c r="S67" i="3"/>
  <c r="R67" i="3"/>
  <c r="Q67" i="3"/>
  <c r="P67" i="3"/>
  <c r="W66" i="3"/>
  <c r="V66" i="3"/>
  <c r="U66" i="3"/>
  <c r="T66" i="3"/>
  <c r="S66" i="3"/>
  <c r="R66" i="3"/>
  <c r="Q66" i="3"/>
  <c r="P66" i="3"/>
  <c r="W65" i="3"/>
  <c r="V65" i="3"/>
  <c r="U65" i="3"/>
  <c r="T65" i="3"/>
  <c r="S65" i="3"/>
  <c r="R65" i="3"/>
  <c r="Q65" i="3"/>
  <c r="P65" i="3"/>
  <c r="W64" i="3"/>
  <c r="V64" i="3"/>
  <c r="U64" i="3"/>
  <c r="T64" i="3"/>
  <c r="S64" i="3"/>
  <c r="R64" i="3"/>
  <c r="Q64" i="3"/>
  <c r="P64" i="3"/>
  <c r="W63" i="3"/>
  <c r="V63" i="3"/>
  <c r="U63" i="3"/>
  <c r="T63" i="3"/>
  <c r="S63" i="3"/>
  <c r="R63" i="3"/>
  <c r="Q63" i="3"/>
  <c r="P63" i="3"/>
  <c r="W62" i="3"/>
  <c r="V62" i="3"/>
  <c r="U62" i="3"/>
  <c r="T62" i="3"/>
  <c r="S62" i="3"/>
  <c r="R62" i="3"/>
  <c r="Q62" i="3"/>
  <c r="P62" i="3"/>
  <c r="W61" i="3"/>
  <c r="V61" i="3"/>
  <c r="U61" i="3"/>
  <c r="T61" i="3"/>
  <c r="S61" i="3"/>
  <c r="R61" i="3"/>
  <c r="Q61" i="3"/>
  <c r="P61" i="3"/>
  <c r="W60" i="3"/>
  <c r="V60" i="3"/>
  <c r="U60" i="3"/>
  <c r="T60" i="3"/>
  <c r="S60" i="3"/>
  <c r="R60" i="3"/>
  <c r="Q60" i="3"/>
  <c r="P60" i="3"/>
  <c r="W59" i="3"/>
  <c r="V59" i="3"/>
  <c r="U59" i="3"/>
  <c r="T59" i="3"/>
  <c r="S59" i="3"/>
  <c r="R59" i="3"/>
  <c r="Q59" i="3"/>
  <c r="P59" i="3"/>
  <c r="W58" i="3"/>
  <c r="V58" i="3"/>
  <c r="U58" i="3"/>
  <c r="T58" i="3"/>
  <c r="S58" i="3"/>
  <c r="R58" i="3"/>
  <c r="Q58" i="3"/>
  <c r="P58" i="3"/>
  <c r="W57" i="3"/>
  <c r="V57" i="3"/>
  <c r="U57" i="3"/>
  <c r="T57" i="3"/>
  <c r="S57" i="3"/>
  <c r="R57" i="3"/>
  <c r="Q57" i="3"/>
  <c r="P57" i="3"/>
  <c r="W56" i="3"/>
  <c r="V56" i="3"/>
  <c r="U56" i="3"/>
  <c r="T56" i="3"/>
  <c r="S56" i="3"/>
  <c r="R56" i="3"/>
  <c r="Q56" i="3"/>
  <c r="P56" i="3"/>
  <c r="W55" i="3"/>
  <c r="V55" i="3"/>
  <c r="U55" i="3"/>
  <c r="T55" i="3"/>
  <c r="S55" i="3"/>
  <c r="R55" i="3"/>
  <c r="Q55" i="3"/>
  <c r="P55" i="3"/>
  <c r="W54" i="3"/>
  <c r="V54" i="3"/>
  <c r="U54" i="3"/>
  <c r="T54" i="3"/>
  <c r="S54" i="3"/>
  <c r="R54" i="3"/>
  <c r="Q54" i="3"/>
  <c r="P54" i="3"/>
  <c r="W53" i="3"/>
  <c r="V53" i="3"/>
  <c r="U53" i="3"/>
  <c r="T53" i="3"/>
  <c r="S53" i="3"/>
  <c r="R53" i="3"/>
  <c r="Q53" i="3"/>
  <c r="P53" i="3"/>
  <c r="W52" i="3"/>
  <c r="V52" i="3"/>
  <c r="U52" i="3"/>
  <c r="T52" i="3"/>
  <c r="S52" i="3"/>
  <c r="R52" i="3"/>
  <c r="Q52" i="3"/>
  <c r="P52" i="3"/>
  <c r="W51" i="3"/>
  <c r="V51" i="3"/>
  <c r="U51" i="3"/>
  <c r="T51" i="3"/>
  <c r="S51" i="3"/>
  <c r="R51" i="3"/>
  <c r="Q51" i="3"/>
  <c r="P51" i="3"/>
  <c r="W50" i="3"/>
  <c r="V50" i="3"/>
  <c r="U50" i="3"/>
  <c r="T50" i="3"/>
  <c r="S50" i="3"/>
  <c r="R50" i="3"/>
  <c r="Q50" i="3"/>
  <c r="P50" i="3"/>
  <c r="W49" i="3"/>
  <c r="V49" i="3"/>
  <c r="U49" i="3"/>
  <c r="T49" i="3"/>
  <c r="S49" i="3"/>
  <c r="R49" i="3"/>
  <c r="Q49" i="3"/>
  <c r="P49" i="3"/>
  <c r="W48" i="3"/>
  <c r="V48" i="3"/>
  <c r="U48" i="3"/>
  <c r="T48" i="3"/>
  <c r="S48" i="3"/>
  <c r="R48" i="3"/>
  <c r="Q48" i="3"/>
  <c r="P48" i="3"/>
  <c r="W47" i="3"/>
  <c r="V47" i="3"/>
  <c r="U47" i="3"/>
  <c r="T47" i="3"/>
  <c r="S47" i="3"/>
  <c r="R47" i="3"/>
  <c r="Q47" i="3"/>
  <c r="P47" i="3"/>
  <c r="W46" i="3"/>
  <c r="V46" i="3"/>
  <c r="U46" i="3"/>
  <c r="T46" i="3"/>
  <c r="S46" i="3"/>
  <c r="R46" i="3"/>
  <c r="Q46" i="3"/>
  <c r="P46" i="3"/>
  <c r="W45" i="3"/>
  <c r="V45" i="3"/>
  <c r="U45" i="3"/>
  <c r="T45" i="3"/>
  <c r="S45" i="3"/>
  <c r="R45" i="3"/>
  <c r="Q45" i="3"/>
  <c r="P45" i="3"/>
  <c r="W44" i="3"/>
  <c r="V44" i="3"/>
  <c r="U44" i="3"/>
  <c r="T44" i="3"/>
  <c r="S44" i="3"/>
  <c r="R44" i="3"/>
  <c r="Q44" i="3"/>
  <c r="P44" i="3"/>
  <c r="W43" i="3"/>
  <c r="V43" i="3"/>
  <c r="U43" i="3"/>
  <c r="T43" i="3"/>
  <c r="S43" i="3"/>
  <c r="R43" i="3"/>
  <c r="Q43" i="3"/>
  <c r="P43" i="3"/>
  <c r="W42" i="3"/>
  <c r="V42" i="3"/>
  <c r="U42" i="3"/>
  <c r="T42" i="3"/>
  <c r="S42" i="3"/>
  <c r="R42" i="3"/>
  <c r="Q42" i="3"/>
  <c r="P42" i="3"/>
  <c r="W41" i="3"/>
  <c r="V41" i="3"/>
  <c r="U41" i="3"/>
  <c r="T41" i="3"/>
  <c r="S41" i="3"/>
  <c r="R41" i="3"/>
  <c r="Q41" i="3"/>
  <c r="P41" i="3"/>
  <c r="W40" i="3"/>
  <c r="V40" i="3"/>
  <c r="U40" i="3"/>
  <c r="T40" i="3"/>
  <c r="S40" i="3"/>
  <c r="R40" i="3"/>
  <c r="Q40" i="3"/>
  <c r="P40" i="3"/>
  <c r="W39" i="3"/>
  <c r="V39" i="3"/>
  <c r="U39" i="3"/>
  <c r="T39" i="3"/>
  <c r="S39" i="3"/>
  <c r="R39" i="3"/>
  <c r="Q39" i="3"/>
  <c r="P39" i="3"/>
  <c r="W38" i="3"/>
  <c r="V38" i="3"/>
  <c r="U38" i="3"/>
  <c r="T38" i="3"/>
  <c r="S38" i="3"/>
  <c r="R38" i="3"/>
  <c r="Q38" i="3"/>
  <c r="P38" i="3"/>
  <c r="W37" i="3"/>
  <c r="V37" i="3"/>
  <c r="U37" i="3"/>
  <c r="T37" i="3"/>
  <c r="S37" i="3"/>
  <c r="R37" i="3"/>
  <c r="Q37" i="3"/>
  <c r="P37" i="3"/>
  <c r="W36" i="3"/>
  <c r="V36" i="3"/>
  <c r="U36" i="3"/>
  <c r="T36" i="3"/>
  <c r="S36" i="3"/>
  <c r="R36" i="3"/>
  <c r="Q36" i="3"/>
  <c r="P36" i="3"/>
  <c r="W35" i="3"/>
  <c r="V35" i="3"/>
  <c r="U35" i="3"/>
  <c r="T35" i="3"/>
  <c r="S35" i="3"/>
  <c r="R35" i="3"/>
  <c r="Q35" i="3"/>
  <c r="P35" i="3"/>
  <c r="W34" i="3"/>
  <c r="V34" i="3"/>
  <c r="U34" i="3"/>
  <c r="T34" i="3"/>
  <c r="S34" i="3"/>
  <c r="R34" i="3"/>
  <c r="Q34" i="3"/>
  <c r="P34" i="3"/>
  <c r="W33" i="3"/>
  <c r="V33" i="3"/>
  <c r="U33" i="3"/>
  <c r="T33" i="3"/>
  <c r="S33" i="3"/>
  <c r="R33" i="3"/>
  <c r="Q33" i="3"/>
  <c r="P33" i="3"/>
  <c r="W32" i="3"/>
  <c r="V32" i="3"/>
  <c r="U32" i="3"/>
  <c r="T32" i="3"/>
  <c r="S32" i="3"/>
  <c r="R32" i="3"/>
  <c r="Q32" i="3"/>
  <c r="P32" i="3"/>
  <c r="W31" i="3"/>
  <c r="V31" i="3"/>
  <c r="U31" i="3"/>
  <c r="T31" i="3"/>
  <c r="S31" i="3"/>
  <c r="R31" i="3"/>
  <c r="Q31" i="3"/>
  <c r="P31" i="3"/>
  <c r="W30" i="3"/>
  <c r="V30" i="3"/>
  <c r="U30" i="3"/>
  <c r="T30" i="3"/>
  <c r="S30" i="3"/>
  <c r="R30" i="3"/>
  <c r="Q30" i="3"/>
  <c r="P30" i="3"/>
  <c r="W29" i="3"/>
  <c r="V29" i="3"/>
  <c r="U29" i="3"/>
  <c r="T29" i="3"/>
  <c r="S29" i="3"/>
  <c r="R29" i="3"/>
  <c r="Q29" i="3"/>
  <c r="P29" i="3"/>
  <c r="W28" i="3"/>
  <c r="V28" i="3"/>
  <c r="U28" i="3"/>
  <c r="T28" i="3"/>
  <c r="S28" i="3"/>
  <c r="R28" i="3"/>
  <c r="Q28" i="3"/>
  <c r="P28" i="3"/>
  <c r="W27" i="3"/>
  <c r="V27" i="3"/>
  <c r="U27" i="3"/>
  <c r="T27" i="3"/>
  <c r="S27" i="3"/>
  <c r="R27" i="3"/>
  <c r="Q27" i="3"/>
  <c r="P27" i="3"/>
  <c r="W26" i="3"/>
  <c r="V26" i="3"/>
  <c r="U26" i="3"/>
  <c r="T26" i="3"/>
  <c r="S26" i="3"/>
  <c r="R26" i="3"/>
  <c r="Q26" i="3"/>
  <c r="P26" i="3"/>
  <c r="W25" i="3"/>
  <c r="V25" i="3"/>
  <c r="U25" i="3"/>
  <c r="T25" i="3"/>
  <c r="S25" i="3"/>
  <c r="R25" i="3"/>
  <c r="Q25" i="3"/>
  <c r="P25" i="3"/>
  <c r="W24" i="3"/>
  <c r="V24" i="3"/>
  <c r="U24" i="3"/>
  <c r="T24" i="3"/>
  <c r="S24" i="3"/>
  <c r="R24" i="3"/>
  <c r="Q24" i="3"/>
  <c r="P24" i="3"/>
  <c r="W23" i="3"/>
  <c r="V23" i="3"/>
  <c r="U23" i="3"/>
  <c r="T23" i="3"/>
  <c r="S23" i="3"/>
  <c r="R23" i="3"/>
  <c r="Q23" i="3"/>
  <c r="P23" i="3"/>
  <c r="W22" i="3"/>
  <c r="V22" i="3"/>
  <c r="U22" i="3"/>
  <c r="T22" i="3"/>
  <c r="S22" i="3"/>
  <c r="R22" i="3"/>
  <c r="Q22" i="3"/>
  <c r="P22" i="3"/>
  <c r="W21" i="3"/>
  <c r="V21" i="3"/>
  <c r="U21" i="3"/>
  <c r="T21" i="3"/>
  <c r="S21" i="3"/>
  <c r="R21" i="3"/>
  <c r="Q21" i="3"/>
  <c r="P21" i="3"/>
  <c r="W20" i="3"/>
  <c r="V20" i="3"/>
  <c r="U20" i="3"/>
  <c r="T20" i="3"/>
  <c r="S20" i="3"/>
  <c r="R20" i="3"/>
  <c r="Q20" i="3"/>
  <c r="P20" i="3"/>
  <c r="W19" i="3"/>
  <c r="V19" i="3"/>
  <c r="U19" i="3"/>
  <c r="T19" i="3"/>
  <c r="S19" i="3"/>
  <c r="R19" i="3"/>
  <c r="Q19" i="3"/>
  <c r="P19" i="3"/>
  <c r="W18" i="3"/>
  <c r="V18" i="3"/>
  <c r="U18" i="3"/>
  <c r="T18" i="3"/>
  <c r="S18" i="3"/>
  <c r="R18" i="3"/>
  <c r="Q18" i="3"/>
  <c r="P18" i="3"/>
  <c r="W17" i="3"/>
  <c r="V17" i="3"/>
  <c r="U17" i="3"/>
  <c r="T17" i="3"/>
  <c r="S17" i="3"/>
  <c r="R17" i="3"/>
  <c r="Q17" i="3"/>
  <c r="P17" i="3"/>
  <c r="W16" i="3"/>
  <c r="V16" i="3"/>
  <c r="U16" i="3"/>
  <c r="T16" i="3"/>
  <c r="S16" i="3"/>
  <c r="R16" i="3"/>
  <c r="Q16" i="3"/>
  <c r="P16" i="3"/>
  <c r="W15" i="3"/>
  <c r="V15" i="3"/>
  <c r="U15" i="3"/>
  <c r="T15" i="3"/>
  <c r="S15" i="3"/>
  <c r="R15" i="3"/>
  <c r="Q15" i="3"/>
  <c r="P15" i="3"/>
  <c r="W14" i="3"/>
  <c r="V14" i="3"/>
  <c r="U14" i="3"/>
  <c r="T14" i="3"/>
  <c r="S14" i="3"/>
  <c r="R14" i="3"/>
  <c r="Q14" i="3"/>
  <c r="P14" i="3"/>
  <c r="W13" i="3"/>
  <c r="V13" i="3"/>
  <c r="U13" i="3"/>
  <c r="T13" i="3"/>
  <c r="S13" i="3"/>
  <c r="R13" i="3"/>
  <c r="Q13" i="3"/>
  <c r="P13" i="3"/>
  <c r="W12" i="3"/>
  <c r="V12" i="3"/>
  <c r="U12" i="3"/>
  <c r="T12" i="3"/>
  <c r="S12" i="3"/>
  <c r="R12" i="3"/>
  <c r="Q12" i="3"/>
  <c r="P12" i="3"/>
  <c r="W11" i="3"/>
  <c r="V11" i="3"/>
  <c r="U11" i="3"/>
  <c r="T11" i="3"/>
  <c r="S11" i="3"/>
  <c r="R11" i="3"/>
  <c r="Q11" i="3"/>
  <c r="P11" i="3"/>
  <c r="W10" i="3"/>
  <c r="V10" i="3"/>
  <c r="U10" i="3"/>
  <c r="T10" i="3"/>
  <c r="S10" i="3"/>
  <c r="R10" i="3"/>
  <c r="Q10" i="3"/>
  <c r="P10" i="3"/>
  <c r="W9" i="3"/>
  <c r="V9" i="3"/>
  <c r="U9" i="3"/>
  <c r="T9" i="3"/>
  <c r="S9" i="3"/>
  <c r="R9" i="3"/>
  <c r="Q9" i="3"/>
  <c r="P9" i="3"/>
  <c r="W8" i="3"/>
  <c r="V8" i="3"/>
  <c r="U8" i="3"/>
  <c r="T8" i="3"/>
  <c r="S8" i="3"/>
  <c r="R8" i="3"/>
  <c r="Q8" i="3"/>
  <c r="P8" i="3"/>
  <c r="W7" i="3"/>
  <c r="V7" i="3"/>
  <c r="U7" i="3"/>
  <c r="T7" i="3"/>
  <c r="S7" i="3"/>
  <c r="R7" i="3"/>
  <c r="Q7" i="3"/>
  <c r="P7" i="3"/>
  <c r="W6" i="3"/>
  <c r="V6" i="3"/>
  <c r="U6" i="3"/>
  <c r="T6" i="3"/>
  <c r="S6" i="3"/>
  <c r="R6" i="3"/>
  <c r="Q6" i="3"/>
  <c r="P6" i="3"/>
  <c r="W5" i="3"/>
  <c r="V5" i="3"/>
  <c r="U5" i="3"/>
  <c r="T5" i="3"/>
  <c r="S5" i="3"/>
  <c r="R5" i="3"/>
  <c r="Q5" i="3"/>
  <c r="P5" i="3"/>
  <c r="W4" i="3"/>
  <c r="V4" i="3"/>
  <c r="U4" i="3"/>
  <c r="T4" i="3"/>
  <c r="S4" i="3"/>
  <c r="R4" i="3"/>
  <c r="Q4" i="3"/>
  <c r="P4" i="3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O294" i="1" l="1"/>
  <c r="N294" i="1"/>
  <c r="M294" i="1"/>
  <c r="L294" i="1"/>
  <c r="K294" i="1"/>
  <c r="J294" i="1"/>
  <c r="I294" i="1"/>
  <c r="H294" i="1"/>
  <c r="G294" i="1"/>
  <c r="F294" i="1"/>
  <c r="E294" i="1"/>
  <c r="D294" i="1" a="1"/>
  <c r="D294" i="1" s="1"/>
  <c r="C294" i="1" a="1"/>
  <c r="C294" i="1" s="1"/>
  <c r="B294" i="1" a="1"/>
  <c r="B294" i="1" s="1"/>
  <c r="O293" i="1"/>
  <c r="N293" i="1"/>
  <c r="M293" i="1"/>
  <c r="L293" i="1"/>
  <c r="K293" i="1"/>
  <c r="J293" i="1"/>
  <c r="I293" i="1"/>
  <c r="H293" i="1"/>
  <c r="G293" i="1"/>
  <c r="F293" i="1"/>
  <c r="E293" i="1"/>
  <c r="D293" i="1" a="1"/>
  <c r="D293" i="1" s="1"/>
  <c r="C293" i="1" a="1"/>
  <c r="C293" i="1" s="1"/>
  <c r="B293" i="1" a="1"/>
  <c r="B293" i="1" s="1"/>
  <c r="O292" i="1"/>
  <c r="N292" i="1"/>
  <c r="M292" i="1"/>
  <c r="L292" i="1"/>
  <c r="K292" i="1"/>
  <c r="J292" i="1"/>
  <c r="I292" i="1"/>
  <c r="H292" i="1"/>
  <c r="G292" i="1"/>
  <c r="F292" i="1"/>
  <c r="E292" i="1"/>
  <c r="D292" i="1" a="1"/>
  <c r="D292" i="1" s="1"/>
  <c r="C292" i="1" a="1"/>
  <c r="C292" i="1" s="1"/>
  <c r="B292" i="1" a="1"/>
  <c r="B292" i="1" s="1"/>
  <c r="O291" i="1"/>
  <c r="N291" i="1"/>
  <c r="M291" i="1"/>
  <c r="L291" i="1"/>
  <c r="K291" i="1"/>
  <c r="J291" i="1"/>
  <c r="I291" i="1"/>
  <c r="H291" i="1"/>
  <c r="G291" i="1"/>
  <c r="F291" i="1"/>
  <c r="E291" i="1"/>
  <c r="D291" i="1" a="1"/>
  <c r="D291" i="1" s="1"/>
  <c r="C291" i="1" a="1"/>
  <c r="C291" i="1" s="1"/>
  <c r="B291" i="1" a="1"/>
  <c r="B291" i="1" s="1"/>
  <c r="O290" i="1"/>
  <c r="N290" i="1"/>
  <c r="M290" i="1"/>
  <c r="L290" i="1"/>
  <c r="K290" i="1"/>
  <c r="J290" i="1"/>
  <c r="I290" i="1"/>
  <c r="H290" i="1"/>
  <c r="G290" i="1"/>
  <c r="F290" i="1"/>
  <c r="E290" i="1"/>
  <c r="D290" i="1" a="1"/>
  <c r="D290" i="1" s="1"/>
  <c r="C290" i="1" a="1"/>
  <c r="C290" i="1" s="1"/>
  <c r="B290" i="1" a="1"/>
  <c r="B290" i="1" s="1"/>
  <c r="O289" i="1"/>
  <c r="N289" i="1"/>
  <c r="M289" i="1"/>
  <c r="L289" i="1"/>
  <c r="K289" i="1"/>
  <c r="J289" i="1"/>
  <c r="I289" i="1"/>
  <c r="H289" i="1"/>
  <c r="G289" i="1"/>
  <c r="F289" i="1"/>
  <c r="E289" i="1"/>
  <c r="D289" i="1" a="1"/>
  <c r="D289" i="1" s="1"/>
  <c r="C289" i="1" a="1"/>
  <c r="C289" i="1" s="1"/>
  <c r="B289" i="1" a="1"/>
  <c r="B289" i="1" s="1"/>
  <c r="O288" i="1"/>
  <c r="N288" i="1"/>
  <c r="M288" i="1"/>
  <c r="L288" i="1"/>
  <c r="K288" i="1"/>
  <c r="J288" i="1"/>
  <c r="I288" i="1"/>
  <c r="H288" i="1"/>
  <c r="G288" i="1"/>
  <c r="F288" i="1"/>
  <c r="E288" i="1"/>
  <c r="D288" i="1" a="1"/>
  <c r="D288" i="1" s="1"/>
  <c r="C288" i="1" a="1"/>
  <c r="C288" i="1" s="1"/>
  <c r="B288" i="1" a="1"/>
  <c r="B288" i="1" s="1"/>
  <c r="O287" i="1"/>
  <c r="N287" i="1"/>
  <c r="M287" i="1"/>
  <c r="L287" i="1"/>
  <c r="K287" i="1"/>
  <c r="J287" i="1"/>
  <c r="I287" i="1"/>
  <c r="H287" i="1"/>
  <c r="G287" i="1"/>
  <c r="F287" i="1"/>
  <c r="E287" i="1"/>
  <c r="D287" i="1" a="1"/>
  <c r="D287" i="1" s="1"/>
  <c r="C287" i="1" a="1"/>
  <c r="C287" i="1" s="1"/>
  <c r="B287" i="1" a="1"/>
  <c r="B287" i="1" s="1"/>
  <c r="O286" i="1"/>
  <c r="N286" i="1"/>
  <c r="M286" i="1"/>
  <c r="L286" i="1"/>
  <c r="K286" i="1"/>
  <c r="J286" i="1"/>
  <c r="I286" i="1"/>
  <c r="H286" i="1"/>
  <c r="G286" i="1"/>
  <c r="F286" i="1"/>
  <c r="E286" i="1"/>
  <c r="D286" i="1" a="1"/>
  <c r="D286" i="1" s="1"/>
  <c r="C286" i="1" a="1"/>
  <c r="C286" i="1" s="1"/>
  <c r="B286" i="1" a="1"/>
  <c r="B286" i="1" s="1"/>
  <c r="O285" i="1"/>
  <c r="N285" i="1"/>
  <c r="M285" i="1"/>
  <c r="L285" i="1"/>
  <c r="K285" i="1"/>
  <c r="J285" i="1"/>
  <c r="I285" i="1"/>
  <c r="H285" i="1"/>
  <c r="G285" i="1"/>
  <c r="F285" i="1"/>
  <c r="E285" i="1"/>
  <c r="D285" i="1" a="1"/>
  <c r="D285" i="1" s="1"/>
  <c r="C285" i="1" a="1"/>
  <c r="C285" i="1" s="1"/>
  <c r="B285" i="1" a="1"/>
  <c r="B285" i="1" s="1"/>
  <c r="O284" i="1"/>
  <c r="N284" i="1"/>
  <c r="M284" i="1"/>
  <c r="L284" i="1"/>
  <c r="K284" i="1"/>
  <c r="J284" i="1"/>
  <c r="I284" i="1"/>
  <c r="H284" i="1"/>
  <c r="G284" i="1"/>
  <c r="F284" i="1"/>
  <c r="E284" i="1"/>
  <c r="D284" i="1" a="1"/>
  <c r="D284" i="1" s="1"/>
  <c r="C284" i="1" a="1"/>
  <c r="C284" i="1" s="1"/>
  <c r="B284" i="1" a="1"/>
  <c r="B284" i="1" s="1"/>
  <c r="O283" i="1"/>
  <c r="N283" i="1"/>
  <c r="M283" i="1"/>
  <c r="L283" i="1"/>
  <c r="K283" i="1"/>
  <c r="J283" i="1"/>
  <c r="I283" i="1"/>
  <c r="H283" i="1"/>
  <c r="G283" i="1"/>
  <c r="F283" i="1"/>
  <c r="E283" i="1"/>
  <c r="D283" i="1" a="1"/>
  <c r="D283" i="1" s="1"/>
  <c r="C283" i="1" a="1"/>
  <c r="C283" i="1" s="1"/>
  <c r="B283" i="1" a="1"/>
  <c r="B283" i="1" s="1"/>
  <c r="O282" i="1"/>
  <c r="N282" i="1"/>
  <c r="M282" i="1"/>
  <c r="L282" i="1"/>
  <c r="K282" i="1"/>
  <c r="J282" i="1"/>
  <c r="I282" i="1"/>
  <c r="H282" i="1"/>
  <c r="G282" i="1"/>
  <c r="F282" i="1"/>
  <c r="E282" i="1"/>
  <c r="D282" i="1" a="1"/>
  <c r="D282" i="1" s="1"/>
  <c r="C282" i="1" a="1"/>
  <c r="C282" i="1" s="1"/>
  <c r="B282" i="1" a="1"/>
  <c r="B282" i="1" s="1"/>
  <c r="O281" i="1"/>
  <c r="N281" i="1"/>
  <c r="M281" i="1"/>
  <c r="L281" i="1"/>
  <c r="K281" i="1"/>
  <c r="J281" i="1"/>
  <c r="I281" i="1"/>
  <c r="H281" i="1"/>
  <c r="G281" i="1"/>
  <c r="F281" i="1"/>
  <c r="E281" i="1"/>
  <c r="D281" i="1" a="1"/>
  <c r="D281" i="1" s="1"/>
  <c r="C281" i="1" a="1"/>
  <c r="C281" i="1" s="1"/>
  <c r="B281" i="1" a="1"/>
  <c r="B281" i="1" s="1"/>
  <c r="O280" i="1"/>
  <c r="N280" i="1"/>
  <c r="M280" i="1"/>
  <c r="L280" i="1"/>
  <c r="K280" i="1"/>
  <c r="J280" i="1"/>
  <c r="I280" i="1"/>
  <c r="H280" i="1"/>
  <c r="G280" i="1"/>
  <c r="F280" i="1"/>
  <c r="E280" i="1"/>
  <c r="D280" i="1" a="1"/>
  <c r="D280" i="1" s="1"/>
  <c r="C280" i="1" a="1"/>
  <c r="C280" i="1" s="1"/>
  <c r="B280" i="1" a="1"/>
  <c r="B280" i="1" s="1"/>
  <c r="O279" i="1"/>
  <c r="N279" i="1"/>
  <c r="M279" i="1"/>
  <c r="L279" i="1"/>
  <c r="K279" i="1"/>
  <c r="J279" i="1"/>
  <c r="I279" i="1"/>
  <c r="H279" i="1"/>
  <c r="G279" i="1"/>
  <c r="F279" i="1"/>
  <c r="E279" i="1"/>
  <c r="D279" i="1" a="1"/>
  <c r="D279" i="1" s="1"/>
  <c r="C279" i="1" a="1"/>
  <c r="C279" i="1" s="1"/>
  <c r="B279" i="1" a="1"/>
  <c r="B279" i="1" s="1"/>
  <c r="O278" i="1"/>
  <c r="N278" i="1"/>
  <c r="M278" i="1"/>
  <c r="L278" i="1"/>
  <c r="K278" i="1"/>
  <c r="J278" i="1"/>
  <c r="I278" i="1"/>
  <c r="H278" i="1"/>
  <c r="G278" i="1"/>
  <c r="F278" i="1"/>
  <c r="E278" i="1"/>
  <c r="D278" i="1" a="1"/>
  <c r="D278" i="1" s="1"/>
  <c r="C278" i="1" a="1"/>
  <c r="C278" i="1" s="1"/>
  <c r="B278" i="1" a="1"/>
  <c r="B278" i="1" s="1"/>
  <c r="O277" i="1"/>
  <c r="N277" i="1"/>
  <c r="M277" i="1"/>
  <c r="L277" i="1"/>
  <c r="K277" i="1"/>
  <c r="J277" i="1"/>
  <c r="I277" i="1"/>
  <c r="H277" i="1"/>
  <c r="G277" i="1"/>
  <c r="F277" i="1"/>
  <c r="E277" i="1"/>
  <c r="D277" i="1" a="1"/>
  <c r="D277" i="1" s="1"/>
  <c r="C277" i="1" a="1"/>
  <c r="C277" i="1" s="1"/>
  <c r="B277" i="1" a="1"/>
  <c r="B277" i="1" s="1"/>
  <c r="O276" i="1"/>
  <c r="N276" i="1"/>
  <c r="M276" i="1"/>
  <c r="L276" i="1"/>
  <c r="K276" i="1"/>
  <c r="J276" i="1"/>
  <c r="I276" i="1"/>
  <c r="H276" i="1"/>
  <c r="G276" i="1"/>
  <c r="F276" i="1"/>
  <c r="E276" i="1"/>
  <c r="D276" i="1" a="1"/>
  <c r="D276" i="1" s="1"/>
  <c r="C276" i="1" a="1"/>
  <c r="C276" i="1" s="1"/>
  <c r="B276" i="1" a="1"/>
  <c r="B276" i="1" s="1"/>
  <c r="O275" i="1"/>
  <c r="N275" i="1"/>
  <c r="M275" i="1"/>
  <c r="L275" i="1"/>
  <c r="K275" i="1"/>
  <c r="J275" i="1"/>
  <c r="I275" i="1"/>
  <c r="H275" i="1"/>
  <c r="G275" i="1"/>
  <c r="F275" i="1"/>
  <c r="E275" i="1"/>
  <c r="D275" i="1" a="1"/>
  <c r="D275" i="1" s="1"/>
  <c r="C275" i="1" a="1"/>
  <c r="C275" i="1" s="1"/>
  <c r="B275" i="1" a="1"/>
  <c r="B275" i="1" s="1"/>
  <c r="O274" i="1"/>
  <c r="N274" i="1"/>
  <c r="M274" i="1"/>
  <c r="L274" i="1"/>
  <c r="K274" i="1"/>
  <c r="J274" i="1"/>
  <c r="I274" i="1"/>
  <c r="H274" i="1"/>
  <c r="G274" i="1"/>
  <c r="F274" i="1"/>
  <c r="E274" i="1"/>
  <c r="D274" i="1" a="1"/>
  <c r="D274" i="1" s="1"/>
  <c r="C274" i="1" a="1"/>
  <c r="C274" i="1" s="1"/>
  <c r="B274" i="1" a="1"/>
  <c r="B274" i="1" s="1"/>
  <c r="O273" i="1"/>
  <c r="N273" i="1"/>
  <c r="M273" i="1"/>
  <c r="L273" i="1"/>
  <c r="K273" i="1"/>
  <c r="J273" i="1"/>
  <c r="I273" i="1"/>
  <c r="H273" i="1"/>
  <c r="G273" i="1"/>
  <c r="F273" i="1"/>
  <c r="E273" i="1"/>
  <c r="D273" i="1" a="1"/>
  <c r="D273" i="1" s="1"/>
  <c r="C273" i="1" a="1"/>
  <c r="C273" i="1" s="1"/>
  <c r="B273" i="1" a="1"/>
  <c r="B273" i="1" s="1"/>
  <c r="O272" i="1"/>
  <c r="N272" i="1"/>
  <c r="M272" i="1"/>
  <c r="L272" i="1"/>
  <c r="K272" i="1"/>
  <c r="J272" i="1"/>
  <c r="I272" i="1"/>
  <c r="H272" i="1"/>
  <c r="G272" i="1"/>
  <c r="F272" i="1"/>
  <c r="E272" i="1"/>
  <c r="D272" i="1" a="1"/>
  <c r="D272" i="1" s="1"/>
  <c r="C272" i="1" a="1"/>
  <c r="C272" i="1" s="1"/>
  <c r="B272" i="1" a="1"/>
  <c r="B272" i="1" s="1"/>
  <c r="O271" i="1"/>
  <c r="N271" i="1"/>
  <c r="M271" i="1"/>
  <c r="L271" i="1"/>
  <c r="K271" i="1"/>
  <c r="J271" i="1"/>
  <c r="I271" i="1"/>
  <c r="H271" i="1"/>
  <c r="G271" i="1"/>
  <c r="F271" i="1"/>
  <c r="E271" i="1"/>
  <c r="D271" i="1" a="1"/>
  <c r="D271" i="1" s="1"/>
  <c r="C271" i="1" a="1"/>
  <c r="C271" i="1" s="1"/>
  <c r="B271" i="1" a="1"/>
  <c r="B271" i="1" s="1"/>
  <c r="O270" i="1"/>
  <c r="N270" i="1"/>
  <c r="M270" i="1"/>
  <c r="L270" i="1"/>
  <c r="K270" i="1"/>
  <c r="J270" i="1"/>
  <c r="I270" i="1"/>
  <c r="H270" i="1"/>
  <c r="G270" i="1"/>
  <c r="F270" i="1"/>
  <c r="E270" i="1"/>
  <c r="D270" i="1" a="1"/>
  <c r="D270" i="1" s="1"/>
  <c r="C270" i="1" a="1"/>
  <c r="C270" i="1" s="1"/>
  <c r="B270" i="1" a="1"/>
  <c r="B270" i="1" s="1"/>
  <c r="O269" i="1"/>
  <c r="N269" i="1"/>
  <c r="M269" i="1"/>
  <c r="L269" i="1"/>
  <c r="K269" i="1"/>
  <c r="J269" i="1"/>
  <c r="I269" i="1"/>
  <c r="H269" i="1"/>
  <c r="G269" i="1"/>
  <c r="F269" i="1"/>
  <c r="E269" i="1"/>
  <c r="D269" i="1" a="1"/>
  <c r="D269" i="1" s="1"/>
  <c r="C269" i="1" a="1"/>
  <c r="C269" i="1" s="1"/>
  <c r="B269" i="1" a="1"/>
  <c r="B269" i="1" s="1"/>
  <c r="O268" i="1"/>
  <c r="N268" i="1"/>
  <c r="M268" i="1"/>
  <c r="L268" i="1"/>
  <c r="K268" i="1"/>
  <c r="J268" i="1"/>
  <c r="I268" i="1"/>
  <c r="H268" i="1"/>
  <c r="G268" i="1"/>
  <c r="F268" i="1"/>
  <c r="E268" i="1"/>
  <c r="D268" i="1" a="1"/>
  <c r="D268" i="1" s="1"/>
  <c r="C268" i="1" a="1"/>
  <c r="C268" i="1" s="1"/>
  <c r="B268" i="1" a="1"/>
  <c r="B268" i="1" s="1"/>
  <c r="O267" i="1"/>
  <c r="N267" i="1"/>
  <c r="M267" i="1"/>
  <c r="L267" i="1"/>
  <c r="K267" i="1"/>
  <c r="J267" i="1"/>
  <c r="I267" i="1"/>
  <c r="H267" i="1"/>
  <c r="G267" i="1"/>
  <c r="F267" i="1"/>
  <c r="E267" i="1"/>
  <c r="D267" i="1" a="1"/>
  <c r="D267" i="1" s="1"/>
  <c r="C267" i="1" a="1"/>
  <c r="C267" i="1" s="1"/>
  <c r="B267" i="1" a="1"/>
  <c r="B267" i="1" s="1"/>
  <c r="O266" i="1"/>
  <c r="N266" i="1"/>
  <c r="M266" i="1"/>
  <c r="L266" i="1"/>
  <c r="K266" i="1"/>
  <c r="J266" i="1"/>
  <c r="I266" i="1"/>
  <c r="H266" i="1"/>
  <c r="G266" i="1"/>
  <c r="F266" i="1"/>
  <c r="E266" i="1"/>
  <c r="D266" i="1" a="1"/>
  <c r="D266" i="1" s="1"/>
  <c r="C266" i="1" a="1"/>
  <c r="C266" i="1" s="1"/>
  <c r="B266" i="1" a="1"/>
  <c r="B266" i="1" s="1"/>
  <c r="O265" i="1"/>
  <c r="N265" i="1"/>
  <c r="M265" i="1"/>
  <c r="L265" i="1"/>
  <c r="K265" i="1"/>
  <c r="J265" i="1"/>
  <c r="I265" i="1"/>
  <c r="H265" i="1"/>
  <c r="G265" i="1"/>
  <c r="F265" i="1"/>
  <c r="E265" i="1"/>
  <c r="D265" i="1" a="1"/>
  <c r="D265" i="1" s="1"/>
  <c r="C265" i="1" a="1"/>
  <c r="C265" i="1" s="1"/>
  <c r="B265" i="1" a="1"/>
  <c r="B265" i="1" s="1"/>
  <c r="O264" i="1"/>
  <c r="N264" i="1"/>
  <c r="M264" i="1"/>
  <c r="L264" i="1"/>
  <c r="K264" i="1"/>
  <c r="J264" i="1"/>
  <c r="I264" i="1"/>
  <c r="H264" i="1"/>
  <c r="G264" i="1"/>
  <c r="F264" i="1"/>
  <c r="E264" i="1"/>
  <c r="D264" i="1" a="1"/>
  <c r="D264" i="1" s="1"/>
  <c r="C264" i="1" a="1"/>
  <c r="C264" i="1" s="1"/>
  <c r="B264" i="1" a="1"/>
  <c r="B264" i="1" s="1"/>
  <c r="O263" i="1"/>
  <c r="N263" i="1"/>
  <c r="M263" i="1"/>
  <c r="L263" i="1"/>
  <c r="K263" i="1"/>
  <c r="J263" i="1"/>
  <c r="I263" i="1"/>
  <c r="H263" i="1"/>
  <c r="G263" i="1"/>
  <c r="F263" i="1"/>
  <c r="E263" i="1"/>
  <c r="D263" i="1" a="1"/>
  <c r="D263" i="1" s="1"/>
  <c r="C263" i="1" a="1"/>
  <c r="C263" i="1" s="1"/>
  <c r="B263" i="1" a="1"/>
  <c r="B263" i="1" s="1"/>
  <c r="O262" i="1"/>
  <c r="N262" i="1"/>
  <c r="M262" i="1"/>
  <c r="L262" i="1"/>
  <c r="K262" i="1"/>
  <c r="J262" i="1"/>
  <c r="I262" i="1"/>
  <c r="H262" i="1"/>
  <c r="G262" i="1"/>
  <c r="F262" i="1"/>
  <c r="E262" i="1"/>
  <c r="D262" i="1" a="1"/>
  <c r="D262" i="1" s="1"/>
  <c r="C262" i="1" a="1"/>
  <c r="C262" i="1" s="1"/>
  <c r="B262" i="1" a="1"/>
  <c r="B262" i="1" s="1"/>
  <c r="O261" i="1"/>
  <c r="N261" i="1"/>
  <c r="M261" i="1"/>
  <c r="L261" i="1"/>
  <c r="K261" i="1"/>
  <c r="J261" i="1"/>
  <c r="I261" i="1"/>
  <c r="H261" i="1"/>
  <c r="G261" i="1"/>
  <c r="F261" i="1"/>
  <c r="E261" i="1"/>
  <c r="D261" i="1" a="1"/>
  <c r="D261" i="1" s="1"/>
  <c r="C261" i="1" a="1"/>
  <c r="C261" i="1" s="1"/>
  <c r="B261" i="1" a="1"/>
  <c r="B261" i="1" s="1"/>
  <c r="O260" i="1"/>
  <c r="N260" i="1"/>
  <c r="M260" i="1"/>
  <c r="L260" i="1"/>
  <c r="K260" i="1"/>
  <c r="J260" i="1"/>
  <c r="I260" i="1"/>
  <c r="H260" i="1"/>
  <c r="G260" i="1"/>
  <c r="F260" i="1"/>
  <c r="E260" i="1"/>
  <c r="D260" i="1" a="1"/>
  <c r="D260" i="1" s="1"/>
  <c r="C260" i="1" a="1"/>
  <c r="C260" i="1" s="1"/>
  <c r="B260" i="1" a="1"/>
  <c r="B260" i="1" s="1"/>
  <c r="O259" i="1"/>
  <c r="N259" i="1"/>
  <c r="M259" i="1"/>
  <c r="L259" i="1"/>
  <c r="K259" i="1"/>
  <c r="J259" i="1"/>
  <c r="I259" i="1"/>
  <c r="H259" i="1"/>
  <c r="G259" i="1"/>
  <c r="F259" i="1"/>
  <c r="E259" i="1"/>
  <c r="D259" i="1" a="1"/>
  <c r="D259" i="1" s="1"/>
  <c r="C259" i="1" a="1"/>
  <c r="C259" i="1" s="1"/>
  <c r="B259" i="1" a="1"/>
  <c r="B259" i="1" s="1"/>
  <c r="O258" i="1"/>
  <c r="N258" i="1"/>
  <c r="M258" i="1"/>
  <c r="L258" i="1"/>
  <c r="K258" i="1"/>
  <c r="J258" i="1"/>
  <c r="I258" i="1"/>
  <c r="H258" i="1"/>
  <c r="G258" i="1"/>
  <c r="F258" i="1"/>
  <c r="E258" i="1"/>
  <c r="D258" i="1" a="1"/>
  <c r="D258" i="1" s="1"/>
  <c r="C258" i="1" a="1"/>
  <c r="C258" i="1" s="1"/>
  <c r="B258" i="1" a="1"/>
  <c r="B258" i="1" s="1"/>
  <c r="O257" i="1"/>
  <c r="N257" i="1"/>
  <c r="M257" i="1"/>
  <c r="L257" i="1"/>
  <c r="K257" i="1"/>
  <c r="J257" i="1"/>
  <c r="I257" i="1"/>
  <c r="H257" i="1"/>
  <c r="G257" i="1"/>
  <c r="F257" i="1"/>
  <c r="E257" i="1"/>
  <c r="D257" i="1" a="1"/>
  <c r="D257" i="1" s="1"/>
  <c r="C257" i="1" a="1"/>
  <c r="C257" i="1" s="1"/>
  <c r="B257" i="1" a="1"/>
  <c r="B257" i="1" s="1"/>
  <c r="O256" i="1"/>
  <c r="N256" i="1"/>
  <c r="M256" i="1"/>
  <c r="L256" i="1"/>
  <c r="K256" i="1"/>
  <c r="J256" i="1"/>
  <c r="I256" i="1"/>
  <c r="H256" i="1"/>
  <c r="G256" i="1"/>
  <c r="F256" i="1"/>
  <c r="E256" i="1"/>
  <c r="D256" i="1" a="1"/>
  <c r="D256" i="1" s="1"/>
  <c r="C256" i="1" a="1"/>
  <c r="C256" i="1" s="1"/>
  <c r="B256" i="1" a="1"/>
  <c r="B256" i="1" s="1"/>
  <c r="O255" i="1"/>
  <c r="N255" i="1"/>
  <c r="M255" i="1"/>
  <c r="L255" i="1"/>
  <c r="K255" i="1"/>
  <c r="J255" i="1"/>
  <c r="I255" i="1"/>
  <c r="H255" i="1"/>
  <c r="G255" i="1"/>
  <c r="F255" i="1"/>
  <c r="E255" i="1"/>
  <c r="D255" i="1" a="1"/>
  <c r="D255" i="1" s="1"/>
  <c r="C255" i="1" a="1"/>
  <c r="C255" i="1" s="1"/>
  <c r="B255" i="1" a="1"/>
  <c r="B255" i="1" s="1"/>
  <c r="O254" i="1"/>
  <c r="N254" i="1"/>
  <c r="M254" i="1"/>
  <c r="L254" i="1"/>
  <c r="K254" i="1"/>
  <c r="J254" i="1"/>
  <c r="I254" i="1"/>
  <c r="H254" i="1"/>
  <c r="G254" i="1"/>
  <c r="F254" i="1"/>
  <c r="E254" i="1"/>
  <c r="D254" i="1" a="1"/>
  <c r="D254" i="1" s="1"/>
  <c r="C254" i="1" a="1"/>
  <c r="C254" i="1" s="1"/>
  <c r="B254" i="1" a="1"/>
  <c r="B254" i="1" s="1"/>
  <c r="O253" i="1"/>
  <c r="N253" i="1"/>
  <c r="M253" i="1"/>
  <c r="L253" i="1"/>
  <c r="K253" i="1"/>
  <c r="J253" i="1"/>
  <c r="I253" i="1"/>
  <c r="H253" i="1"/>
  <c r="G253" i="1"/>
  <c r="F253" i="1"/>
  <c r="E253" i="1"/>
  <c r="D253" i="1" a="1"/>
  <c r="D253" i="1" s="1"/>
  <c r="C253" i="1" a="1"/>
  <c r="C253" i="1" s="1"/>
  <c r="B253" i="1" a="1"/>
  <c r="B253" i="1" s="1"/>
  <c r="O252" i="1"/>
  <c r="N252" i="1"/>
  <c r="M252" i="1"/>
  <c r="L252" i="1"/>
  <c r="K252" i="1"/>
  <c r="J252" i="1"/>
  <c r="I252" i="1"/>
  <c r="H252" i="1"/>
  <c r="G252" i="1"/>
  <c r="F252" i="1"/>
  <c r="E252" i="1"/>
  <c r="D252" i="1" a="1"/>
  <c r="D252" i="1" s="1"/>
  <c r="C252" i="1" a="1"/>
  <c r="C252" i="1" s="1"/>
  <c r="B252" i="1" a="1"/>
  <c r="B252" i="1" s="1"/>
  <c r="O251" i="1"/>
  <c r="N251" i="1"/>
  <c r="M251" i="1"/>
  <c r="L251" i="1"/>
  <c r="K251" i="1"/>
  <c r="J251" i="1"/>
  <c r="I251" i="1"/>
  <c r="H251" i="1"/>
  <c r="G251" i="1"/>
  <c r="F251" i="1"/>
  <c r="E251" i="1"/>
  <c r="D251" i="1" a="1"/>
  <c r="D251" i="1" s="1"/>
  <c r="C251" i="1" a="1"/>
  <c r="C251" i="1" s="1"/>
  <c r="B251" i="1" a="1"/>
  <c r="B251" i="1" s="1"/>
  <c r="O250" i="1"/>
  <c r="N250" i="1"/>
  <c r="M250" i="1"/>
  <c r="L250" i="1"/>
  <c r="K250" i="1"/>
  <c r="J250" i="1"/>
  <c r="I250" i="1"/>
  <c r="H250" i="1"/>
  <c r="G250" i="1"/>
  <c r="F250" i="1"/>
  <c r="E250" i="1"/>
  <c r="D250" i="1" a="1"/>
  <c r="D250" i="1" s="1"/>
  <c r="C250" i="1" a="1"/>
  <c r="C250" i="1" s="1"/>
  <c r="B250" i="1" a="1"/>
  <c r="B250" i="1" s="1"/>
  <c r="O249" i="1"/>
  <c r="N249" i="1"/>
  <c r="M249" i="1"/>
  <c r="L249" i="1"/>
  <c r="K249" i="1"/>
  <c r="J249" i="1"/>
  <c r="I249" i="1"/>
  <c r="H249" i="1"/>
  <c r="G249" i="1"/>
  <c r="F249" i="1"/>
  <c r="E249" i="1"/>
  <c r="D249" i="1" a="1"/>
  <c r="D249" i="1" s="1"/>
  <c r="C249" i="1" a="1"/>
  <c r="C249" i="1" s="1"/>
  <c r="B249" i="1" a="1"/>
  <c r="B249" i="1" s="1"/>
  <c r="O248" i="1"/>
  <c r="N248" i="1"/>
  <c r="M248" i="1"/>
  <c r="L248" i="1"/>
  <c r="K248" i="1"/>
  <c r="J248" i="1"/>
  <c r="I248" i="1"/>
  <c r="H248" i="1"/>
  <c r="G248" i="1"/>
  <c r="F248" i="1"/>
  <c r="E248" i="1"/>
  <c r="D248" i="1" a="1"/>
  <c r="D248" i="1" s="1"/>
  <c r="C248" i="1" a="1"/>
  <c r="C248" i="1" s="1"/>
  <c r="B248" i="1" a="1"/>
  <c r="B248" i="1" s="1"/>
  <c r="O247" i="1"/>
  <c r="N247" i="1"/>
  <c r="M247" i="1"/>
  <c r="L247" i="1"/>
  <c r="K247" i="1"/>
  <c r="J247" i="1"/>
  <c r="I247" i="1"/>
  <c r="H247" i="1"/>
  <c r="G247" i="1"/>
  <c r="F247" i="1"/>
  <c r="E247" i="1"/>
  <c r="D247" i="1" a="1"/>
  <c r="D247" i="1" s="1"/>
  <c r="C247" i="1" a="1"/>
  <c r="C247" i="1" s="1"/>
  <c r="B247" i="1" a="1"/>
  <c r="B247" i="1" s="1"/>
  <c r="O246" i="1"/>
  <c r="N246" i="1"/>
  <c r="M246" i="1"/>
  <c r="L246" i="1"/>
  <c r="K246" i="1"/>
  <c r="J246" i="1"/>
  <c r="I246" i="1"/>
  <c r="H246" i="1"/>
  <c r="G246" i="1"/>
  <c r="F246" i="1"/>
  <c r="E246" i="1"/>
  <c r="D246" i="1" a="1"/>
  <c r="D246" i="1" s="1"/>
  <c r="C246" i="1" a="1"/>
  <c r="C246" i="1" s="1"/>
  <c r="B246" i="1" a="1"/>
  <c r="B246" i="1" s="1"/>
  <c r="O245" i="1"/>
  <c r="N245" i="1"/>
  <c r="M245" i="1"/>
  <c r="L245" i="1"/>
  <c r="K245" i="1"/>
  <c r="J245" i="1"/>
  <c r="I245" i="1"/>
  <c r="H245" i="1"/>
  <c r="G245" i="1"/>
  <c r="F245" i="1"/>
  <c r="E245" i="1"/>
  <c r="D245" i="1" a="1"/>
  <c r="D245" i="1" s="1"/>
  <c r="C245" i="1" a="1"/>
  <c r="C245" i="1" s="1"/>
  <c r="B245" i="1" a="1"/>
  <c r="B245" i="1" s="1"/>
  <c r="O244" i="1"/>
  <c r="N244" i="1"/>
  <c r="M244" i="1"/>
  <c r="L244" i="1"/>
  <c r="K244" i="1"/>
  <c r="J244" i="1"/>
  <c r="I244" i="1"/>
  <c r="H244" i="1"/>
  <c r="G244" i="1"/>
  <c r="F244" i="1"/>
  <c r="E244" i="1"/>
  <c r="D244" i="1" a="1"/>
  <c r="D244" i="1" s="1"/>
  <c r="C244" i="1" a="1"/>
  <c r="C244" i="1" s="1"/>
  <c r="B244" i="1" a="1"/>
  <c r="B244" i="1" s="1"/>
  <c r="O243" i="1"/>
  <c r="N243" i="1"/>
  <c r="M243" i="1"/>
  <c r="L243" i="1"/>
  <c r="K243" i="1"/>
  <c r="J243" i="1"/>
  <c r="I243" i="1"/>
  <c r="H243" i="1"/>
  <c r="G243" i="1"/>
  <c r="F243" i="1"/>
  <c r="E243" i="1"/>
  <c r="D243" i="1" a="1"/>
  <c r="D243" i="1" s="1"/>
  <c r="C243" i="1" a="1"/>
  <c r="C243" i="1" s="1"/>
  <c r="B243" i="1" a="1"/>
  <c r="B243" i="1" s="1"/>
  <c r="O242" i="1"/>
  <c r="N242" i="1"/>
  <c r="M242" i="1"/>
  <c r="L242" i="1"/>
  <c r="K242" i="1"/>
  <c r="J242" i="1"/>
  <c r="I242" i="1"/>
  <c r="H242" i="1"/>
  <c r="G242" i="1"/>
  <c r="F242" i="1"/>
  <c r="E242" i="1"/>
  <c r="D242" i="1" a="1"/>
  <c r="D242" i="1" s="1"/>
  <c r="C242" i="1" a="1"/>
  <c r="C242" i="1" s="1"/>
  <c r="B242" i="1" a="1"/>
  <c r="B242" i="1" s="1"/>
  <c r="O241" i="1"/>
  <c r="N241" i="1"/>
  <c r="M241" i="1"/>
  <c r="L241" i="1"/>
  <c r="K241" i="1"/>
  <c r="J241" i="1"/>
  <c r="I241" i="1"/>
  <c r="H241" i="1"/>
  <c r="G241" i="1"/>
  <c r="F241" i="1"/>
  <c r="E241" i="1"/>
  <c r="D241" i="1" a="1"/>
  <c r="D241" i="1" s="1"/>
  <c r="C241" i="1" a="1"/>
  <c r="C241" i="1" s="1"/>
  <c r="B241" i="1" a="1"/>
  <c r="B241" i="1" s="1"/>
  <c r="O240" i="1"/>
  <c r="N240" i="1"/>
  <c r="M240" i="1"/>
  <c r="L240" i="1"/>
  <c r="K240" i="1"/>
  <c r="J240" i="1"/>
  <c r="I240" i="1"/>
  <c r="H240" i="1"/>
  <c r="G240" i="1"/>
  <c r="F240" i="1"/>
  <c r="E240" i="1"/>
  <c r="D240" i="1" a="1"/>
  <c r="D240" i="1" s="1"/>
  <c r="C240" i="1" a="1"/>
  <c r="C240" i="1" s="1"/>
  <c r="B240" i="1" a="1"/>
  <c r="B240" i="1" s="1"/>
  <c r="O239" i="1"/>
  <c r="N239" i="1"/>
  <c r="M239" i="1"/>
  <c r="L239" i="1"/>
  <c r="K239" i="1"/>
  <c r="J239" i="1"/>
  <c r="I239" i="1"/>
  <c r="H239" i="1"/>
  <c r="G239" i="1"/>
  <c r="F239" i="1"/>
  <c r="E239" i="1"/>
  <c r="D239" i="1" a="1"/>
  <c r="D239" i="1" s="1"/>
  <c r="C239" i="1" a="1"/>
  <c r="C239" i="1" s="1"/>
  <c r="B239" i="1" a="1"/>
  <c r="B239" i="1" s="1"/>
  <c r="O238" i="1"/>
  <c r="N238" i="1"/>
  <c r="M238" i="1"/>
  <c r="L238" i="1"/>
  <c r="K238" i="1"/>
  <c r="J238" i="1"/>
  <c r="I238" i="1"/>
  <c r="H238" i="1"/>
  <c r="G238" i="1"/>
  <c r="F238" i="1"/>
  <c r="E238" i="1"/>
  <c r="D238" i="1" a="1"/>
  <c r="D238" i="1" s="1"/>
  <c r="C238" i="1" a="1"/>
  <c r="C238" i="1" s="1"/>
  <c r="B238" i="1" a="1"/>
  <c r="B238" i="1" s="1"/>
  <c r="O237" i="1"/>
  <c r="N237" i="1"/>
  <c r="M237" i="1"/>
  <c r="L237" i="1"/>
  <c r="K237" i="1"/>
  <c r="J237" i="1"/>
  <c r="I237" i="1"/>
  <c r="H237" i="1"/>
  <c r="G237" i="1"/>
  <c r="F237" i="1"/>
  <c r="E237" i="1"/>
  <c r="D237" i="1" a="1"/>
  <c r="D237" i="1" s="1"/>
  <c r="C237" i="1" a="1"/>
  <c r="C237" i="1" s="1"/>
  <c r="B237" i="1" a="1"/>
  <c r="B237" i="1" s="1"/>
  <c r="O236" i="1"/>
  <c r="N236" i="1"/>
  <c r="M236" i="1"/>
  <c r="L236" i="1"/>
  <c r="K236" i="1"/>
  <c r="J236" i="1"/>
  <c r="I236" i="1"/>
  <c r="H236" i="1"/>
  <c r="G236" i="1"/>
  <c r="F236" i="1"/>
  <c r="E236" i="1"/>
  <c r="D236" i="1" a="1"/>
  <c r="D236" i="1" s="1"/>
  <c r="C236" i="1" a="1"/>
  <c r="C236" i="1" s="1"/>
  <c r="B236" i="1" a="1"/>
  <c r="B236" i="1" s="1"/>
  <c r="O235" i="1"/>
  <c r="N235" i="1"/>
  <c r="M235" i="1"/>
  <c r="L235" i="1"/>
  <c r="K235" i="1"/>
  <c r="J235" i="1"/>
  <c r="I235" i="1"/>
  <c r="H235" i="1"/>
  <c r="G235" i="1"/>
  <c r="F235" i="1"/>
  <c r="E235" i="1"/>
  <c r="D235" i="1" a="1"/>
  <c r="D235" i="1" s="1"/>
  <c r="C235" i="1" a="1"/>
  <c r="C235" i="1" s="1"/>
  <c r="B235" i="1" a="1"/>
  <c r="B235" i="1" s="1"/>
  <c r="O234" i="1"/>
  <c r="N234" i="1"/>
  <c r="M234" i="1"/>
  <c r="L234" i="1"/>
  <c r="K234" i="1"/>
  <c r="J234" i="1"/>
  <c r="I234" i="1"/>
  <c r="H234" i="1"/>
  <c r="G234" i="1"/>
  <c r="F234" i="1"/>
  <c r="E234" i="1"/>
  <c r="D234" i="1" a="1"/>
  <c r="D234" i="1" s="1"/>
  <c r="C234" i="1" a="1"/>
  <c r="C234" i="1" s="1"/>
  <c r="B234" i="1" a="1"/>
  <c r="B234" i="1" s="1"/>
  <c r="O233" i="1"/>
  <c r="N233" i="1"/>
  <c r="M233" i="1"/>
  <c r="L233" i="1"/>
  <c r="K233" i="1"/>
  <c r="J233" i="1"/>
  <c r="I233" i="1"/>
  <c r="H233" i="1"/>
  <c r="G233" i="1"/>
  <c r="F233" i="1"/>
  <c r="E233" i="1"/>
  <c r="D233" i="1" a="1"/>
  <c r="D233" i="1" s="1"/>
  <c r="C233" i="1" a="1"/>
  <c r="C233" i="1" s="1"/>
  <c r="B233" i="1" a="1"/>
  <c r="B233" i="1" s="1"/>
  <c r="O232" i="1"/>
  <c r="N232" i="1"/>
  <c r="M232" i="1"/>
  <c r="L232" i="1"/>
  <c r="K232" i="1"/>
  <c r="J232" i="1"/>
  <c r="I232" i="1"/>
  <c r="H232" i="1"/>
  <c r="G232" i="1"/>
  <c r="F232" i="1"/>
  <c r="E232" i="1"/>
  <c r="D232" i="1" a="1"/>
  <c r="D232" i="1" s="1"/>
  <c r="C232" i="1" a="1"/>
  <c r="C232" i="1" s="1"/>
  <c r="B232" i="1" a="1"/>
  <c r="B232" i="1" s="1"/>
  <c r="O231" i="1"/>
  <c r="N231" i="1"/>
  <c r="M231" i="1"/>
  <c r="L231" i="1"/>
  <c r="K231" i="1"/>
  <c r="J231" i="1"/>
  <c r="I231" i="1"/>
  <c r="H231" i="1"/>
  <c r="G231" i="1"/>
  <c r="F231" i="1"/>
  <c r="E231" i="1"/>
  <c r="D231" i="1" a="1"/>
  <c r="D231" i="1" s="1"/>
  <c r="C231" i="1" a="1"/>
  <c r="C231" i="1" s="1"/>
  <c r="B231" i="1" a="1"/>
  <c r="B231" i="1" s="1"/>
  <c r="O230" i="1"/>
  <c r="N230" i="1"/>
  <c r="M230" i="1"/>
  <c r="L230" i="1"/>
  <c r="K230" i="1"/>
  <c r="J230" i="1"/>
  <c r="I230" i="1"/>
  <c r="H230" i="1"/>
  <c r="G230" i="1"/>
  <c r="F230" i="1"/>
  <c r="E230" i="1"/>
  <c r="D230" i="1" a="1"/>
  <c r="D230" i="1" s="1"/>
  <c r="C230" i="1" a="1"/>
  <c r="C230" i="1" s="1"/>
  <c r="B230" i="1" a="1"/>
  <c r="B230" i="1" s="1"/>
  <c r="O229" i="1"/>
  <c r="N229" i="1"/>
  <c r="M229" i="1"/>
  <c r="L229" i="1"/>
  <c r="K229" i="1"/>
  <c r="J229" i="1"/>
  <c r="I229" i="1"/>
  <c r="H229" i="1"/>
  <c r="G229" i="1"/>
  <c r="F229" i="1"/>
  <c r="E229" i="1"/>
  <c r="D229" i="1" a="1"/>
  <c r="D229" i="1" s="1"/>
  <c r="C229" i="1" a="1"/>
  <c r="C229" i="1" s="1"/>
  <c r="B229" i="1" a="1"/>
  <c r="B229" i="1" s="1"/>
  <c r="O228" i="1"/>
  <c r="N228" i="1"/>
  <c r="M228" i="1"/>
  <c r="L228" i="1"/>
  <c r="K228" i="1"/>
  <c r="J228" i="1"/>
  <c r="I228" i="1"/>
  <c r="H228" i="1"/>
  <c r="G228" i="1"/>
  <c r="F228" i="1"/>
  <c r="E228" i="1"/>
  <c r="D228" i="1" a="1"/>
  <c r="D228" i="1" s="1"/>
  <c r="C228" i="1" a="1"/>
  <c r="C228" i="1" s="1"/>
  <c r="B228" i="1" a="1"/>
  <c r="B228" i="1" s="1"/>
  <c r="O227" i="1"/>
  <c r="N227" i="1"/>
  <c r="M227" i="1"/>
  <c r="L227" i="1"/>
  <c r="K227" i="1"/>
  <c r="J227" i="1"/>
  <c r="I227" i="1"/>
  <c r="H227" i="1"/>
  <c r="G227" i="1"/>
  <c r="F227" i="1"/>
  <c r="E227" i="1"/>
  <c r="D227" i="1" a="1"/>
  <c r="D227" i="1" s="1"/>
  <c r="C227" i="1" a="1"/>
  <c r="C227" i="1" s="1"/>
  <c r="B227" i="1" a="1"/>
  <c r="B227" i="1" s="1"/>
  <c r="O226" i="1"/>
  <c r="N226" i="1"/>
  <c r="M226" i="1"/>
  <c r="L226" i="1"/>
  <c r="K226" i="1"/>
  <c r="J226" i="1"/>
  <c r="I226" i="1"/>
  <c r="H226" i="1"/>
  <c r="G226" i="1"/>
  <c r="F226" i="1"/>
  <c r="E226" i="1"/>
  <c r="D226" i="1" a="1"/>
  <c r="D226" i="1" s="1"/>
  <c r="C226" i="1" a="1"/>
  <c r="C226" i="1" s="1"/>
  <c r="B226" i="1" a="1"/>
  <c r="B226" i="1" s="1"/>
  <c r="O225" i="1"/>
  <c r="N225" i="1"/>
  <c r="M225" i="1"/>
  <c r="L225" i="1"/>
  <c r="K225" i="1"/>
  <c r="J225" i="1"/>
  <c r="I225" i="1"/>
  <c r="H225" i="1"/>
  <c r="G225" i="1"/>
  <c r="F225" i="1"/>
  <c r="E225" i="1"/>
  <c r="D225" i="1" a="1"/>
  <c r="D225" i="1" s="1"/>
  <c r="C225" i="1" a="1"/>
  <c r="C225" i="1" s="1"/>
  <c r="B225" i="1" a="1"/>
  <c r="B225" i="1" s="1"/>
  <c r="O224" i="1"/>
  <c r="N224" i="1"/>
  <c r="M224" i="1"/>
  <c r="L224" i="1"/>
  <c r="K224" i="1"/>
  <c r="J224" i="1"/>
  <c r="I224" i="1"/>
  <c r="H224" i="1"/>
  <c r="G224" i="1"/>
  <c r="F224" i="1"/>
  <c r="E224" i="1"/>
  <c r="D224" i="1" a="1"/>
  <c r="D224" i="1" s="1"/>
  <c r="C224" i="1" a="1"/>
  <c r="C224" i="1" s="1"/>
  <c r="B224" i="1" a="1"/>
  <c r="B224" i="1" s="1"/>
  <c r="O223" i="1"/>
  <c r="N223" i="1"/>
  <c r="M223" i="1"/>
  <c r="L223" i="1"/>
  <c r="K223" i="1"/>
  <c r="J223" i="1"/>
  <c r="I223" i="1"/>
  <c r="H223" i="1"/>
  <c r="G223" i="1"/>
  <c r="F223" i="1"/>
  <c r="E223" i="1"/>
  <c r="D223" i="1" a="1"/>
  <c r="D223" i="1" s="1"/>
  <c r="C223" i="1" a="1"/>
  <c r="C223" i="1" s="1"/>
  <c r="B223" i="1" a="1"/>
  <c r="B223" i="1" s="1"/>
  <c r="O222" i="1"/>
  <c r="N222" i="1"/>
  <c r="M222" i="1"/>
  <c r="L222" i="1"/>
  <c r="K222" i="1"/>
  <c r="J222" i="1"/>
  <c r="I222" i="1"/>
  <c r="H222" i="1"/>
  <c r="G222" i="1"/>
  <c r="F222" i="1"/>
  <c r="E222" i="1"/>
  <c r="D222" i="1" a="1"/>
  <c r="D222" i="1" s="1"/>
  <c r="C222" i="1" a="1"/>
  <c r="C222" i="1" s="1"/>
  <c r="B222" i="1" a="1"/>
  <c r="B222" i="1" s="1"/>
  <c r="O221" i="1"/>
  <c r="N221" i="1"/>
  <c r="M221" i="1"/>
  <c r="L221" i="1"/>
  <c r="K221" i="1"/>
  <c r="J221" i="1"/>
  <c r="I221" i="1"/>
  <c r="H221" i="1"/>
  <c r="G221" i="1"/>
  <c r="F221" i="1"/>
  <c r="E221" i="1"/>
  <c r="D221" i="1" a="1"/>
  <c r="D221" i="1" s="1"/>
  <c r="C221" i="1" a="1"/>
  <c r="C221" i="1" s="1"/>
  <c r="B221" i="1" a="1"/>
  <c r="B221" i="1" s="1"/>
  <c r="O220" i="1"/>
  <c r="N220" i="1"/>
  <c r="M220" i="1"/>
  <c r="L220" i="1"/>
  <c r="K220" i="1"/>
  <c r="J220" i="1"/>
  <c r="I220" i="1"/>
  <c r="H220" i="1"/>
  <c r="G220" i="1"/>
  <c r="F220" i="1"/>
  <c r="E220" i="1"/>
  <c r="D220" i="1" a="1"/>
  <c r="D220" i="1" s="1"/>
  <c r="C220" i="1" a="1"/>
  <c r="C220" i="1" s="1"/>
  <c r="B220" i="1" a="1"/>
  <c r="B220" i="1" s="1"/>
  <c r="O219" i="1"/>
  <c r="N219" i="1"/>
  <c r="M219" i="1"/>
  <c r="L219" i="1"/>
  <c r="K219" i="1"/>
  <c r="J219" i="1"/>
  <c r="I219" i="1"/>
  <c r="H219" i="1"/>
  <c r="G219" i="1"/>
  <c r="F219" i="1"/>
  <c r="E219" i="1"/>
  <c r="D219" i="1" a="1"/>
  <c r="D219" i="1" s="1"/>
  <c r="C219" i="1" a="1"/>
  <c r="C219" i="1" s="1"/>
  <c r="B219" i="1" a="1"/>
  <c r="B219" i="1" s="1"/>
  <c r="O218" i="1"/>
  <c r="N218" i="1"/>
  <c r="M218" i="1"/>
  <c r="L218" i="1"/>
  <c r="K218" i="1"/>
  <c r="J218" i="1"/>
  <c r="I218" i="1"/>
  <c r="H218" i="1"/>
  <c r="G218" i="1"/>
  <c r="F218" i="1"/>
  <c r="E218" i="1"/>
  <c r="D218" i="1" a="1"/>
  <c r="D218" i="1" s="1"/>
  <c r="C218" i="1" a="1"/>
  <c r="C218" i="1" s="1"/>
  <c r="B218" i="1" a="1"/>
  <c r="B218" i="1" s="1"/>
  <c r="O217" i="1"/>
  <c r="N217" i="1"/>
  <c r="M217" i="1"/>
  <c r="L217" i="1"/>
  <c r="K217" i="1"/>
  <c r="J217" i="1"/>
  <c r="I217" i="1"/>
  <c r="H217" i="1"/>
  <c r="G217" i="1"/>
  <c r="F217" i="1"/>
  <c r="E217" i="1"/>
  <c r="D217" i="1" a="1"/>
  <c r="D217" i="1" s="1"/>
  <c r="C217" i="1" a="1"/>
  <c r="C217" i="1" s="1"/>
  <c r="B217" i="1" a="1"/>
  <c r="B217" i="1" s="1"/>
  <c r="O216" i="1"/>
  <c r="N216" i="1"/>
  <c r="M216" i="1"/>
  <c r="L216" i="1"/>
  <c r="K216" i="1"/>
  <c r="J216" i="1"/>
  <c r="I216" i="1"/>
  <c r="H216" i="1"/>
  <c r="G216" i="1"/>
  <c r="F216" i="1"/>
  <c r="E216" i="1"/>
  <c r="D216" i="1" a="1"/>
  <c r="D216" i="1" s="1"/>
  <c r="C216" i="1" a="1"/>
  <c r="C216" i="1" s="1"/>
  <c r="B216" i="1" a="1"/>
  <c r="B216" i="1" s="1"/>
  <c r="O215" i="1"/>
  <c r="N215" i="1"/>
  <c r="M215" i="1"/>
  <c r="L215" i="1"/>
  <c r="K215" i="1"/>
  <c r="J215" i="1"/>
  <c r="I215" i="1"/>
  <c r="H215" i="1"/>
  <c r="G215" i="1"/>
  <c r="F215" i="1"/>
  <c r="E215" i="1"/>
  <c r="D215" i="1" a="1"/>
  <c r="D215" i="1" s="1"/>
  <c r="C215" i="1" a="1"/>
  <c r="C215" i="1" s="1"/>
  <c r="B215" i="1" a="1"/>
  <c r="B215" i="1" s="1"/>
  <c r="O214" i="1"/>
  <c r="N214" i="1"/>
  <c r="M214" i="1"/>
  <c r="L214" i="1"/>
  <c r="K214" i="1"/>
  <c r="J214" i="1"/>
  <c r="I214" i="1"/>
  <c r="H214" i="1"/>
  <c r="G214" i="1"/>
  <c r="F214" i="1"/>
  <c r="E214" i="1"/>
  <c r="D214" i="1" a="1"/>
  <c r="D214" i="1" s="1"/>
  <c r="C214" i="1" a="1"/>
  <c r="C214" i="1" s="1"/>
  <c r="B214" i="1" a="1"/>
  <c r="B214" i="1" s="1"/>
  <c r="O213" i="1"/>
  <c r="N213" i="1"/>
  <c r="M213" i="1"/>
  <c r="L213" i="1"/>
  <c r="K213" i="1"/>
  <c r="J213" i="1"/>
  <c r="I213" i="1"/>
  <c r="H213" i="1"/>
  <c r="G213" i="1"/>
  <c r="F213" i="1"/>
  <c r="E213" i="1"/>
  <c r="D213" i="1" a="1"/>
  <c r="D213" i="1" s="1"/>
  <c r="C213" i="1" a="1"/>
  <c r="C213" i="1" s="1"/>
  <c r="B213" i="1" a="1"/>
  <c r="B213" i="1" s="1"/>
  <c r="O212" i="1"/>
  <c r="N212" i="1"/>
  <c r="M212" i="1"/>
  <c r="L212" i="1"/>
  <c r="K212" i="1"/>
  <c r="J212" i="1"/>
  <c r="I212" i="1"/>
  <c r="H212" i="1"/>
  <c r="G212" i="1"/>
  <c r="F212" i="1"/>
  <c r="E212" i="1"/>
  <c r="D212" i="1" a="1"/>
  <c r="D212" i="1" s="1"/>
  <c r="C212" i="1" a="1"/>
  <c r="C212" i="1" s="1"/>
  <c r="B212" i="1" a="1"/>
  <c r="B212" i="1" s="1"/>
  <c r="O211" i="1"/>
  <c r="N211" i="1"/>
  <c r="M211" i="1"/>
  <c r="L211" i="1"/>
  <c r="K211" i="1"/>
  <c r="J211" i="1"/>
  <c r="I211" i="1"/>
  <c r="H211" i="1"/>
  <c r="G211" i="1"/>
  <c r="F211" i="1"/>
  <c r="E211" i="1"/>
  <c r="D211" i="1" a="1"/>
  <c r="D211" i="1" s="1"/>
  <c r="C211" i="1" a="1"/>
  <c r="C211" i="1" s="1"/>
  <c r="B211" i="1" a="1"/>
  <c r="B211" i="1" s="1"/>
  <c r="O210" i="1"/>
  <c r="N210" i="1"/>
  <c r="M210" i="1"/>
  <c r="L210" i="1"/>
  <c r="K210" i="1"/>
  <c r="J210" i="1"/>
  <c r="I210" i="1"/>
  <c r="H210" i="1"/>
  <c r="G210" i="1"/>
  <c r="F210" i="1"/>
  <c r="E210" i="1"/>
  <c r="D210" i="1" a="1"/>
  <c r="D210" i="1" s="1"/>
  <c r="C210" i="1" a="1"/>
  <c r="C210" i="1" s="1"/>
  <c r="B210" i="1" a="1"/>
  <c r="B210" i="1" s="1"/>
  <c r="O209" i="1"/>
  <c r="N209" i="1"/>
  <c r="M209" i="1"/>
  <c r="L209" i="1"/>
  <c r="K209" i="1"/>
  <c r="J209" i="1"/>
  <c r="I209" i="1"/>
  <c r="H209" i="1"/>
  <c r="G209" i="1"/>
  <c r="F209" i="1"/>
  <c r="E209" i="1"/>
  <c r="D209" i="1" a="1"/>
  <c r="D209" i="1" s="1"/>
  <c r="C209" i="1" a="1"/>
  <c r="C209" i="1" s="1"/>
  <c r="B209" i="1" a="1"/>
  <c r="B209" i="1" s="1"/>
  <c r="O208" i="1"/>
  <c r="N208" i="1"/>
  <c r="M208" i="1"/>
  <c r="L208" i="1"/>
  <c r="K208" i="1"/>
  <c r="J208" i="1"/>
  <c r="I208" i="1"/>
  <c r="H208" i="1"/>
  <c r="G208" i="1"/>
  <c r="F208" i="1"/>
  <c r="E208" i="1"/>
  <c r="D208" i="1" a="1"/>
  <c r="D208" i="1" s="1"/>
  <c r="C208" i="1" a="1"/>
  <c r="C208" i="1" s="1"/>
  <c r="B208" i="1" a="1"/>
  <c r="B208" i="1" s="1"/>
  <c r="O207" i="1"/>
  <c r="N207" i="1"/>
  <c r="M207" i="1"/>
  <c r="L207" i="1"/>
  <c r="K207" i="1"/>
  <c r="J207" i="1"/>
  <c r="I207" i="1"/>
  <c r="H207" i="1"/>
  <c r="G207" i="1"/>
  <c r="F207" i="1"/>
  <c r="E207" i="1"/>
  <c r="D207" i="1" a="1"/>
  <c r="D207" i="1" s="1"/>
  <c r="C207" i="1" a="1"/>
  <c r="C207" i="1" s="1"/>
  <c r="B207" i="1" a="1"/>
  <c r="B207" i="1" s="1"/>
  <c r="O206" i="1"/>
  <c r="N206" i="1"/>
  <c r="M206" i="1"/>
  <c r="L206" i="1"/>
  <c r="K206" i="1"/>
  <c r="J206" i="1"/>
  <c r="I206" i="1"/>
  <c r="H206" i="1"/>
  <c r="G206" i="1"/>
  <c r="F206" i="1"/>
  <c r="E206" i="1"/>
  <c r="D206" i="1" a="1"/>
  <c r="D206" i="1" s="1"/>
  <c r="C206" i="1" a="1"/>
  <c r="C206" i="1" s="1"/>
  <c r="B206" i="1" a="1"/>
  <c r="B206" i="1" s="1"/>
  <c r="O205" i="1"/>
  <c r="N205" i="1"/>
  <c r="M205" i="1"/>
  <c r="L205" i="1"/>
  <c r="K205" i="1"/>
  <c r="J205" i="1"/>
  <c r="I205" i="1"/>
  <c r="H205" i="1"/>
  <c r="G205" i="1"/>
  <c r="F205" i="1"/>
  <c r="E205" i="1"/>
  <c r="D205" i="1" a="1"/>
  <c r="D205" i="1" s="1"/>
  <c r="C205" i="1" a="1"/>
  <c r="C205" i="1" s="1"/>
  <c r="B205" i="1" a="1"/>
  <c r="B205" i="1" s="1"/>
  <c r="O204" i="1"/>
  <c r="N204" i="1"/>
  <c r="M204" i="1"/>
  <c r="L204" i="1"/>
  <c r="K204" i="1"/>
  <c r="J204" i="1"/>
  <c r="I204" i="1"/>
  <c r="H204" i="1"/>
  <c r="G204" i="1"/>
  <c r="F204" i="1"/>
  <c r="E204" i="1"/>
  <c r="D204" i="1" a="1"/>
  <c r="D204" i="1" s="1"/>
  <c r="C204" i="1" a="1"/>
  <c r="C204" i="1" s="1"/>
  <c r="B204" i="1" a="1"/>
  <c r="B204" i="1" s="1"/>
  <c r="O203" i="1"/>
  <c r="N203" i="1"/>
  <c r="M203" i="1"/>
  <c r="L203" i="1"/>
  <c r="K203" i="1"/>
  <c r="J203" i="1"/>
  <c r="I203" i="1"/>
  <c r="H203" i="1"/>
  <c r="G203" i="1"/>
  <c r="F203" i="1"/>
  <c r="E203" i="1"/>
  <c r="D203" i="1" a="1"/>
  <c r="D203" i="1" s="1"/>
  <c r="C203" i="1" a="1"/>
  <c r="C203" i="1" s="1"/>
  <c r="B203" i="1" a="1"/>
  <c r="B203" i="1" s="1"/>
  <c r="O202" i="1"/>
  <c r="N202" i="1"/>
  <c r="M202" i="1"/>
  <c r="L202" i="1"/>
  <c r="K202" i="1"/>
  <c r="J202" i="1"/>
  <c r="I202" i="1"/>
  <c r="H202" i="1"/>
  <c r="G202" i="1"/>
  <c r="F202" i="1"/>
  <c r="E202" i="1"/>
  <c r="D202" i="1" a="1"/>
  <c r="D202" i="1" s="1"/>
  <c r="C202" i="1" a="1"/>
  <c r="C202" i="1" s="1"/>
  <c r="B202" i="1" a="1"/>
  <c r="B202" i="1" s="1"/>
  <c r="O201" i="1"/>
  <c r="N201" i="1"/>
  <c r="M201" i="1"/>
  <c r="L201" i="1"/>
  <c r="K201" i="1"/>
  <c r="J201" i="1"/>
  <c r="I201" i="1"/>
  <c r="H201" i="1"/>
  <c r="G201" i="1"/>
  <c r="F201" i="1"/>
  <c r="E201" i="1"/>
  <c r="D201" i="1" a="1"/>
  <c r="D201" i="1" s="1"/>
  <c r="C201" i="1" a="1"/>
  <c r="C201" i="1" s="1"/>
  <c r="B201" i="1" a="1"/>
  <c r="B201" i="1" s="1"/>
  <c r="O200" i="1"/>
  <c r="N200" i="1"/>
  <c r="M200" i="1"/>
  <c r="L200" i="1"/>
  <c r="K200" i="1"/>
  <c r="J200" i="1"/>
  <c r="I200" i="1"/>
  <c r="H200" i="1"/>
  <c r="G200" i="1"/>
  <c r="F200" i="1"/>
  <c r="E200" i="1"/>
  <c r="D200" i="1" a="1"/>
  <c r="D200" i="1" s="1"/>
  <c r="C200" i="1" a="1"/>
  <c r="C200" i="1" s="1"/>
  <c r="B200" i="1" a="1"/>
  <c r="B200" i="1" s="1"/>
  <c r="O199" i="1"/>
  <c r="N199" i="1"/>
  <c r="M199" i="1"/>
  <c r="L199" i="1"/>
  <c r="K199" i="1"/>
  <c r="J199" i="1"/>
  <c r="I199" i="1"/>
  <c r="H199" i="1"/>
  <c r="G199" i="1"/>
  <c r="F199" i="1"/>
  <c r="E199" i="1"/>
  <c r="D199" i="1" a="1"/>
  <c r="D199" i="1" s="1"/>
  <c r="C199" i="1" a="1"/>
  <c r="C199" i="1" s="1"/>
  <c r="B199" i="1" a="1"/>
  <c r="B199" i="1" s="1"/>
  <c r="O198" i="1"/>
  <c r="N198" i="1"/>
  <c r="M198" i="1"/>
  <c r="L198" i="1"/>
  <c r="K198" i="1"/>
  <c r="J198" i="1"/>
  <c r="I198" i="1"/>
  <c r="H198" i="1"/>
  <c r="G198" i="1"/>
  <c r="F198" i="1"/>
  <c r="E198" i="1"/>
  <c r="D198" i="1" a="1"/>
  <c r="D198" i="1" s="1"/>
  <c r="C198" i="1" a="1"/>
  <c r="C198" i="1" s="1"/>
  <c r="B198" i="1" a="1"/>
  <c r="B198" i="1" s="1"/>
  <c r="O197" i="1"/>
  <c r="N197" i="1"/>
  <c r="M197" i="1"/>
  <c r="L197" i="1"/>
  <c r="K197" i="1"/>
  <c r="J197" i="1"/>
  <c r="I197" i="1"/>
  <c r="H197" i="1"/>
  <c r="G197" i="1"/>
  <c r="F197" i="1"/>
  <c r="E197" i="1"/>
  <c r="D197" i="1" a="1"/>
  <c r="D197" i="1" s="1"/>
  <c r="C197" i="1" a="1"/>
  <c r="C197" i="1" s="1"/>
  <c r="B197" i="1" a="1"/>
  <c r="B197" i="1" s="1"/>
  <c r="O196" i="1"/>
  <c r="N196" i="1"/>
  <c r="M196" i="1"/>
  <c r="L196" i="1"/>
  <c r="K196" i="1"/>
  <c r="J196" i="1"/>
  <c r="I196" i="1"/>
  <c r="H196" i="1"/>
  <c r="G196" i="1"/>
  <c r="F196" i="1"/>
  <c r="E196" i="1"/>
  <c r="D196" i="1" a="1"/>
  <c r="D196" i="1" s="1"/>
  <c r="C196" i="1" a="1"/>
  <c r="C196" i="1" s="1"/>
  <c r="B196" i="1" a="1"/>
  <c r="B196" i="1" s="1"/>
  <c r="O195" i="1"/>
  <c r="N195" i="1"/>
  <c r="M195" i="1"/>
  <c r="L195" i="1"/>
  <c r="K195" i="1"/>
  <c r="J195" i="1"/>
  <c r="I195" i="1"/>
  <c r="H195" i="1"/>
  <c r="G195" i="1"/>
  <c r="F195" i="1"/>
  <c r="E195" i="1"/>
  <c r="D195" i="1" a="1"/>
  <c r="D195" i="1" s="1"/>
  <c r="C195" i="1" a="1"/>
  <c r="C195" i="1" s="1"/>
  <c r="B195" i="1" a="1"/>
  <c r="B195" i="1" s="1"/>
  <c r="O194" i="1"/>
  <c r="N194" i="1"/>
  <c r="M194" i="1"/>
  <c r="L194" i="1"/>
  <c r="K194" i="1"/>
  <c r="J194" i="1"/>
  <c r="I194" i="1"/>
  <c r="H194" i="1"/>
  <c r="G194" i="1"/>
  <c r="F194" i="1"/>
  <c r="E194" i="1"/>
  <c r="D194" i="1" a="1"/>
  <c r="D194" i="1" s="1"/>
  <c r="C194" i="1" a="1"/>
  <c r="C194" i="1" s="1"/>
  <c r="B194" i="1" a="1"/>
  <c r="B194" i="1" s="1"/>
  <c r="O193" i="1"/>
  <c r="N193" i="1"/>
  <c r="M193" i="1"/>
  <c r="L193" i="1"/>
  <c r="K193" i="1"/>
  <c r="J193" i="1"/>
  <c r="I193" i="1"/>
  <c r="H193" i="1"/>
  <c r="G193" i="1"/>
  <c r="F193" i="1"/>
  <c r="E193" i="1"/>
  <c r="D193" i="1" a="1"/>
  <c r="D193" i="1" s="1"/>
  <c r="C193" i="1" a="1"/>
  <c r="C193" i="1" s="1"/>
  <c r="B193" i="1" a="1"/>
  <c r="B193" i="1" s="1"/>
  <c r="O192" i="1"/>
  <c r="N192" i="1"/>
  <c r="M192" i="1"/>
  <c r="L192" i="1"/>
  <c r="K192" i="1"/>
  <c r="J192" i="1"/>
  <c r="I192" i="1"/>
  <c r="H192" i="1"/>
  <c r="G192" i="1"/>
  <c r="F192" i="1"/>
  <c r="E192" i="1"/>
  <c r="D192" i="1" a="1"/>
  <c r="D192" i="1" s="1"/>
  <c r="C192" i="1" a="1"/>
  <c r="C192" i="1" s="1"/>
  <c r="B192" i="1" a="1"/>
  <c r="B192" i="1" s="1"/>
  <c r="O191" i="1"/>
  <c r="N191" i="1"/>
  <c r="M191" i="1"/>
  <c r="L191" i="1"/>
  <c r="K191" i="1"/>
  <c r="J191" i="1"/>
  <c r="I191" i="1"/>
  <c r="H191" i="1"/>
  <c r="G191" i="1"/>
  <c r="F191" i="1"/>
  <c r="E191" i="1"/>
  <c r="D191" i="1" a="1"/>
  <c r="D191" i="1" s="1"/>
  <c r="C191" i="1" a="1"/>
  <c r="C191" i="1" s="1"/>
  <c r="B191" i="1" a="1"/>
  <c r="B191" i="1" s="1"/>
  <c r="O190" i="1"/>
  <c r="N190" i="1"/>
  <c r="M190" i="1"/>
  <c r="L190" i="1"/>
  <c r="K190" i="1"/>
  <c r="J190" i="1"/>
  <c r="I190" i="1"/>
  <c r="H190" i="1"/>
  <c r="G190" i="1"/>
  <c r="F190" i="1"/>
  <c r="E190" i="1"/>
  <c r="D190" i="1" a="1"/>
  <c r="D190" i="1" s="1"/>
  <c r="C190" i="1" a="1"/>
  <c r="C190" i="1" s="1"/>
  <c r="B190" i="1" a="1"/>
  <c r="B190" i="1" s="1"/>
  <c r="O189" i="1"/>
  <c r="N189" i="1"/>
  <c r="M189" i="1"/>
  <c r="L189" i="1"/>
  <c r="K189" i="1"/>
  <c r="J189" i="1"/>
  <c r="I189" i="1"/>
  <c r="H189" i="1"/>
  <c r="G189" i="1"/>
  <c r="F189" i="1"/>
  <c r="E189" i="1"/>
  <c r="D189" i="1" a="1"/>
  <c r="D189" i="1" s="1"/>
  <c r="C189" i="1" a="1"/>
  <c r="C189" i="1" s="1"/>
  <c r="B189" i="1" a="1"/>
  <c r="B189" i="1" s="1"/>
  <c r="O188" i="1"/>
  <c r="N188" i="1"/>
  <c r="M188" i="1"/>
  <c r="L188" i="1"/>
  <c r="K188" i="1"/>
  <c r="J188" i="1"/>
  <c r="I188" i="1"/>
  <c r="H188" i="1"/>
  <c r="G188" i="1"/>
  <c r="F188" i="1"/>
  <c r="E188" i="1"/>
  <c r="D188" i="1" a="1"/>
  <c r="D188" i="1" s="1"/>
  <c r="C188" i="1" a="1"/>
  <c r="C188" i="1" s="1"/>
  <c r="B188" i="1" a="1"/>
  <c r="B188" i="1" s="1"/>
  <c r="O187" i="1"/>
  <c r="N187" i="1"/>
  <c r="M187" i="1"/>
  <c r="L187" i="1"/>
  <c r="K187" i="1"/>
  <c r="J187" i="1"/>
  <c r="I187" i="1"/>
  <c r="H187" i="1"/>
  <c r="G187" i="1"/>
  <c r="F187" i="1"/>
  <c r="E187" i="1"/>
  <c r="D187" i="1" a="1"/>
  <c r="D187" i="1" s="1"/>
  <c r="C187" i="1" a="1"/>
  <c r="C187" i="1" s="1"/>
  <c r="B187" i="1" a="1"/>
  <c r="B187" i="1" s="1"/>
  <c r="O186" i="1"/>
  <c r="N186" i="1"/>
  <c r="M186" i="1"/>
  <c r="L186" i="1"/>
  <c r="K186" i="1"/>
  <c r="J186" i="1"/>
  <c r="I186" i="1"/>
  <c r="H186" i="1"/>
  <c r="G186" i="1"/>
  <c r="F186" i="1"/>
  <c r="E186" i="1"/>
  <c r="D186" i="1" a="1"/>
  <c r="D186" i="1" s="1"/>
  <c r="C186" i="1" a="1"/>
  <c r="C186" i="1" s="1"/>
  <c r="B186" i="1" a="1"/>
  <c r="B186" i="1" s="1"/>
  <c r="O185" i="1"/>
  <c r="N185" i="1"/>
  <c r="M185" i="1"/>
  <c r="L185" i="1"/>
  <c r="K185" i="1"/>
  <c r="J185" i="1"/>
  <c r="I185" i="1"/>
  <c r="H185" i="1"/>
  <c r="G185" i="1"/>
  <c r="F185" i="1"/>
  <c r="E185" i="1"/>
  <c r="D185" i="1" a="1"/>
  <c r="D185" i="1" s="1"/>
  <c r="C185" i="1" a="1"/>
  <c r="C185" i="1" s="1"/>
  <c r="B185" i="1" a="1"/>
  <c r="B185" i="1" s="1"/>
  <c r="O184" i="1"/>
  <c r="N184" i="1"/>
  <c r="M184" i="1"/>
  <c r="L184" i="1"/>
  <c r="K184" i="1"/>
  <c r="J184" i="1"/>
  <c r="I184" i="1"/>
  <c r="H184" i="1"/>
  <c r="G184" i="1"/>
  <c r="F184" i="1"/>
  <c r="E184" i="1"/>
  <c r="D184" i="1" a="1"/>
  <c r="D184" i="1" s="1"/>
  <c r="C184" i="1" a="1"/>
  <c r="C184" i="1" s="1"/>
  <c r="B184" i="1" a="1"/>
  <c r="B184" i="1" s="1"/>
  <c r="O183" i="1"/>
  <c r="N183" i="1"/>
  <c r="M183" i="1"/>
  <c r="L183" i="1"/>
  <c r="K183" i="1"/>
  <c r="J183" i="1"/>
  <c r="I183" i="1"/>
  <c r="H183" i="1"/>
  <c r="G183" i="1"/>
  <c r="F183" i="1"/>
  <c r="E183" i="1"/>
  <c r="D183" i="1" a="1"/>
  <c r="D183" i="1" s="1"/>
  <c r="C183" i="1" a="1"/>
  <c r="C183" i="1" s="1"/>
  <c r="B183" i="1" a="1"/>
  <c r="B183" i="1" s="1"/>
  <c r="O182" i="1"/>
  <c r="N182" i="1"/>
  <c r="M182" i="1"/>
  <c r="L182" i="1"/>
  <c r="K182" i="1"/>
  <c r="J182" i="1"/>
  <c r="I182" i="1"/>
  <c r="H182" i="1"/>
  <c r="G182" i="1"/>
  <c r="F182" i="1"/>
  <c r="E182" i="1"/>
  <c r="D182" i="1" a="1"/>
  <c r="D182" i="1" s="1"/>
  <c r="C182" i="1" a="1"/>
  <c r="C182" i="1" s="1"/>
  <c r="B182" i="1" a="1"/>
  <c r="B182" i="1" s="1"/>
  <c r="O181" i="1"/>
  <c r="N181" i="1"/>
  <c r="M181" i="1"/>
  <c r="L181" i="1"/>
  <c r="K181" i="1"/>
  <c r="J181" i="1"/>
  <c r="I181" i="1"/>
  <c r="H181" i="1"/>
  <c r="G181" i="1"/>
  <c r="F181" i="1"/>
  <c r="E181" i="1"/>
  <c r="D181" i="1" a="1"/>
  <c r="D181" i="1" s="1"/>
  <c r="C181" i="1" a="1"/>
  <c r="C181" i="1" s="1"/>
  <c r="B181" i="1" a="1"/>
  <c r="B181" i="1" s="1"/>
  <c r="O180" i="1"/>
  <c r="N180" i="1"/>
  <c r="M180" i="1"/>
  <c r="L180" i="1"/>
  <c r="K180" i="1"/>
  <c r="J180" i="1"/>
  <c r="I180" i="1"/>
  <c r="H180" i="1"/>
  <c r="G180" i="1"/>
  <c r="F180" i="1"/>
  <c r="E180" i="1"/>
  <c r="D180" i="1" a="1"/>
  <c r="D180" i="1" s="1"/>
  <c r="C180" i="1" a="1"/>
  <c r="C180" i="1" s="1"/>
  <c r="B180" i="1" a="1"/>
  <c r="B180" i="1" s="1"/>
  <c r="O179" i="1"/>
  <c r="N179" i="1"/>
  <c r="M179" i="1"/>
  <c r="L179" i="1"/>
  <c r="K179" i="1"/>
  <c r="J179" i="1"/>
  <c r="I179" i="1"/>
  <c r="H179" i="1"/>
  <c r="G179" i="1"/>
  <c r="F179" i="1"/>
  <c r="E179" i="1"/>
  <c r="D179" i="1" a="1"/>
  <c r="D179" i="1" s="1"/>
  <c r="C179" i="1" a="1"/>
  <c r="C179" i="1" s="1"/>
  <c r="B179" i="1" a="1"/>
  <c r="B179" i="1" s="1"/>
  <c r="O178" i="1"/>
  <c r="N178" i="1"/>
  <c r="M178" i="1"/>
  <c r="L178" i="1"/>
  <c r="K178" i="1"/>
  <c r="J178" i="1"/>
  <c r="I178" i="1"/>
  <c r="H178" i="1"/>
  <c r="G178" i="1"/>
  <c r="F178" i="1"/>
  <c r="E178" i="1"/>
  <c r="D178" i="1" a="1"/>
  <c r="D178" i="1" s="1"/>
  <c r="C178" i="1" a="1"/>
  <c r="C178" i="1" s="1"/>
  <c r="B178" i="1" a="1"/>
  <c r="B178" i="1" s="1"/>
  <c r="O177" i="1"/>
  <c r="N177" i="1"/>
  <c r="M177" i="1"/>
  <c r="L177" i="1"/>
  <c r="K177" i="1"/>
  <c r="J177" i="1"/>
  <c r="I177" i="1"/>
  <c r="H177" i="1"/>
  <c r="G177" i="1"/>
  <c r="F177" i="1"/>
  <c r="E177" i="1"/>
  <c r="D177" i="1" a="1"/>
  <c r="D177" i="1" s="1"/>
  <c r="C177" i="1" a="1"/>
  <c r="C177" i="1" s="1"/>
  <c r="B177" i="1" a="1"/>
  <c r="B177" i="1" s="1"/>
  <c r="O176" i="1"/>
  <c r="N176" i="1"/>
  <c r="M176" i="1"/>
  <c r="L176" i="1"/>
  <c r="K176" i="1"/>
  <c r="J176" i="1"/>
  <c r="I176" i="1"/>
  <c r="H176" i="1"/>
  <c r="G176" i="1"/>
  <c r="F176" i="1"/>
  <c r="E176" i="1"/>
  <c r="D176" i="1" a="1"/>
  <c r="D176" i="1" s="1"/>
  <c r="C176" i="1" a="1"/>
  <c r="C176" i="1" s="1"/>
  <c r="B176" i="1" a="1"/>
  <c r="B176" i="1" s="1"/>
  <c r="O175" i="1"/>
  <c r="N175" i="1"/>
  <c r="M175" i="1"/>
  <c r="L175" i="1"/>
  <c r="K175" i="1"/>
  <c r="J175" i="1"/>
  <c r="I175" i="1"/>
  <c r="H175" i="1"/>
  <c r="G175" i="1"/>
  <c r="F175" i="1"/>
  <c r="E175" i="1"/>
  <c r="D175" i="1" a="1"/>
  <c r="D175" i="1" s="1"/>
  <c r="C175" i="1" a="1"/>
  <c r="C175" i="1" s="1"/>
  <c r="B175" i="1" a="1"/>
  <c r="B175" i="1" s="1"/>
  <c r="O174" i="1"/>
  <c r="N174" i="1"/>
  <c r="M174" i="1"/>
  <c r="L174" i="1"/>
  <c r="K174" i="1"/>
  <c r="J174" i="1"/>
  <c r="I174" i="1"/>
  <c r="H174" i="1"/>
  <c r="G174" i="1"/>
  <c r="F174" i="1"/>
  <c r="E174" i="1"/>
  <c r="D174" i="1" a="1"/>
  <c r="D174" i="1" s="1"/>
  <c r="C174" i="1" a="1"/>
  <c r="C174" i="1" s="1"/>
  <c r="B174" i="1" a="1"/>
  <c r="B174" i="1" s="1"/>
  <c r="O173" i="1"/>
  <c r="N173" i="1"/>
  <c r="M173" i="1"/>
  <c r="L173" i="1"/>
  <c r="K173" i="1"/>
  <c r="J173" i="1"/>
  <c r="I173" i="1"/>
  <c r="H173" i="1"/>
  <c r="G173" i="1"/>
  <c r="F173" i="1"/>
  <c r="E173" i="1"/>
  <c r="D173" i="1" a="1"/>
  <c r="D173" i="1" s="1"/>
  <c r="C173" i="1" a="1"/>
  <c r="C173" i="1" s="1"/>
  <c r="B173" i="1" a="1"/>
  <c r="B173" i="1" s="1"/>
  <c r="O172" i="1"/>
  <c r="N172" i="1"/>
  <c r="M172" i="1"/>
  <c r="L172" i="1"/>
  <c r="K172" i="1"/>
  <c r="J172" i="1"/>
  <c r="I172" i="1"/>
  <c r="H172" i="1"/>
  <c r="G172" i="1"/>
  <c r="F172" i="1"/>
  <c r="E172" i="1"/>
  <c r="D172" i="1" a="1"/>
  <c r="D172" i="1" s="1"/>
  <c r="C172" i="1" a="1"/>
  <c r="C172" i="1" s="1"/>
  <c r="B172" i="1" a="1"/>
  <c r="B172" i="1" s="1"/>
  <c r="O171" i="1"/>
  <c r="N171" i="1"/>
  <c r="M171" i="1"/>
  <c r="L171" i="1"/>
  <c r="K171" i="1"/>
  <c r="J171" i="1"/>
  <c r="I171" i="1"/>
  <c r="H171" i="1"/>
  <c r="G171" i="1"/>
  <c r="F171" i="1"/>
  <c r="E171" i="1"/>
  <c r="D171" i="1" a="1"/>
  <c r="D171" i="1" s="1"/>
  <c r="C171" i="1" a="1"/>
  <c r="C171" i="1" s="1"/>
  <c r="B171" i="1" a="1"/>
  <c r="B171" i="1" s="1"/>
  <c r="O170" i="1"/>
  <c r="N170" i="1"/>
  <c r="M170" i="1"/>
  <c r="L170" i="1"/>
  <c r="K170" i="1"/>
  <c r="J170" i="1"/>
  <c r="I170" i="1"/>
  <c r="H170" i="1"/>
  <c r="G170" i="1"/>
  <c r="F170" i="1"/>
  <c r="E170" i="1"/>
  <c r="D170" i="1" a="1"/>
  <c r="D170" i="1" s="1"/>
  <c r="C170" i="1" a="1"/>
  <c r="C170" i="1" s="1"/>
  <c r="B170" i="1" a="1"/>
  <c r="B170" i="1" s="1"/>
  <c r="O169" i="1"/>
  <c r="N169" i="1"/>
  <c r="M169" i="1"/>
  <c r="L169" i="1"/>
  <c r="K169" i="1"/>
  <c r="J169" i="1"/>
  <c r="I169" i="1"/>
  <c r="H169" i="1"/>
  <c r="G169" i="1"/>
  <c r="F169" i="1"/>
  <c r="E169" i="1"/>
  <c r="D169" i="1" a="1"/>
  <c r="D169" i="1" s="1"/>
  <c r="C169" i="1" a="1"/>
  <c r="C169" i="1" s="1"/>
  <c r="B169" i="1" a="1"/>
  <c r="B169" i="1" s="1"/>
  <c r="O168" i="1"/>
  <c r="N168" i="1"/>
  <c r="M168" i="1"/>
  <c r="L168" i="1"/>
  <c r="K168" i="1"/>
  <c r="J168" i="1"/>
  <c r="I168" i="1"/>
  <c r="H168" i="1"/>
  <c r="G168" i="1"/>
  <c r="F168" i="1"/>
  <c r="E168" i="1"/>
  <c r="D168" i="1" a="1"/>
  <c r="D168" i="1" s="1"/>
  <c r="C168" i="1" a="1"/>
  <c r="C168" i="1" s="1"/>
  <c r="B168" i="1" a="1"/>
  <c r="B168" i="1" s="1"/>
  <c r="O167" i="1"/>
  <c r="N167" i="1"/>
  <c r="M167" i="1"/>
  <c r="L167" i="1"/>
  <c r="K167" i="1"/>
  <c r="J167" i="1"/>
  <c r="I167" i="1"/>
  <c r="H167" i="1"/>
  <c r="G167" i="1"/>
  <c r="F167" i="1"/>
  <c r="E167" i="1"/>
  <c r="D167" i="1" a="1"/>
  <c r="D167" i="1" s="1"/>
  <c r="C167" i="1" a="1"/>
  <c r="C167" i="1" s="1"/>
  <c r="B167" i="1" a="1"/>
  <c r="B167" i="1" s="1"/>
  <c r="O166" i="1"/>
  <c r="N166" i="1"/>
  <c r="M166" i="1"/>
  <c r="L166" i="1"/>
  <c r="K166" i="1"/>
  <c r="J166" i="1"/>
  <c r="I166" i="1"/>
  <c r="H166" i="1"/>
  <c r="G166" i="1"/>
  <c r="F166" i="1"/>
  <c r="E166" i="1"/>
  <c r="D166" i="1" a="1"/>
  <c r="D166" i="1" s="1"/>
  <c r="C166" i="1" a="1"/>
  <c r="C166" i="1" s="1"/>
  <c r="B166" i="1" a="1"/>
  <c r="B166" i="1" s="1"/>
  <c r="O165" i="1"/>
  <c r="N165" i="1"/>
  <c r="M165" i="1"/>
  <c r="L165" i="1"/>
  <c r="K165" i="1"/>
  <c r="J165" i="1"/>
  <c r="I165" i="1"/>
  <c r="H165" i="1"/>
  <c r="G165" i="1"/>
  <c r="F165" i="1"/>
  <c r="E165" i="1"/>
  <c r="D165" i="1" a="1"/>
  <c r="D165" i="1" s="1"/>
  <c r="C165" i="1" a="1"/>
  <c r="C165" i="1" s="1"/>
  <c r="B165" i="1" a="1"/>
  <c r="B165" i="1" s="1"/>
  <c r="O164" i="1"/>
  <c r="N164" i="1"/>
  <c r="M164" i="1"/>
  <c r="L164" i="1"/>
  <c r="K164" i="1"/>
  <c r="J164" i="1"/>
  <c r="I164" i="1"/>
  <c r="H164" i="1"/>
  <c r="G164" i="1"/>
  <c r="F164" i="1"/>
  <c r="E164" i="1"/>
  <c r="D164" i="1" a="1"/>
  <c r="D164" i="1" s="1"/>
  <c r="C164" i="1" a="1"/>
  <c r="C164" i="1" s="1"/>
  <c r="B164" i="1" a="1"/>
  <c r="B164" i="1" s="1"/>
  <c r="O163" i="1"/>
  <c r="N163" i="1"/>
  <c r="M163" i="1"/>
  <c r="L163" i="1"/>
  <c r="K163" i="1"/>
  <c r="J163" i="1"/>
  <c r="I163" i="1"/>
  <c r="H163" i="1"/>
  <c r="G163" i="1"/>
  <c r="F163" i="1"/>
  <c r="E163" i="1"/>
  <c r="D163" i="1" a="1"/>
  <c r="D163" i="1" s="1"/>
  <c r="C163" i="1" a="1"/>
  <c r="C163" i="1" s="1"/>
  <c r="B163" i="1" a="1"/>
  <c r="B163" i="1" s="1"/>
  <c r="O162" i="1"/>
  <c r="N162" i="1"/>
  <c r="M162" i="1"/>
  <c r="L162" i="1"/>
  <c r="K162" i="1"/>
  <c r="J162" i="1"/>
  <c r="I162" i="1"/>
  <c r="H162" i="1"/>
  <c r="G162" i="1"/>
  <c r="F162" i="1"/>
  <c r="E162" i="1"/>
  <c r="D162" i="1" a="1"/>
  <c r="D162" i="1" s="1"/>
  <c r="C162" i="1" a="1"/>
  <c r="C162" i="1" s="1"/>
  <c r="B162" i="1" a="1"/>
  <c r="B162" i="1" s="1"/>
  <c r="O161" i="1"/>
  <c r="N161" i="1"/>
  <c r="M161" i="1"/>
  <c r="L161" i="1"/>
  <c r="K161" i="1"/>
  <c r="J161" i="1"/>
  <c r="I161" i="1"/>
  <c r="H161" i="1"/>
  <c r="G161" i="1"/>
  <c r="F161" i="1"/>
  <c r="E161" i="1"/>
  <c r="D161" i="1" a="1"/>
  <c r="D161" i="1" s="1"/>
  <c r="C161" i="1" a="1"/>
  <c r="C161" i="1" s="1"/>
  <c r="B161" i="1" a="1"/>
  <c r="B161" i="1" s="1"/>
  <c r="O160" i="1"/>
  <c r="N160" i="1"/>
  <c r="M160" i="1"/>
  <c r="L160" i="1"/>
  <c r="K160" i="1"/>
  <c r="J160" i="1"/>
  <c r="I160" i="1"/>
  <c r="H160" i="1"/>
  <c r="G160" i="1"/>
  <c r="F160" i="1"/>
  <c r="E160" i="1"/>
  <c r="D160" i="1" a="1"/>
  <c r="D160" i="1" s="1"/>
  <c r="C160" i="1" a="1"/>
  <c r="C160" i="1" s="1"/>
  <c r="B160" i="1" a="1"/>
  <c r="B160" i="1" s="1"/>
  <c r="O159" i="1"/>
  <c r="N159" i="1"/>
  <c r="M159" i="1"/>
  <c r="L159" i="1"/>
  <c r="K159" i="1"/>
  <c r="J159" i="1"/>
  <c r="I159" i="1"/>
  <c r="H159" i="1"/>
  <c r="G159" i="1"/>
  <c r="F159" i="1"/>
  <c r="E159" i="1"/>
  <c r="D159" i="1" a="1"/>
  <c r="D159" i="1" s="1"/>
  <c r="C159" i="1" a="1"/>
  <c r="C159" i="1" s="1"/>
  <c r="B159" i="1" a="1"/>
  <c r="B159" i="1" s="1"/>
  <c r="O158" i="1"/>
  <c r="N158" i="1"/>
  <c r="M158" i="1"/>
  <c r="L158" i="1"/>
  <c r="K158" i="1"/>
  <c r="J158" i="1"/>
  <c r="I158" i="1"/>
  <c r="H158" i="1"/>
  <c r="G158" i="1"/>
  <c r="F158" i="1"/>
  <c r="E158" i="1"/>
  <c r="D158" i="1" a="1"/>
  <c r="D158" i="1" s="1"/>
  <c r="C158" i="1" a="1"/>
  <c r="C158" i="1" s="1"/>
  <c r="B158" i="1" a="1"/>
  <c r="B158" i="1" s="1"/>
  <c r="O157" i="1"/>
  <c r="N157" i="1"/>
  <c r="M157" i="1"/>
  <c r="L157" i="1"/>
  <c r="K157" i="1"/>
  <c r="J157" i="1"/>
  <c r="I157" i="1"/>
  <c r="H157" i="1"/>
  <c r="G157" i="1"/>
  <c r="F157" i="1"/>
  <c r="E157" i="1"/>
  <c r="D157" i="1" a="1"/>
  <c r="D157" i="1" s="1"/>
  <c r="C157" i="1" a="1"/>
  <c r="C157" i="1" s="1"/>
  <c r="B157" i="1" a="1"/>
  <c r="B157" i="1" s="1"/>
  <c r="O156" i="1"/>
  <c r="N156" i="1"/>
  <c r="M156" i="1"/>
  <c r="L156" i="1"/>
  <c r="K156" i="1"/>
  <c r="J156" i="1"/>
  <c r="I156" i="1"/>
  <c r="H156" i="1"/>
  <c r="G156" i="1"/>
  <c r="F156" i="1"/>
  <c r="E156" i="1"/>
  <c r="D156" i="1" a="1"/>
  <c r="D156" i="1" s="1"/>
  <c r="C156" i="1" a="1"/>
  <c r="C156" i="1" s="1"/>
  <c r="B156" i="1" a="1"/>
  <c r="B156" i="1" s="1"/>
  <c r="O155" i="1"/>
  <c r="N155" i="1"/>
  <c r="M155" i="1"/>
  <c r="L155" i="1"/>
  <c r="K155" i="1"/>
  <c r="J155" i="1"/>
  <c r="I155" i="1"/>
  <c r="H155" i="1"/>
  <c r="G155" i="1"/>
  <c r="F155" i="1"/>
  <c r="E155" i="1"/>
  <c r="D155" i="1" a="1"/>
  <c r="D155" i="1" s="1"/>
  <c r="C155" i="1" a="1"/>
  <c r="C155" i="1" s="1"/>
  <c r="B155" i="1" a="1"/>
  <c r="B155" i="1" s="1"/>
  <c r="O154" i="1"/>
  <c r="N154" i="1"/>
  <c r="M154" i="1"/>
  <c r="L154" i="1"/>
  <c r="K154" i="1"/>
  <c r="J154" i="1"/>
  <c r="I154" i="1"/>
  <c r="H154" i="1"/>
  <c r="G154" i="1"/>
  <c r="F154" i="1"/>
  <c r="E154" i="1"/>
  <c r="D154" i="1" a="1"/>
  <c r="D154" i="1" s="1"/>
  <c r="C154" i="1" a="1"/>
  <c r="C154" i="1" s="1"/>
  <c r="B154" i="1" a="1"/>
  <c r="B154" i="1" s="1"/>
  <c r="O153" i="1"/>
  <c r="N153" i="1"/>
  <c r="M153" i="1"/>
  <c r="L153" i="1"/>
  <c r="K153" i="1"/>
  <c r="J153" i="1"/>
  <c r="I153" i="1"/>
  <c r="H153" i="1"/>
  <c r="G153" i="1"/>
  <c r="F153" i="1"/>
  <c r="E153" i="1"/>
  <c r="D153" i="1" a="1"/>
  <c r="D153" i="1" s="1"/>
  <c r="C153" i="1" a="1"/>
  <c r="C153" i="1" s="1"/>
  <c r="B153" i="1" a="1"/>
  <c r="B153" i="1" s="1"/>
  <c r="O152" i="1"/>
  <c r="N152" i="1"/>
  <c r="M152" i="1"/>
  <c r="L152" i="1"/>
  <c r="K152" i="1"/>
  <c r="J152" i="1"/>
  <c r="I152" i="1"/>
  <c r="H152" i="1"/>
  <c r="G152" i="1"/>
  <c r="F152" i="1"/>
  <c r="E152" i="1"/>
  <c r="D152" i="1" a="1"/>
  <c r="D152" i="1" s="1"/>
  <c r="C152" i="1" a="1"/>
  <c r="C152" i="1" s="1"/>
  <c r="B152" i="1" a="1"/>
  <c r="B152" i="1" s="1"/>
  <c r="O151" i="1"/>
  <c r="N151" i="1"/>
  <c r="M151" i="1"/>
  <c r="L151" i="1"/>
  <c r="K151" i="1"/>
  <c r="J151" i="1"/>
  <c r="I151" i="1"/>
  <c r="H151" i="1"/>
  <c r="G151" i="1"/>
  <c r="F151" i="1"/>
  <c r="E151" i="1"/>
  <c r="D151" i="1" a="1"/>
  <c r="D151" i="1" s="1"/>
  <c r="C151" i="1" a="1"/>
  <c r="C151" i="1" s="1"/>
  <c r="B151" i="1" a="1"/>
  <c r="B151" i="1" s="1"/>
  <c r="O150" i="1"/>
  <c r="N150" i="1"/>
  <c r="M150" i="1"/>
  <c r="L150" i="1"/>
  <c r="K150" i="1"/>
  <c r="J150" i="1"/>
  <c r="I150" i="1"/>
  <c r="H150" i="1"/>
  <c r="G150" i="1"/>
  <c r="F150" i="1"/>
  <c r="E150" i="1"/>
  <c r="D150" i="1" a="1"/>
  <c r="D150" i="1" s="1"/>
  <c r="C150" i="1" a="1"/>
  <c r="C150" i="1" s="1"/>
  <c r="B150" i="1" a="1"/>
  <c r="B150" i="1" s="1"/>
  <c r="O149" i="1"/>
  <c r="N149" i="1"/>
  <c r="M149" i="1"/>
  <c r="L149" i="1"/>
  <c r="K149" i="1"/>
  <c r="J149" i="1"/>
  <c r="I149" i="1"/>
  <c r="H149" i="1"/>
  <c r="G149" i="1"/>
  <c r="F149" i="1"/>
  <c r="E149" i="1"/>
  <c r="D149" i="1" a="1"/>
  <c r="D149" i="1" s="1"/>
  <c r="C149" i="1" a="1"/>
  <c r="C149" i="1" s="1"/>
  <c r="B149" i="1" a="1"/>
  <c r="B149" i="1" s="1"/>
  <c r="O148" i="1"/>
  <c r="N148" i="1"/>
  <c r="M148" i="1"/>
  <c r="L148" i="1"/>
  <c r="K148" i="1"/>
  <c r="J148" i="1"/>
  <c r="I148" i="1"/>
  <c r="H148" i="1"/>
  <c r="G148" i="1"/>
  <c r="F148" i="1"/>
  <c r="E148" i="1"/>
  <c r="D148" i="1" a="1"/>
  <c r="D148" i="1" s="1"/>
  <c r="C148" i="1" a="1"/>
  <c r="C148" i="1" s="1"/>
  <c r="B148" i="1" a="1"/>
  <c r="B148" i="1" s="1"/>
  <c r="O147" i="1"/>
  <c r="N147" i="1"/>
  <c r="M147" i="1"/>
  <c r="L147" i="1"/>
  <c r="K147" i="1"/>
  <c r="J147" i="1"/>
  <c r="I147" i="1"/>
  <c r="H147" i="1"/>
  <c r="G147" i="1"/>
  <c r="F147" i="1"/>
  <c r="E147" i="1"/>
  <c r="D147" i="1" a="1"/>
  <c r="D147" i="1" s="1"/>
  <c r="C147" i="1" a="1"/>
  <c r="C147" i="1" s="1"/>
  <c r="B147" i="1" a="1"/>
  <c r="B147" i="1" s="1"/>
  <c r="O146" i="1"/>
  <c r="N146" i="1"/>
  <c r="M146" i="1"/>
  <c r="L146" i="1"/>
  <c r="K146" i="1"/>
  <c r="J146" i="1"/>
  <c r="I146" i="1"/>
  <c r="H146" i="1"/>
  <c r="G146" i="1"/>
  <c r="F146" i="1"/>
  <c r="E146" i="1"/>
  <c r="D146" i="1" a="1"/>
  <c r="D146" i="1" s="1"/>
  <c r="C146" i="1" a="1"/>
  <c r="C146" i="1" s="1"/>
  <c r="B146" i="1" a="1"/>
  <c r="B146" i="1" s="1"/>
  <c r="O145" i="1"/>
  <c r="N145" i="1"/>
  <c r="M145" i="1"/>
  <c r="L145" i="1"/>
  <c r="K145" i="1"/>
  <c r="J145" i="1"/>
  <c r="I145" i="1"/>
  <c r="H145" i="1"/>
  <c r="G145" i="1"/>
  <c r="F145" i="1"/>
  <c r="E145" i="1"/>
  <c r="D145" i="1" a="1"/>
  <c r="D145" i="1" s="1"/>
  <c r="C145" i="1" a="1"/>
  <c r="C145" i="1" s="1"/>
  <c r="B145" i="1" a="1"/>
  <c r="B145" i="1" s="1"/>
  <c r="O144" i="1"/>
  <c r="N144" i="1"/>
  <c r="M144" i="1"/>
  <c r="L144" i="1"/>
  <c r="K144" i="1"/>
  <c r="J144" i="1"/>
  <c r="I144" i="1"/>
  <c r="H144" i="1"/>
  <c r="G144" i="1"/>
  <c r="F144" i="1"/>
  <c r="E144" i="1"/>
  <c r="D144" i="1" a="1"/>
  <c r="D144" i="1" s="1"/>
  <c r="C144" i="1" a="1"/>
  <c r="C144" i="1" s="1"/>
  <c r="B144" i="1" a="1"/>
  <c r="B144" i="1" s="1"/>
  <c r="O143" i="1"/>
  <c r="N143" i="1"/>
  <c r="M143" i="1"/>
  <c r="L143" i="1"/>
  <c r="K143" i="1"/>
  <c r="J143" i="1"/>
  <c r="I143" i="1"/>
  <c r="H143" i="1"/>
  <c r="G143" i="1"/>
  <c r="F143" i="1"/>
  <c r="E143" i="1"/>
  <c r="D143" i="1" a="1"/>
  <c r="D143" i="1" s="1"/>
  <c r="C143" i="1" a="1"/>
  <c r="C143" i="1" s="1"/>
  <c r="B143" i="1" a="1"/>
  <c r="B143" i="1" s="1"/>
  <c r="O142" i="1"/>
  <c r="N142" i="1"/>
  <c r="M142" i="1"/>
  <c r="L142" i="1"/>
  <c r="K142" i="1"/>
  <c r="J142" i="1"/>
  <c r="I142" i="1"/>
  <c r="H142" i="1"/>
  <c r="G142" i="1"/>
  <c r="F142" i="1"/>
  <c r="E142" i="1"/>
  <c r="D142" i="1" a="1"/>
  <c r="D142" i="1" s="1"/>
  <c r="C142" i="1" a="1"/>
  <c r="C142" i="1" s="1"/>
  <c r="B142" i="1" a="1"/>
  <c r="B142" i="1" s="1"/>
  <c r="O141" i="1"/>
  <c r="N141" i="1"/>
  <c r="M141" i="1"/>
  <c r="L141" i="1"/>
  <c r="K141" i="1"/>
  <c r="J141" i="1"/>
  <c r="I141" i="1"/>
  <c r="H141" i="1"/>
  <c r="G141" i="1"/>
  <c r="F141" i="1"/>
  <c r="E141" i="1"/>
  <c r="D141" i="1" a="1"/>
  <c r="D141" i="1" s="1"/>
  <c r="C141" i="1" a="1"/>
  <c r="C141" i="1" s="1"/>
  <c r="B141" i="1" a="1"/>
  <c r="B141" i="1" s="1"/>
  <c r="O140" i="1"/>
  <c r="N140" i="1"/>
  <c r="M140" i="1"/>
  <c r="L140" i="1"/>
  <c r="K140" i="1"/>
  <c r="J140" i="1"/>
  <c r="I140" i="1"/>
  <c r="H140" i="1"/>
  <c r="G140" i="1"/>
  <c r="F140" i="1"/>
  <c r="E140" i="1"/>
  <c r="D140" i="1" a="1"/>
  <c r="D140" i="1" s="1"/>
  <c r="C140" i="1" a="1"/>
  <c r="C140" i="1" s="1"/>
  <c r="B140" i="1" a="1"/>
  <c r="B140" i="1" s="1"/>
  <c r="O139" i="1"/>
  <c r="N139" i="1"/>
  <c r="M139" i="1"/>
  <c r="L139" i="1"/>
  <c r="K139" i="1"/>
  <c r="J139" i="1"/>
  <c r="I139" i="1"/>
  <c r="H139" i="1"/>
  <c r="G139" i="1"/>
  <c r="F139" i="1"/>
  <c r="E139" i="1"/>
  <c r="D139" i="1" a="1"/>
  <c r="D139" i="1" s="1"/>
  <c r="C139" i="1" a="1"/>
  <c r="C139" i="1" s="1"/>
  <c r="B139" i="1" a="1"/>
  <c r="B139" i="1" s="1"/>
  <c r="O138" i="1"/>
  <c r="N138" i="1"/>
  <c r="M138" i="1"/>
  <c r="L138" i="1"/>
  <c r="K138" i="1"/>
  <c r="J138" i="1"/>
  <c r="I138" i="1"/>
  <c r="H138" i="1"/>
  <c r="G138" i="1"/>
  <c r="F138" i="1"/>
  <c r="E138" i="1"/>
  <c r="D138" i="1" a="1"/>
  <c r="D138" i="1" s="1"/>
  <c r="C138" i="1" a="1"/>
  <c r="C138" i="1" s="1"/>
  <c r="B138" i="1" a="1"/>
  <c r="B138" i="1" s="1"/>
  <c r="O137" i="1"/>
  <c r="N137" i="1"/>
  <c r="M137" i="1"/>
  <c r="L137" i="1"/>
  <c r="K137" i="1"/>
  <c r="J137" i="1"/>
  <c r="I137" i="1"/>
  <c r="H137" i="1"/>
  <c r="G137" i="1"/>
  <c r="F137" i="1"/>
  <c r="E137" i="1"/>
  <c r="D137" i="1" a="1"/>
  <c r="D137" i="1" s="1"/>
  <c r="C137" i="1" a="1"/>
  <c r="C137" i="1" s="1"/>
  <c r="B137" i="1" a="1"/>
  <c r="B137" i="1" s="1"/>
  <c r="O136" i="1"/>
  <c r="N136" i="1"/>
  <c r="M136" i="1"/>
  <c r="L136" i="1"/>
  <c r="K136" i="1"/>
  <c r="J136" i="1"/>
  <c r="I136" i="1"/>
  <c r="H136" i="1"/>
  <c r="G136" i="1"/>
  <c r="F136" i="1"/>
  <c r="E136" i="1"/>
  <c r="D136" i="1" a="1"/>
  <c r="D136" i="1" s="1"/>
  <c r="C136" i="1" a="1"/>
  <c r="C136" i="1" s="1"/>
  <c r="B136" i="1" a="1"/>
  <c r="B136" i="1" s="1"/>
  <c r="O135" i="1"/>
  <c r="N135" i="1"/>
  <c r="M135" i="1"/>
  <c r="L135" i="1"/>
  <c r="K135" i="1"/>
  <c r="J135" i="1"/>
  <c r="I135" i="1"/>
  <c r="H135" i="1"/>
  <c r="G135" i="1"/>
  <c r="F135" i="1"/>
  <c r="E135" i="1"/>
  <c r="D135" i="1" a="1"/>
  <c r="D135" i="1" s="1"/>
  <c r="C135" i="1" a="1"/>
  <c r="C135" i="1" s="1"/>
  <c r="B135" i="1" a="1"/>
  <c r="B135" i="1" s="1"/>
  <c r="O134" i="1"/>
  <c r="N134" i="1"/>
  <c r="M134" i="1"/>
  <c r="L134" i="1"/>
  <c r="K134" i="1"/>
  <c r="J134" i="1"/>
  <c r="I134" i="1"/>
  <c r="H134" i="1"/>
  <c r="G134" i="1"/>
  <c r="F134" i="1"/>
  <c r="E134" i="1"/>
  <c r="D134" i="1" a="1"/>
  <c r="D134" i="1" s="1"/>
  <c r="C134" i="1" a="1"/>
  <c r="C134" i="1" s="1"/>
  <c r="B134" i="1" a="1"/>
  <c r="B134" i="1" s="1"/>
  <c r="O133" i="1"/>
  <c r="N133" i="1"/>
  <c r="M133" i="1"/>
  <c r="L133" i="1"/>
  <c r="K133" i="1"/>
  <c r="J133" i="1"/>
  <c r="I133" i="1"/>
  <c r="H133" i="1"/>
  <c r="G133" i="1"/>
  <c r="F133" i="1"/>
  <c r="E133" i="1"/>
  <c r="D133" i="1" a="1"/>
  <c r="D133" i="1" s="1"/>
  <c r="C133" i="1" a="1"/>
  <c r="C133" i="1" s="1"/>
  <c r="B133" i="1" a="1"/>
  <c r="B133" i="1" s="1"/>
  <c r="O132" i="1"/>
  <c r="N132" i="1"/>
  <c r="M132" i="1"/>
  <c r="L132" i="1"/>
  <c r="K132" i="1"/>
  <c r="J132" i="1"/>
  <c r="I132" i="1"/>
  <c r="H132" i="1"/>
  <c r="G132" i="1"/>
  <c r="F132" i="1"/>
  <c r="E132" i="1"/>
  <c r="D132" i="1" a="1"/>
  <c r="D132" i="1" s="1"/>
  <c r="C132" i="1" a="1"/>
  <c r="C132" i="1" s="1"/>
  <c r="B132" i="1" a="1"/>
  <c r="B132" i="1" s="1"/>
  <c r="O131" i="1"/>
  <c r="N131" i="1"/>
  <c r="M131" i="1"/>
  <c r="L131" i="1"/>
  <c r="K131" i="1"/>
  <c r="J131" i="1"/>
  <c r="I131" i="1"/>
  <c r="H131" i="1"/>
  <c r="G131" i="1"/>
  <c r="F131" i="1"/>
  <c r="E131" i="1"/>
  <c r="D131" i="1" a="1"/>
  <c r="D131" i="1" s="1"/>
  <c r="C131" i="1" a="1"/>
  <c r="C131" i="1" s="1"/>
  <c r="B131" i="1" a="1"/>
  <c r="B131" i="1" s="1"/>
  <c r="O130" i="1"/>
  <c r="N130" i="1"/>
  <c r="M130" i="1"/>
  <c r="L130" i="1"/>
  <c r="K130" i="1"/>
  <c r="J130" i="1"/>
  <c r="I130" i="1"/>
  <c r="H130" i="1"/>
  <c r="G130" i="1"/>
  <c r="F130" i="1"/>
  <c r="E130" i="1"/>
  <c r="D130" i="1" a="1"/>
  <c r="D130" i="1" s="1"/>
  <c r="C130" i="1" a="1"/>
  <c r="C130" i="1" s="1"/>
  <c r="B130" i="1" a="1"/>
  <c r="B130" i="1" s="1"/>
  <c r="O129" i="1"/>
  <c r="N129" i="1"/>
  <c r="M129" i="1"/>
  <c r="L129" i="1"/>
  <c r="K129" i="1"/>
  <c r="J129" i="1"/>
  <c r="I129" i="1"/>
  <c r="H129" i="1"/>
  <c r="G129" i="1"/>
  <c r="F129" i="1"/>
  <c r="E129" i="1"/>
  <c r="D129" i="1" a="1"/>
  <c r="D129" i="1" s="1"/>
  <c r="C129" i="1" a="1"/>
  <c r="C129" i="1" s="1"/>
  <c r="B129" i="1" a="1"/>
  <c r="B129" i="1" s="1"/>
  <c r="O128" i="1"/>
  <c r="N128" i="1"/>
  <c r="M128" i="1"/>
  <c r="L128" i="1"/>
  <c r="K128" i="1"/>
  <c r="J128" i="1"/>
  <c r="I128" i="1"/>
  <c r="H128" i="1"/>
  <c r="G128" i="1"/>
  <c r="F128" i="1"/>
  <c r="E128" i="1"/>
  <c r="D128" i="1" a="1"/>
  <c r="D128" i="1" s="1"/>
  <c r="C128" i="1" a="1"/>
  <c r="C128" i="1" s="1"/>
  <c r="B128" i="1" a="1"/>
  <c r="B128" i="1" s="1"/>
  <c r="O127" i="1"/>
  <c r="N127" i="1"/>
  <c r="M127" i="1"/>
  <c r="L127" i="1"/>
  <c r="K127" i="1"/>
  <c r="J127" i="1"/>
  <c r="I127" i="1"/>
  <c r="H127" i="1"/>
  <c r="G127" i="1"/>
  <c r="F127" i="1"/>
  <c r="E127" i="1"/>
  <c r="D127" i="1" a="1"/>
  <c r="D127" i="1" s="1"/>
  <c r="C127" i="1" a="1"/>
  <c r="C127" i="1" s="1"/>
  <c r="B127" i="1" a="1"/>
  <c r="B127" i="1" s="1"/>
  <c r="O126" i="1"/>
  <c r="N126" i="1"/>
  <c r="M126" i="1"/>
  <c r="L126" i="1"/>
  <c r="K126" i="1"/>
  <c r="J126" i="1"/>
  <c r="I126" i="1"/>
  <c r="H126" i="1"/>
  <c r="G126" i="1"/>
  <c r="F126" i="1"/>
  <c r="E126" i="1"/>
  <c r="D126" i="1" a="1"/>
  <c r="D126" i="1" s="1"/>
  <c r="C126" i="1" a="1"/>
  <c r="C126" i="1" s="1"/>
  <c r="B126" i="1" a="1"/>
  <c r="B126" i="1" s="1"/>
  <c r="O125" i="1"/>
  <c r="N125" i="1"/>
  <c r="M125" i="1"/>
  <c r="L125" i="1"/>
  <c r="K125" i="1"/>
  <c r="J125" i="1"/>
  <c r="I125" i="1"/>
  <c r="H125" i="1"/>
  <c r="G125" i="1"/>
  <c r="F125" i="1"/>
  <c r="E125" i="1"/>
  <c r="D125" i="1" a="1"/>
  <c r="D125" i="1" s="1"/>
  <c r="C125" i="1" a="1"/>
  <c r="C125" i="1" s="1"/>
  <c r="B125" i="1" a="1"/>
  <c r="B125" i="1" s="1"/>
  <c r="O124" i="1"/>
  <c r="N124" i="1"/>
  <c r="M124" i="1"/>
  <c r="L124" i="1"/>
  <c r="K124" i="1"/>
  <c r="J124" i="1"/>
  <c r="I124" i="1"/>
  <c r="H124" i="1"/>
  <c r="G124" i="1"/>
  <c r="F124" i="1"/>
  <c r="E124" i="1"/>
  <c r="D124" i="1" a="1"/>
  <c r="D124" i="1" s="1"/>
  <c r="C124" i="1" a="1"/>
  <c r="C124" i="1" s="1"/>
  <c r="B124" i="1" a="1"/>
  <c r="B124" i="1" s="1"/>
  <c r="O123" i="1"/>
  <c r="N123" i="1"/>
  <c r="M123" i="1"/>
  <c r="L123" i="1"/>
  <c r="K123" i="1"/>
  <c r="J123" i="1"/>
  <c r="I123" i="1"/>
  <c r="H123" i="1"/>
  <c r="G123" i="1"/>
  <c r="F123" i="1"/>
  <c r="E123" i="1"/>
  <c r="D123" i="1" a="1"/>
  <c r="D123" i="1" s="1"/>
  <c r="C123" i="1" a="1"/>
  <c r="C123" i="1" s="1"/>
  <c r="B123" i="1" a="1"/>
  <c r="B123" i="1" s="1"/>
  <c r="O122" i="1"/>
  <c r="N122" i="1"/>
  <c r="M122" i="1"/>
  <c r="L122" i="1"/>
  <c r="K122" i="1"/>
  <c r="J122" i="1"/>
  <c r="I122" i="1"/>
  <c r="H122" i="1"/>
  <c r="G122" i="1"/>
  <c r="F122" i="1"/>
  <c r="E122" i="1"/>
  <c r="D122" i="1" a="1"/>
  <c r="D122" i="1" s="1"/>
  <c r="C122" i="1" a="1"/>
  <c r="C122" i="1" s="1"/>
  <c r="B122" i="1" a="1"/>
  <c r="B122" i="1" s="1"/>
  <c r="O121" i="1"/>
  <c r="N121" i="1"/>
  <c r="M121" i="1"/>
  <c r="L121" i="1"/>
  <c r="K121" i="1"/>
  <c r="J121" i="1"/>
  <c r="I121" i="1"/>
  <c r="H121" i="1"/>
  <c r="G121" i="1"/>
  <c r="F121" i="1"/>
  <c r="E121" i="1"/>
  <c r="D121" i="1" a="1"/>
  <c r="D121" i="1" s="1"/>
  <c r="C121" i="1" a="1"/>
  <c r="C121" i="1" s="1"/>
  <c r="B121" i="1" a="1"/>
  <c r="B121" i="1" s="1"/>
  <c r="O120" i="1"/>
  <c r="N120" i="1"/>
  <c r="M120" i="1"/>
  <c r="L120" i="1"/>
  <c r="K120" i="1"/>
  <c r="J120" i="1"/>
  <c r="I120" i="1"/>
  <c r="H120" i="1"/>
  <c r="G120" i="1"/>
  <c r="F120" i="1"/>
  <c r="E120" i="1"/>
  <c r="D120" i="1" a="1"/>
  <c r="D120" i="1" s="1"/>
  <c r="C120" i="1" a="1"/>
  <c r="C120" i="1" s="1"/>
  <c r="B120" i="1" a="1"/>
  <c r="B120" i="1" s="1"/>
  <c r="O119" i="1"/>
  <c r="N119" i="1"/>
  <c r="M119" i="1"/>
  <c r="L119" i="1"/>
  <c r="K119" i="1"/>
  <c r="J119" i="1"/>
  <c r="I119" i="1"/>
  <c r="H119" i="1"/>
  <c r="G119" i="1"/>
  <c r="F119" i="1"/>
  <c r="E119" i="1"/>
  <c r="D119" i="1" a="1"/>
  <c r="D119" i="1" s="1"/>
  <c r="C119" i="1" a="1"/>
  <c r="C119" i="1" s="1"/>
  <c r="B119" i="1" a="1"/>
  <c r="B119" i="1" s="1"/>
  <c r="O118" i="1"/>
  <c r="N118" i="1"/>
  <c r="M118" i="1"/>
  <c r="L118" i="1"/>
  <c r="K118" i="1"/>
  <c r="J118" i="1"/>
  <c r="I118" i="1"/>
  <c r="H118" i="1"/>
  <c r="G118" i="1"/>
  <c r="F118" i="1"/>
  <c r="E118" i="1"/>
  <c r="D118" i="1" a="1"/>
  <c r="D118" i="1" s="1"/>
  <c r="C118" i="1" a="1"/>
  <c r="C118" i="1" s="1"/>
  <c r="B118" i="1" a="1"/>
  <c r="B118" i="1" s="1"/>
  <c r="O117" i="1"/>
  <c r="N117" i="1"/>
  <c r="M117" i="1"/>
  <c r="L117" i="1"/>
  <c r="K117" i="1"/>
  <c r="J117" i="1"/>
  <c r="I117" i="1"/>
  <c r="H117" i="1"/>
  <c r="G117" i="1"/>
  <c r="F117" i="1"/>
  <c r="E117" i="1"/>
  <c r="D117" i="1" a="1"/>
  <c r="D117" i="1" s="1"/>
  <c r="C117" i="1" a="1"/>
  <c r="C117" i="1" s="1"/>
  <c r="B117" i="1" a="1"/>
  <c r="B117" i="1" s="1"/>
  <c r="O116" i="1"/>
  <c r="N116" i="1"/>
  <c r="M116" i="1"/>
  <c r="L116" i="1"/>
  <c r="K116" i="1"/>
  <c r="J116" i="1"/>
  <c r="I116" i="1"/>
  <c r="H116" i="1"/>
  <c r="G116" i="1"/>
  <c r="F116" i="1"/>
  <c r="E116" i="1"/>
  <c r="D116" i="1" a="1"/>
  <c r="D116" i="1" s="1"/>
  <c r="C116" i="1" a="1"/>
  <c r="C116" i="1" s="1"/>
  <c r="B116" i="1" a="1"/>
  <c r="B116" i="1" s="1"/>
  <c r="O115" i="1"/>
  <c r="N115" i="1"/>
  <c r="M115" i="1"/>
  <c r="L115" i="1"/>
  <c r="K115" i="1"/>
  <c r="J115" i="1"/>
  <c r="I115" i="1"/>
  <c r="H115" i="1"/>
  <c r="G115" i="1"/>
  <c r="F115" i="1"/>
  <c r="E115" i="1"/>
  <c r="D115" i="1" a="1"/>
  <c r="D115" i="1" s="1"/>
  <c r="C115" i="1" a="1"/>
  <c r="C115" i="1" s="1"/>
  <c r="B115" i="1" a="1"/>
  <c r="B115" i="1" s="1"/>
  <c r="O114" i="1"/>
  <c r="N114" i="1"/>
  <c r="M114" i="1"/>
  <c r="L114" i="1"/>
  <c r="K114" i="1"/>
  <c r="J114" i="1"/>
  <c r="I114" i="1"/>
  <c r="H114" i="1"/>
  <c r="G114" i="1"/>
  <c r="F114" i="1"/>
  <c r="E114" i="1"/>
  <c r="D114" i="1" a="1"/>
  <c r="D114" i="1" s="1"/>
  <c r="C114" i="1" a="1"/>
  <c r="C114" i="1" s="1"/>
  <c r="B114" i="1" a="1"/>
  <c r="B114" i="1" s="1"/>
  <c r="O113" i="1"/>
  <c r="N113" i="1"/>
  <c r="M113" i="1"/>
  <c r="L113" i="1"/>
  <c r="K113" i="1"/>
  <c r="J113" i="1"/>
  <c r="I113" i="1"/>
  <c r="H113" i="1"/>
  <c r="G113" i="1"/>
  <c r="F113" i="1"/>
  <c r="E113" i="1"/>
  <c r="D113" i="1" a="1"/>
  <c r="D113" i="1" s="1"/>
  <c r="C113" i="1" a="1"/>
  <c r="C113" i="1" s="1"/>
  <c r="B113" i="1" a="1"/>
  <c r="B113" i="1" s="1"/>
  <c r="O112" i="1"/>
  <c r="N112" i="1"/>
  <c r="M112" i="1"/>
  <c r="L112" i="1"/>
  <c r="K112" i="1"/>
  <c r="J112" i="1"/>
  <c r="I112" i="1"/>
  <c r="H112" i="1"/>
  <c r="G112" i="1"/>
  <c r="F112" i="1"/>
  <c r="E112" i="1"/>
  <c r="D112" i="1" a="1"/>
  <c r="D112" i="1" s="1"/>
  <c r="C112" i="1" a="1"/>
  <c r="C112" i="1" s="1"/>
  <c r="B112" i="1" a="1"/>
  <c r="B112" i="1" s="1"/>
  <c r="O111" i="1"/>
  <c r="N111" i="1"/>
  <c r="M111" i="1"/>
  <c r="L111" i="1"/>
  <c r="K111" i="1"/>
  <c r="J111" i="1"/>
  <c r="I111" i="1"/>
  <c r="H111" i="1"/>
  <c r="G111" i="1"/>
  <c r="F111" i="1"/>
  <c r="E111" i="1"/>
  <c r="D111" i="1" a="1"/>
  <c r="D111" i="1" s="1"/>
  <c r="C111" i="1" a="1"/>
  <c r="C111" i="1" s="1"/>
  <c r="B111" i="1" a="1"/>
  <c r="B111" i="1" s="1"/>
  <c r="O110" i="1"/>
  <c r="N110" i="1"/>
  <c r="M110" i="1"/>
  <c r="L110" i="1"/>
  <c r="K110" i="1"/>
  <c r="J110" i="1"/>
  <c r="I110" i="1"/>
  <c r="H110" i="1"/>
  <c r="G110" i="1"/>
  <c r="F110" i="1"/>
  <c r="E110" i="1"/>
  <c r="D110" i="1" a="1"/>
  <c r="D110" i="1" s="1"/>
  <c r="C110" i="1" a="1"/>
  <c r="C110" i="1" s="1"/>
  <c r="B110" i="1" a="1"/>
  <c r="B110" i="1" s="1"/>
  <c r="O109" i="1"/>
  <c r="N109" i="1"/>
  <c r="M109" i="1"/>
  <c r="L109" i="1"/>
  <c r="K109" i="1"/>
  <c r="J109" i="1"/>
  <c r="I109" i="1"/>
  <c r="H109" i="1"/>
  <c r="G109" i="1"/>
  <c r="F109" i="1"/>
  <c r="E109" i="1"/>
  <c r="D109" i="1" a="1"/>
  <c r="D109" i="1" s="1"/>
  <c r="C109" i="1" a="1"/>
  <c r="C109" i="1" s="1"/>
  <c r="B109" i="1" a="1"/>
  <c r="B109" i="1" s="1"/>
  <c r="O108" i="1"/>
  <c r="N108" i="1"/>
  <c r="M108" i="1"/>
  <c r="L108" i="1"/>
  <c r="K108" i="1"/>
  <c r="J108" i="1"/>
  <c r="I108" i="1"/>
  <c r="H108" i="1"/>
  <c r="G108" i="1"/>
  <c r="F108" i="1"/>
  <c r="E108" i="1"/>
  <c r="D108" i="1" a="1"/>
  <c r="D108" i="1" s="1"/>
  <c r="C108" i="1" a="1"/>
  <c r="C108" i="1" s="1"/>
  <c r="B108" i="1" a="1"/>
  <c r="B108" i="1" s="1"/>
  <c r="O107" i="1"/>
  <c r="N107" i="1"/>
  <c r="M107" i="1"/>
  <c r="L107" i="1"/>
  <c r="K107" i="1"/>
  <c r="J107" i="1"/>
  <c r="I107" i="1"/>
  <c r="H107" i="1"/>
  <c r="G107" i="1"/>
  <c r="F107" i="1"/>
  <c r="E107" i="1"/>
  <c r="D107" i="1" a="1"/>
  <c r="D107" i="1" s="1"/>
  <c r="C107" i="1" a="1"/>
  <c r="C107" i="1" s="1"/>
  <c r="B107" i="1" a="1"/>
  <c r="B107" i="1" s="1"/>
  <c r="O106" i="1"/>
  <c r="N106" i="1"/>
  <c r="M106" i="1"/>
  <c r="L106" i="1"/>
  <c r="K106" i="1"/>
  <c r="J106" i="1"/>
  <c r="I106" i="1"/>
  <c r="H106" i="1"/>
  <c r="G106" i="1"/>
  <c r="F106" i="1"/>
  <c r="E106" i="1"/>
  <c r="D106" i="1" a="1"/>
  <c r="D106" i="1" s="1"/>
  <c r="C106" i="1" a="1"/>
  <c r="C106" i="1" s="1"/>
  <c r="B106" i="1" a="1"/>
  <c r="B106" i="1" s="1"/>
  <c r="O105" i="1"/>
  <c r="N105" i="1"/>
  <c r="M105" i="1"/>
  <c r="L105" i="1"/>
  <c r="K105" i="1"/>
  <c r="J105" i="1"/>
  <c r="I105" i="1"/>
  <c r="H105" i="1"/>
  <c r="G105" i="1"/>
  <c r="F105" i="1"/>
  <c r="E105" i="1"/>
  <c r="D105" i="1" a="1"/>
  <c r="D105" i="1" s="1"/>
  <c r="C105" i="1" a="1"/>
  <c r="C105" i="1" s="1"/>
  <c r="B105" i="1" a="1"/>
  <c r="B105" i="1" s="1"/>
  <c r="O104" i="1"/>
  <c r="N104" i="1"/>
  <c r="M104" i="1"/>
  <c r="L104" i="1"/>
  <c r="K104" i="1"/>
  <c r="J104" i="1"/>
  <c r="I104" i="1"/>
  <c r="H104" i="1"/>
  <c r="G104" i="1"/>
  <c r="F104" i="1"/>
  <c r="E104" i="1"/>
  <c r="D104" i="1" a="1"/>
  <c r="D104" i="1" s="1"/>
  <c r="C104" i="1" a="1"/>
  <c r="C104" i="1" s="1"/>
  <c r="B104" i="1" a="1"/>
  <c r="B104" i="1" s="1"/>
  <c r="O103" i="1"/>
  <c r="N103" i="1"/>
  <c r="M103" i="1"/>
  <c r="L103" i="1"/>
  <c r="K103" i="1"/>
  <c r="J103" i="1"/>
  <c r="I103" i="1"/>
  <c r="H103" i="1"/>
  <c r="G103" i="1"/>
  <c r="F103" i="1"/>
  <c r="E103" i="1"/>
  <c r="D103" i="1" a="1"/>
  <c r="D103" i="1" s="1"/>
  <c r="C103" i="1" a="1"/>
  <c r="C103" i="1" s="1"/>
  <c r="B103" i="1" a="1"/>
  <c r="B103" i="1" s="1"/>
  <c r="O102" i="1"/>
  <c r="N102" i="1"/>
  <c r="M102" i="1"/>
  <c r="L102" i="1"/>
  <c r="K102" i="1"/>
  <c r="J102" i="1"/>
  <c r="I102" i="1"/>
  <c r="H102" i="1"/>
  <c r="G102" i="1"/>
  <c r="F102" i="1"/>
  <c r="E102" i="1"/>
  <c r="D102" i="1" a="1"/>
  <c r="D102" i="1" s="1"/>
  <c r="C102" i="1" a="1"/>
  <c r="C102" i="1" s="1"/>
  <c r="B102" i="1" a="1"/>
  <c r="B102" i="1" s="1"/>
  <c r="O101" i="1"/>
  <c r="N101" i="1"/>
  <c r="M101" i="1"/>
  <c r="L101" i="1"/>
  <c r="K101" i="1"/>
  <c r="J101" i="1"/>
  <c r="I101" i="1"/>
  <c r="H101" i="1"/>
  <c r="G101" i="1"/>
  <c r="F101" i="1"/>
  <c r="E101" i="1"/>
  <c r="D101" i="1" a="1"/>
  <c r="D101" i="1" s="1"/>
  <c r="C101" i="1" a="1"/>
  <c r="C101" i="1" s="1"/>
  <c r="B101" i="1" a="1"/>
  <c r="B101" i="1" s="1"/>
  <c r="O100" i="1"/>
  <c r="N100" i="1"/>
  <c r="M100" i="1"/>
  <c r="L100" i="1"/>
  <c r="K100" i="1"/>
  <c r="J100" i="1"/>
  <c r="I100" i="1"/>
  <c r="H100" i="1"/>
  <c r="G100" i="1"/>
  <c r="F100" i="1"/>
  <c r="E100" i="1"/>
  <c r="D100" i="1" a="1"/>
  <c r="D100" i="1" s="1"/>
  <c r="C100" i="1" a="1"/>
  <c r="C100" i="1" s="1"/>
  <c r="B100" i="1" a="1"/>
  <c r="B100" i="1" s="1"/>
  <c r="O99" i="1"/>
  <c r="N99" i="1"/>
  <c r="M99" i="1"/>
  <c r="L99" i="1"/>
  <c r="K99" i="1"/>
  <c r="J99" i="1"/>
  <c r="I99" i="1"/>
  <c r="H99" i="1"/>
  <c r="G99" i="1"/>
  <c r="F99" i="1"/>
  <c r="E99" i="1"/>
  <c r="D99" i="1" a="1"/>
  <c r="D99" i="1" s="1"/>
  <c r="C99" i="1" a="1"/>
  <c r="C99" i="1" s="1"/>
  <c r="B99" i="1" a="1"/>
  <c r="B99" i="1" s="1"/>
  <c r="O98" i="1"/>
  <c r="N98" i="1"/>
  <c r="M98" i="1"/>
  <c r="L98" i="1"/>
  <c r="K98" i="1"/>
  <c r="J98" i="1"/>
  <c r="I98" i="1"/>
  <c r="H98" i="1"/>
  <c r="G98" i="1"/>
  <c r="F98" i="1"/>
  <c r="E98" i="1"/>
  <c r="D98" i="1" a="1"/>
  <c r="D98" i="1" s="1"/>
  <c r="C98" i="1" a="1"/>
  <c r="C98" i="1" s="1"/>
  <c r="B98" i="1" a="1"/>
  <c r="B98" i="1" s="1"/>
  <c r="O97" i="1"/>
  <c r="N97" i="1"/>
  <c r="M97" i="1"/>
  <c r="L97" i="1"/>
  <c r="K97" i="1"/>
  <c r="J97" i="1"/>
  <c r="I97" i="1"/>
  <c r="H97" i="1"/>
  <c r="G97" i="1"/>
  <c r="F97" i="1"/>
  <c r="E97" i="1"/>
  <c r="D97" i="1" a="1"/>
  <c r="D97" i="1" s="1"/>
  <c r="C97" i="1" a="1"/>
  <c r="C97" i="1" s="1"/>
  <c r="B97" i="1" a="1"/>
  <c r="B97" i="1" s="1"/>
  <c r="O96" i="1"/>
  <c r="N96" i="1"/>
  <c r="M96" i="1"/>
  <c r="L96" i="1"/>
  <c r="K96" i="1"/>
  <c r="J96" i="1"/>
  <c r="I96" i="1"/>
  <c r="H96" i="1"/>
  <c r="G96" i="1"/>
  <c r="F96" i="1"/>
  <c r="E96" i="1"/>
  <c r="D96" i="1" a="1"/>
  <c r="D96" i="1" s="1"/>
  <c r="C96" i="1" a="1"/>
  <c r="C96" i="1" s="1"/>
  <c r="B96" i="1" a="1"/>
  <c r="B96" i="1" s="1"/>
  <c r="O95" i="1"/>
  <c r="N95" i="1"/>
  <c r="M95" i="1"/>
  <c r="L95" i="1"/>
  <c r="K95" i="1"/>
  <c r="J95" i="1"/>
  <c r="I95" i="1"/>
  <c r="H95" i="1"/>
  <c r="G95" i="1"/>
  <c r="F95" i="1"/>
  <c r="E95" i="1"/>
  <c r="D95" i="1" a="1"/>
  <c r="D95" i="1" s="1"/>
  <c r="C95" i="1" a="1"/>
  <c r="C95" i="1" s="1"/>
  <c r="B95" i="1" a="1"/>
  <c r="B95" i="1" s="1"/>
  <c r="O94" i="1"/>
  <c r="N94" i="1"/>
  <c r="M94" i="1"/>
  <c r="L94" i="1"/>
  <c r="K94" i="1"/>
  <c r="J94" i="1"/>
  <c r="I94" i="1"/>
  <c r="H94" i="1"/>
  <c r="G94" i="1"/>
  <c r="F94" i="1"/>
  <c r="E94" i="1"/>
  <c r="D94" i="1" a="1"/>
  <c r="D94" i="1" s="1"/>
  <c r="C94" i="1" a="1"/>
  <c r="C94" i="1" s="1"/>
  <c r="B94" i="1" a="1"/>
  <c r="B94" i="1" s="1"/>
  <c r="O93" i="1"/>
  <c r="N93" i="1"/>
  <c r="M93" i="1"/>
  <c r="L93" i="1"/>
  <c r="K93" i="1"/>
  <c r="J93" i="1"/>
  <c r="I93" i="1"/>
  <c r="H93" i="1"/>
  <c r="G93" i="1"/>
  <c r="F93" i="1"/>
  <c r="E93" i="1"/>
  <c r="D93" i="1" a="1"/>
  <c r="D93" i="1" s="1"/>
  <c r="C93" i="1" a="1"/>
  <c r="C93" i="1" s="1"/>
  <c r="B93" i="1" a="1"/>
  <c r="B93" i="1" s="1"/>
  <c r="O92" i="1"/>
  <c r="N92" i="1"/>
  <c r="M92" i="1"/>
  <c r="L92" i="1"/>
  <c r="K92" i="1"/>
  <c r="J92" i="1"/>
  <c r="I92" i="1"/>
  <c r="H92" i="1"/>
  <c r="G92" i="1"/>
  <c r="F92" i="1"/>
  <c r="E92" i="1"/>
  <c r="D92" i="1" a="1"/>
  <c r="D92" i="1" s="1"/>
  <c r="C92" i="1" a="1"/>
  <c r="C92" i="1" s="1"/>
  <c r="B92" i="1" a="1"/>
  <c r="B92" i="1" s="1"/>
  <c r="O91" i="1"/>
  <c r="N91" i="1"/>
  <c r="M91" i="1"/>
  <c r="L91" i="1"/>
  <c r="K91" i="1"/>
  <c r="J91" i="1"/>
  <c r="I91" i="1"/>
  <c r="H91" i="1"/>
  <c r="G91" i="1"/>
  <c r="F91" i="1"/>
  <c r="E91" i="1"/>
  <c r="D91" i="1" a="1"/>
  <c r="D91" i="1" s="1"/>
  <c r="C91" i="1" a="1"/>
  <c r="C91" i="1" s="1"/>
  <c r="B91" i="1" a="1"/>
  <c r="B91" i="1" s="1"/>
  <c r="O90" i="1"/>
  <c r="N90" i="1"/>
  <c r="M90" i="1"/>
  <c r="L90" i="1"/>
  <c r="K90" i="1"/>
  <c r="J90" i="1"/>
  <c r="I90" i="1"/>
  <c r="H90" i="1"/>
  <c r="G90" i="1"/>
  <c r="F90" i="1"/>
  <c r="E90" i="1"/>
  <c r="D90" i="1" a="1"/>
  <c r="D90" i="1" s="1"/>
  <c r="C90" i="1" a="1"/>
  <c r="C90" i="1" s="1"/>
  <c r="B90" i="1" a="1"/>
  <c r="B90" i="1" s="1"/>
  <c r="O89" i="1"/>
  <c r="N89" i="1"/>
  <c r="M89" i="1"/>
  <c r="L89" i="1"/>
  <c r="K89" i="1"/>
  <c r="J89" i="1"/>
  <c r="I89" i="1"/>
  <c r="H89" i="1"/>
  <c r="G89" i="1"/>
  <c r="F89" i="1"/>
  <c r="E89" i="1"/>
  <c r="D89" i="1" a="1"/>
  <c r="D89" i="1" s="1"/>
  <c r="C89" i="1" a="1"/>
  <c r="C89" i="1" s="1"/>
  <c r="B89" i="1" a="1"/>
  <c r="B89" i="1" s="1"/>
  <c r="O88" i="1"/>
  <c r="N88" i="1"/>
  <c r="M88" i="1"/>
  <c r="L88" i="1"/>
  <c r="K88" i="1"/>
  <c r="J88" i="1"/>
  <c r="I88" i="1"/>
  <c r="H88" i="1"/>
  <c r="G88" i="1"/>
  <c r="F88" i="1"/>
  <c r="E88" i="1"/>
  <c r="D88" i="1" a="1"/>
  <c r="D88" i="1" s="1"/>
  <c r="C88" i="1" a="1"/>
  <c r="C88" i="1" s="1"/>
  <c r="B88" i="1" a="1"/>
  <c r="B88" i="1" s="1"/>
  <c r="O87" i="1"/>
  <c r="N87" i="1"/>
  <c r="M87" i="1"/>
  <c r="L87" i="1"/>
  <c r="K87" i="1"/>
  <c r="J87" i="1"/>
  <c r="I87" i="1"/>
  <c r="H87" i="1"/>
  <c r="G87" i="1"/>
  <c r="F87" i="1"/>
  <c r="E87" i="1"/>
  <c r="D87" i="1" a="1"/>
  <c r="D87" i="1" s="1"/>
  <c r="C87" i="1" a="1"/>
  <c r="C87" i="1" s="1"/>
  <c r="B87" i="1" a="1"/>
  <c r="B87" i="1" s="1"/>
  <c r="O86" i="1"/>
  <c r="N86" i="1"/>
  <c r="M86" i="1"/>
  <c r="L86" i="1"/>
  <c r="K86" i="1"/>
  <c r="J86" i="1"/>
  <c r="I86" i="1"/>
  <c r="H86" i="1"/>
  <c r="G86" i="1"/>
  <c r="F86" i="1"/>
  <c r="E86" i="1"/>
  <c r="D86" i="1" a="1"/>
  <c r="D86" i="1" s="1"/>
  <c r="C86" i="1" a="1"/>
  <c r="C86" i="1" s="1"/>
  <c r="B86" i="1" a="1"/>
  <c r="B86" i="1" s="1"/>
  <c r="O85" i="1"/>
  <c r="N85" i="1"/>
  <c r="M85" i="1"/>
  <c r="L85" i="1"/>
  <c r="K85" i="1"/>
  <c r="J85" i="1"/>
  <c r="I85" i="1"/>
  <c r="H85" i="1"/>
  <c r="G85" i="1"/>
  <c r="F85" i="1"/>
  <c r="E85" i="1"/>
  <c r="D85" i="1" a="1"/>
  <c r="D85" i="1" s="1"/>
  <c r="C85" i="1" a="1"/>
  <c r="C85" i="1" s="1"/>
  <c r="B85" i="1" a="1"/>
  <c r="B85" i="1" s="1"/>
  <c r="O84" i="1"/>
  <c r="N84" i="1"/>
  <c r="M84" i="1"/>
  <c r="L84" i="1"/>
  <c r="K84" i="1"/>
  <c r="J84" i="1"/>
  <c r="I84" i="1"/>
  <c r="H84" i="1"/>
  <c r="G84" i="1"/>
  <c r="F84" i="1"/>
  <c r="E84" i="1"/>
  <c r="D84" i="1" a="1"/>
  <c r="D84" i="1" s="1"/>
  <c r="C84" i="1" a="1"/>
  <c r="C84" i="1" s="1"/>
  <c r="B84" i="1" a="1"/>
  <c r="B84" i="1" s="1"/>
  <c r="O83" i="1"/>
  <c r="N83" i="1"/>
  <c r="M83" i="1"/>
  <c r="L83" i="1"/>
  <c r="K83" i="1"/>
  <c r="J83" i="1"/>
  <c r="I83" i="1"/>
  <c r="H83" i="1"/>
  <c r="G83" i="1"/>
  <c r="F83" i="1"/>
  <c r="E83" i="1"/>
  <c r="D83" i="1" a="1"/>
  <c r="D83" i="1" s="1"/>
  <c r="C83" i="1" a="1"/>
  <c r="C83" i="1" s="1"/>
  <c r="B83" i="1" a="1"/>
  <c r="B83" i="1" s="1"/>
  <c r="O82" i="1"/>
  <c r="N82" i="1"/>
  <c r="M82" i="1"/>
  <c r="L82" i="1"/>
  <c r="K82" i="1"/>
  <c r="J82" i="1"/>
  <c r="I82" i="1"/>
  <c r="H82" i="1"/>
  <c r="G82" i="1"/>
  <c r="F82" i="1"/>
  <c r="E82" i="1"/>
  <c r="D82" i="1" a="1"/>
  <c r="D82" i="1" s="1"/>
  <c r="C82" i="1" a="1"/>
  <c r="C82" i="1" s="1"/>
  <c r="B82" i="1" a="1"/>
  <c r="B82" i="1" s="1"/>
  <c r="O81" i="1"/>
  <c r="N81" i="1"/>
  <c r="M81" i="1"/>
  <c r="L81" i="1"/>
  <c r="K81" i="1"/>
  <c r="J81" i="1"/>
  <c r="I81" i="1"/>
  <c r="H81" i="1"/>
  <c r="G81" i="1"/>
  <c r="F81" i="1"/>
  <c r="E81" i="1"/>
  <c r="D81" i="1" a="1"/>
  <c r="D81" i="1" s="1"/>
  <c r="C81" i="1" a="1"/>
  <c r="C81" i="1" s="1"/>
  <c r="B81" i="1" a="1"/>
  <c r="B81" i="1" s="1"/>
  <c r="O80" i="1"/>
  <c r="N80" i="1"/>
  <c r="M80" i="1"/>
  <c r="L80" i="1"/>
  <c r="K80" i="1"/>
  <c r="J80" i="1"/>
  <c r="I80" i="1"/>
  <c r="H80" i="1"/>
  <c r="G80" i="1"/>
  <c r="F80" i="1"/>
  <c r="E80" i="1"/>
  <c r="D80" i="1" a="1"/>
  <c r="D80" i="1" s="1"/>
  <c r="C80" i="1" a="1"/>
  <c r="C80" i="1" s="1"/>
  <c r="B80" i="1" a="1"/>
  <c r="B80" i="1" s="1"/>
  <c r="O79" i="1"/>
  <c r="N79" i="1"/>
  <c r="M79" i="1"/>
  <c r="L79" i="1"/>
  <c r="K79" i="1"/>
  <c r="J79" i="1"/>
  <c r="I79" i="1"/>
  <c r="H79" i="1"/>
  <c r="G79" i="1"/>
  <c r="F79" i="1"/>
  <c r="E79" i="1"/>
  <c r="D79" i="1" a="1"/>
  <c r="D79" i="1" s="1"/>
  <c r="C79" i="1" a="1"/>
  <c r="C79" i="1" s="1"/>
  <c r="B79" i="1" a="1"/>
  <c r="B79" i="1" s="1"/>
  <c r="O78" i="1"/>
  <c r="N78" i="1"/>
  <c r="M78" i="1"/>
  <c r="L78" i="1"/>
  <c r="K78" i="1"/>
  <c r="J78" i="1"/>
  <c r="I78" i="1"/>
  <c r="H78" i="1"/>
  <c r="G78" i="1"/>
  <c r="F78" i="1"/>
  <c r="E78" i="1"/>
  <c r="D78" i="1" a="1"/>
  <c r="D78" i="1" s="1"/>
  <c r="C78" i="1" a="1"/>
  <c r="C78" i="1" s="1"/>
  <c r="B78" i="1" a="1"/>
  <c r="B78" i="1" s="1"/>
  <c r="O77" i="1"/>
  <c r="N77" i="1"/>
  <c r="M77" i="1"/>
  <c r="L77" i="1"/>
  <c r="K77" i="1"/>
  <c r="J77" i="1"/>
  <c r="I77" i="1"/>
  <c r="H77" i="1"/>
  <c r="G77" i="1"/>
  <c r="F77" i="1"/>
  <c r="E77" i="1"/>
  <c r="D77" i="1" a="1"/>
  <c r="D77" i="1" s="1"/>
  <c r="C77" i="1" a="1"/>
  <c r="C77" i="1" s="1"/>
  <c r="B77" i="1" a="1"/>
  <c r="B77" i="1" s="1"/>
  <c r="O76" i="1"/>
  <c r="N76" i="1"/>
  <c r="M76" i="1"/>
  <c r="L76" i="1"/>
  <c r="K76" i="1"/>
  <c r="J76" i="1"/>
  <c r="I76" i="1"/>
  <c r="H76" i="1"/>
  <c r="G76" i="1"/>
  <c r="F76" i="1"/>
  <c r="E76" i="1"/>
  <c r="D76" i="1" a="1"/>
  <c r="D76" i="1" s="1"/>
  <c r="C76" i="1" a="1"/>
  <c r="C76" i="1" s="1"/>
  <c r="B76" i="1" a="1"/>
  <c r="B76" i="1" s="1"/>
  <c r="O75" i="1"/>
  <c r="N75" i="1"/>
  <c r="M75" i="1"/>
  <c r="L75" i="1"/>
  <c r="K75" i="1"/>
  <c r="J75" i="1"/>
  <c r="I75" i="1"/>
  <c r="H75" i="1"/>
  <c r="G75" i="1"/>
  <c r="F75" i="1"/>
  <c r="E75" i="1"/>
  <c r="D75" i="1" a="1"/>
  <c r="D75" i="1" s="1"/>
  <c r="C75" i="1" a="1"/>
  <c r="C75" i="1" s="1"/>
  <c r="B75" i="1" a="1"/>
  <c r="B75" i="1" s="1"/>
  <c r="O74" i="1"/>
  <c r="N74" i="1"/>
  <c r="M74" i="1"/>
  <c r="L74" i="1"/>
  <c r="K74" i="1"/>
  <c r="J74" i="1"/>
  <c r="I74" i="1"/>
  <c r="H74" i="1"/>
  <c r="G74" i="1"/>
  <c r="F74" i="1"/>
  <c r="E74" i="1"/>
  <c r="D74" i="1" a="1"/>
  <c r="D74" i="1" s="1"/>
  <c r="C74" i="1" a="1"/>
  <c r="C74" i="1" s="1"/>
  <c r="B74" i="1" a="1"/>
  <c r="B74" i="1" s="1"/>
  <c r="O73" i="1"/>
  <c r="N73" i="1"/>
  <c r="M73" i="1"/>
  <c r="L73" i="1"/>
  <c r="K73" i="1"/>
  <c r="J73" i="1"/>
  <c r="I73" i="1"/>
  <c r="H73" i="1"/>
  <c r="G73" i="1"/>
  <c r="F73" i="1"/>
  <c r="E73" i="1"/>
  <c r="D73" i="1" a="1"/>
  <c r="D73" i="1" s="1"/>
  <c r="C73" i="1" a="1"/>
  <c r="C73" i="1" s="1"/>
  <c r="B73" i="1" a="1"/>
  <c r="B73" i="1" s="1"/>
  <c r="O72" i="1"/>
  <c r="N72" i="1"/>
  <c r="M72" i="1"/>
  <c r="L72" i="1"/>
  <c r="K72" i="1"/>
  <c r="J72" i="1"/>
  <c r="I72" i="1"/>
  <c r="H72" i="1"/>
  <c r="G72" i="1"/>
  <c r="F72" i="1"/>
  <c r="E72" i="1"/>
  <c r="D72" i="1" a="1"/>
  <c r="D72" i="1" s="1"/>
  <c r="C72" i="1" a="1"/>
  <c r="C72" i="1" s="1"/>
  <c r="B72" i="1" a="1"/>
  <c r="B72" i="1" s="1"/>
  <c r="O71" i="1"/>
  <c r="N71" i="1"/>
  <c r="M71" i="1"/>
  <c r="L71" i="1"/>
  <c r="K71" i="1"/>
  <c r="J71" i="1"/>
  <c r="I71" i="1"/>
  <c r="H71" i="1"/>
  <c r="G71" i="1"/>
  <c r="F71" i="1"/>
  <c r="E71" i="1"/>
  <c r="D71" i="1" a="1"/>
  <c r="D71" i="1" s="1"/>
  <c r="C71" i="1" a="1"/>
  <c r="C71" i="1" s="1"/>
  <c r="B71" i="1" a="1"/>
  <c r="B71" i="1" s="1"/>
  <c r="O70" i="1"/>
  <c r="N70" i="1"/>
  <c r="M70" i="1"/>
  <c r="L70" i="1"/>
  <c r="K70" i="1"/>
  <c r="J70" i="1"/>
  <c r="I70" i="1"/>
  <c r="H70" i="1"/>
  <c r="G70" i="1"/>
  <c r="F70" i="1"/>
  <c r="E70" i="1"/>
  <c r="D70" i="1" a="1"/>
  <c r="D70" i="1" s="1"/>
  <c r="C70" i="1" a="1"/>
  <c r="C70" i="1" s="1"/>
  <c r="B70" i="1" a="1"/>
  <c r="B70" i="1" s="1"/>
  <c r="O69" i="1"/>
  <c r="N69" i="1"/>
  <c r="M69" i="1"/>
  <c r="L69" i="1"/>
  <c r="K69" i="1"/>
  <c r="J69" i="1"/>
  <c r="I69" i="1"/>
  <c r="H69" i="1"/>
  <c r="G69" i="1"/>
  <c r="F69" i="1"/>
  <c r="E69" i="1"/>
  <c r="D69" i="1" a="1"/>
  <c r="D69" i="1" s="1"/>
  <c r="C69" i="1" a="1"/>
  <c r="C69" i="1" s="1"/>
  <c r="B69" i="1" a="1"/>
  <c r="B69" i="1" s="1"/>
  <c r="O68" i="1"/>
  <c r="N68" i="1"/>
  <c r="M68" i="1"/>
  <c r="L68" i="1"/>
  <c r="K68" i="1"/>
  <c r="J68" i="1"/>
  <c r="I68" i="1"/>
  <c r="H68" i="1"/>
  <c r="G68" i="1"/>
  <c r="F68" i="1"/>
  <c r="E68" i="1"/>
  <c r="D68" i="1" a="1"/>
  <c r="D68" i="1" s="1"/>
  <c r="C68" i="1" a="1"/>
  <c r="C68" i="1" s="1"/>
  <c r="B68" i="1" a="1"/>
  <c r="B68" i="1" s="1"/>
  <c r="O67" i="1"/>
  <c r="N67" i="1"/>
  <c r="M67" i="1"/>
  <c r="L67" i="1"/>
  <c r="K67" i="1"/>
  <c r="J67" i="1"/>
  <c r="I67" i="1"/>
  <c r="H67" i="1"/>
  <c r="G67" i="1"/>
  <c r="F67" i="1"/>
  <c r="E67" i="1"/>
  <c r="D67" i="1" a="1"/>
  <c r="D67" i="1" s="1"/>
  <c r="C67" i="1" a="1"/>
  <c r="C67" i="1" s="1"/>
  <c r="B67" i="1" a="1"/>
  <c r="B67" i="1" s="1"/>
  <c r="O66" i="1"/>
  <c r="N66" i="1"/>
  <c r="M66" i="1"/>
  <c r="L66" i="1"/>
  <c r="K66" i="1"/>
  <c r="J66" i="1"/>
  <c r="I66" i="1"/>
  <c r="H66" i="1"/>
  <c r="G66" i="1"/>
  <c r="F66" i="1"/>
  <c r="E66" i="1"/>
  <c r="D66" i="1" a="1"/>
  <c r="D66" i="1" s="1"/>
  <c r="C66" i="1" a="1"/>
  <c r="C66" i="1" s="1"/>
  <c r="B66" i="1" a="1"/>
  <c r="B66" i="1" s="1"/>
  <c r="O65" i="1"/>
  <c r="N65" i="1"/>
  <c r="M65" i="1"/>
  <c r="L65" i="1"/>
  <c r="K65" i="1"/>
  <c r="J65" i="1"/>
  <c r="I65" i="1"/>
  <c r="H65" i="1"/>
  <c r="G65" i="1"/>
  <c r="F65" i="1"/>
  <c r="E65" i="1"/>
  <c r="D65" i="1" a="1"/>
  <c r="D65" i="1" s="1"/>
  <c r="C65" i="1" a="1"/>
  <c r="C65" i="1" s="1"/>
  <c r="B65" i="1" a="1"/>
  <c r="B65" i="1" s="1"/>
  <c r="O64" i="1"/>
  <c r="N64" i="1"/>
  <c r="M64" i="1"/>
  <c r="L64" i="1"/>
  <c r="K64" i="1"/>
  <c r="J64" i="1"/>
  <c r="I64" i="1"/>
  <c r="H64" i="1"/>
  <c r="G64" i="1"/>
  <c r="F64" i="1"/>
  <c r="E64" i="1"/>
  <c r="D64" i="1" a="1"/>
  <c r="D64" i="1" s="1"/>
  <c r="C64" i="1" a="1"/>
  <c r="C64" i="1" s="1"/>
  <c r="B64" i="1" a="1"/>
  <c r="B64" i="1" s="1"/>
  <c r="O63" i="1"/>
  <c r="N63" i="1"/>
  <c r="M63" i="1"/>
  <c r="L63" i="1"/>
  <c r="K63" i="1"/>
  <c r="J63" i="1"/>
  <c r="I63" i="1"/>
  <c r="H63" i="1"/>
  <c r="G63" i="1"/>
  <c r="F63" i="1"/>
  <c r="E63" i="1"/>
  <c r="D63" i="1" a="1"/>
  <c r="D63" i="1" s="1"/>
  <c r="C63" i="1" a="1"/>
  <c r="C63" i="1" s="1"/>
  <c r="B63" i="1" a="1"/>
  <c r="B63" i="1" s="1"/>
  <c r="O62" i="1"/>
  <c r="N62" i="1"/>
  <c r="M62" i="1"/>
  <c r="L62" i="1"/>
  <c r="K62" i="1"/>
  <c r="J62" i="1"/>
  <c r="I62" i="1"/>
  <c r="H62" i="1"/>
  <c r="G62" i="1"/>
  <c r="F62" i="1"/>
  <c r="E62" i="1"/>
  <c r="D62" i="1" a="1"/>
  <c r="D62" i="1" s="1"/>
  <c r="C62" i="1" a="1"/>
  <c r="C62" i="1" s="1"/>
  <c r="B62" i="1" a="1"/>
  <c r="B62" i="1" s="1"/>
  <c r="O61" i="1"/>
  <c r="N61" i="1"/>
  <c r="M61" i="1"/>
  <c r="L61" i="1"/>
  <c r="K61" i="1"/>
  <c r="J61" i="1"/>
  <c r="I61" i="1"/>
  <c r="H61" i="1"/>
  <c r="G61" i="1"/>
  <c r="F61" i="1"/>
  <c r="E61" i="1"/>
  <c r="D61" i="1" a="1"/>
  <c r="D61" i="1" s="1"/>
  <c r="C61" i="1" a="1"/>
  <c r="C61" i="1" s="1"/>
  <c r="B61" i="1" a="1"/>
  <c r="B61" i="1" s="1"/>
  <c r="O60" i="1"/>
  <c r="N60" i="1"/>
  <c r="M60" i="1"/>
  <c r="L60" i="1"/>
  <c r="K60" i="1"/>
  <c r="J60" i="1"/>
  <c r="I60" i="1"/>
  <c r="H60" i="1"/>
  <c r="G60" i="1"/>
  <c r="F60" i="1"/>
  <c r="E60" i="1"/>
  <c r="D60" i="1" a="1"/>
  <c r="D60" i="1" s="1"/>
  <c r="C60" i="1" a="1"/>
  <c r="C60" i="1" s="1"/>
  <c r="B60" i="1" a="1"/>
  <c r="B60" i="1" s="1"/>
  <c r="O59" i="1"/>
  <c r="N59" i="1"/>
  <c r="M59" i="1"/>
  <c r="L59" i="1"/>
  <c r="K59" i="1"/>
  <c r="J59" i="1"/>
  <c r="I59" i="1"/>
  <c r="H59" i="1"/>
  <c r="G59" i="1"/>
  <c r="F59" i="1"/>
  <c r="E59" i="1"/>
  <c r="D59" i="1" a="1"/>
  <c r="D59" i="1" s="1"/>
  <c r="C59" i="1" a="1"/>
  <c r="C59" i="1" s="1"/>
  <c r="B59" i="1" a="1"/>
  <c r="B59" i="1" s="1"/>
  <c r="O58" i="1"/>
  <c r="N58" i="1"/>
  <c r="M58" i="1"/>
  <c r="L58" i="1"/>
  <c r="K58" i="1"/>
  <c r="J58" i="1"/>
  <c r="I58" i="1"/>
  <c r="H58" i="1"/>
  <c r="G58" i="1"/>
  <c r="F58" i="1"/>
  <c r="E58" i="1"/>
  <c r="D58" i="1" a="1"/>
  <c r="D58" i="1" s="1"/>
  <c r="C58" i="1" a="1"/>
  <c r="C58" i="1" s="1"/>
  <c r="B58" i="1" a="1"/>
  <c r="B58" i="1" s="1"/>
  <c r="O57" i="1"/>
  <c r="N57" i="1"/>
  <c r="M57" i="1"/>
  <c r="L57" i="1"/>
  <c r="K57" i="1"/>
  <c r="J57" i="1"/>
  <c r="I57" i="1"/>
  <c r="H57" i="1"/>
  <c r="G57" i="1"/>
  <c r="F57" i="1"/>
  <c r="E57" i="1"/>
  <c r="D57" i="1" a="1"/>
  <c r="D57" i="1" s="1"/>
  <c r="C57" i="1" a="1"/>
  <c r="C57" i="1" s="1"/>
  <c r="B57" i="1" a="1"/>
  <c r="B57" i="1" s="1"/>
  <c r="O56" i="1"/>
  <c r="N56" i="1"/>
  <c r="M56" i="1"/>
  <c r="L56" i="1"/>
  <c r="K56" i="1"/>
  <c r="J56" i="1"/>
  <c r="I56" i="1"/>
  <c r="H56" i="1"/>
  <c r="G56" i="1"/>
  <c r="F56" i="1"/>
  <c r="E56" i="1"/>
  <c r="D56" i="1" a="1"/>
  <c r="D56" i="1" s="1"/>
  <c r="C56" i="1" a="1"/>
  <c r="C56" i="1" s="1"/>
  <c r="B56" i="1" a="1"/>
  <c r="B56" i="1" s="1"/>
  <c r="O55" i="1"/>
  <c r="N55" i="1"/>
  <c r="M55" i="1"/>
  <c r="L55" i="1"/>
  <c r="K55" i="1"/>
  <c r="J55" i="1"/>
  <c r="I55" i="1"/>
  <c r="H55" i="1"/>
  <c r="G55" i="1"/>
  <c r="F55" i="1"/>
  <c r="E55" i="1"/>
  <c r="D55" i="1" a="1"/>
  <c r="D55" i="1" s="1"/>
  <c r="C55" i="1" a="1"/>
  <c r="C55" i="1" s="1"/>
  <c r="B55" i="1" a="1"/>
  <c r="B55" i="1" s="1"/>
  <c r="O54" i="1"/>
  <c r="N54" i="1"/>
  <c r="M54" i="1"/>
  <c r="L54" i="1"/>
  <c r="K54" i="1"/>
  <c r="J54" i="1"/>
  <c r="I54" i="1"/>
  <c r="H54" i="1"/>
  <c r="G54" i="1"/>
  <c r="F54" i="1"/>
  <c r="E54" i="1"/>
  <c r="D54" i="1" a="1"/>
  <c r="D54" i="1" s="1"/>
  <c r="C54" i="1" a="1"/>
  <c r="C54" i="1" s="1"/>
  <c r="B54" i="1" a="1"/>
  <c r="B54" i="1" s="1"/>
  <c r="O53" i="1"/>
  <c r="N53" i="1"/>
  <c r="M53" i="1"/>
  <c r="L53" i="1"/>
  <c r="K53" i="1"/>
  <c r="J53" i="1"/>
  <c r="I53" i="1"/>
  <c r="H53" i="1"/>
  <c r="G53" i="1"/>
  <c r="F53" i="1"/>
  <c r="E53" i="1"/>
  <c r="D53" i="1" a="1"/>
  <c r="D53" i="1" s="1"/>
  <c r="C53" i="1" a="1"/>
  <c r="C53" i="1" s="1"/>
  <c r="B53" i="1" a="1"/>
  <c r="B53" i="1" s="1"/>
  <c r="O52" i="1"/>
  <c r="N52" i="1"/>
  <c r="M52" i="1"/>
  <c r="L52" i="1"/>
  <c r="K52" i="1"/>
  <c r="J52" i="1"/>
  <c r="I52" i="1"/>
  <c r="H52" i="1"/>
  <c r="G52" i="1"/>
  <c r="F52" i="1"/>
  <c r="E52" i="1"/>
  <c r="D52" i="1" a="1"/>
  <c r="D52" i="1" s="1"/>
  <c r="C52" i="1" a="1"/>
  <c r="C52" i="1" s="1"/>
  <c r="B52" i="1" a="1"/>
  <c r="B52" i="1" s="1"/>
  <c r="O51" i="1"/>
  <c r="N51" i="1"/>
  <c r="M51" i="1"/>
  <c r="L51" i="1"/>
  <c r="K51" i="1"/>
  <c r="J51" i="1"/>
  <c r="I51" i="1"/>
  <c r="H51" i="1"/>
  <c r="G51" i="1"/>
  <c r="F51" i="1"/>
  <c r="E51" i="1"/>
  <c r="D51" i="1" a="1"/>
  <c r="D51" i="1" s="1"/>
  <c r="C51" i="1" a="1"/>
  <c r="C51" i="1" s="1"/>
  <c r="B51" i="1" a="1"/>
  <c r="B51" i="1" s="1"/>
  <c r="O50" i="1"/>
  <c r="N50" i="1"/>
  <c r="M50" i="1"/>
  <c r="L50" i="1"/>
  <c r="K50" i="1"/>
  <c r="J50" i="1"/>
  <c r="I50" i="1"/>
  <c r="H50" i="1"/>
  <c r="G50" i="1"/>
  <c r="F50" i="1"/>
  <c r="E50" i="1"/>
  <c r="D50" i="1" a="1"/>
  <c r="D50" i="1" s="1"/>
  <c r="C50" i="1" a="1"/>
  <c r="C50" i="1" s="1"/>
  <c r="B50" i="1" a="1"/>
  <c r="B50" i="1" s="1"/>
  <c r="O49" i="1"/>
  <c r="N49" i="1"/>
  <c r="M49" i="1"/>
  <c r="L49" i="1"/>
  <c r="K49" i="1"/>
  <c r="J49" i="1"/>
  <c r="I49" i="1"/>
  <c r="H49" i="1"/>
  <c r="G49" i="1"/>
  <c r="F49" i="1"/>
  <c r="E49" i="1"/>
  <c r="D49" i="1" a="1"/>
  <c r="D49" i="1" s="1"/>
  <c r="C49" i="1" a="1"/>
  <c r="C49" i="1" s="1"/>
  <c r="B49" i="1" a="1"/>
  <c r="B49" i="1" s="1"/>
  <c r="O48" i="1"/>
  <c r="N48" i="1"/>
  <c r="M48" i="1"/>
  <c r="L48" i="1"/>
  <c r="K48" i="1"/>
  <c r="J48" i="1"/>
  <c r="I48" i="1"/>
  <c r="H48" i="1"/>
  <c r="G48" i="1"/>
  <c r="F48" i="1"/>
  <c r="E48" i="1"/>
  <c r="D48" i="1" a="1"/>
  <c r="D48" i="1" s="1"/>
  <c r="C48" i="1" a="1"/>
  <c r="C48" i="1" s="1"/>
  <c r="B48" i="1" a="1"/>
  <c r="B48" i="1" s="1"/>
  <c r="O47" i="1"/>
  <c r="N47" i="1"/>
  <c r="M47" i="1"/>
  <c r="L47" i="1"/>
  <c r="K47" i="1"/>
  <c r="J47" i="1"/>
  <c r="I47" i="1"/>
  <c r="H47" i="1"/>
  <c r="G47" i="1"/>
  <c r="F47" i="1"/>
  <c r="E47" i="1"/>
  <c r="D47" i="1" a="1"/>
  <c r="D47" i="1" s="1"/>
  <c r="C47" i="1" a="1"/>
  <c r="C47" i="1" s="1"/>
  <c r="B47" i="1" a="1"/>
  <c r="B47" i="1" s="1"/>
  <c r="O46" i="1"/>
  <c r="N46" i="1"/>
  <c r="M46" i="1"/>
  <c r="L46" i="1"/>
  <c r="K46" i="1"/>
  <c r="J46" i="1"/>
  <c r="I46" i="1"/>
  <c r="H46" i="1"/>
  <c r="G46" i="1"/>
  <c r="F46" i="1"/>
  <c r="E46" i="1"/>
  <c r="D46" i="1" a="1"/>
  <c r="D46" i="1" s="1"/>
  <c r="C46" i="1" a="1"/>
  <c r="C46" i="1" s="1"/>
  <c r="B46" i="1" a="1"/>
  <c r="B46" i="1" s="1"/>
  <c r="O45" i="1"/>
  <c r="N45" i="1"/>
  <c r="M45" i="1"/>
  <c r="L45" i="1"/>
  <c r="K45" i="1"/>
  <c r="J45" i="1"/>
  <c r="I45" i="1"/>
  <c r="H45" i="1"/>
  <c r="G45" i="1"/>
  <c r="F45" i="1"/>
  <c r="E45" i="1"/>
  <c r="D45" i="1" a="1"/>
  <c r="D45" i="1" s="1"/>
  <c r="C45" i="1" a="1"/>
  <c r="C45" i="1" s="1"/>
  <c r="B45" i="1" a="1"/>
  <c r="B45" i="1" s="1"/>
  <c r="O44" i="1"/>
  <c r="N44" i="1"/>
  <c r="M44" i="1"/>
  <c r="L44" i="1"/>
  <c r="K44" i="1"/>
  <c r="J44" i="1"/>
  <c r="I44" i="1"/>
  <c r="H44" i="1"/>
  <c r="G44" i="1"/>
  <c r="F44" i="1"/>
  <c r="E44" i="1"/>
  <c r="D44" i="1" a="1"/>
  <c r="D44" i="1" s="1"/>
  <c r="C44" i="1" a="1"/>
  <c r="C44" i="1" s="1"/>
  <c r="B44" i="1" a="1"/>
  <c r="B44" i="1" s="1"/>
  <c r="O43" i="1"/>
  <c r="N43" i="1"/>
  <c r="M43" i="1"/>
  <c r="L43" i="1"/>
  <c r="K43" i="1"/>
  <c r="J43" i="1"/>
  <c r="I43" i="1"/>
  <c r="H43" i="1"/>
  <c r="G43" i="1"/>
  <c r="F43" i="1"/>
  <c r="E43" i="1"/>
  <c r="D43" i="1" a="1"/>
  <c r="D43" i="1" s="1"/>
  <c r="C43" i="1" a="1"/>
  <c r="C43" i="1" s="1"/>
  <c r="B43" i="1" a="1"/>
  <c r="B43" i="1" s="1"/>
  <c r="O42" i="1"/>
  <c r="N42" i="1"/>
  <c r="M42" i="1"/>
  <c r="L42" i="1"/>
  <c r="K42" i="1"/>
  <c r="J42" i="1"/>
  <c r="I42" i="1"/>
  <c r="H42" i="1"/>
  <c r="G42" i="1"/>
  <c r="F42" i="1"/>
  <c r="E42" i="1"/>
  <c r="D42" i="1" a="1"/>
  <c r="D42" i="1" s="1"/>
  <c r="C42" i="1" a="1"/>
  <c r="C42" i="1" s="1"/>
  <c r="B42" i="1" a="1"/>
  <c r="B42" i="1" s="1"/>
  <c r="O41" i="1"/>
  <c r="N41" i="1"/>
  <c r="M41" i="1"/>
  <c r="L41" i="1"/>
  <c r="K41" i="1"/>
  <c r="J41" i="1"/>
  <c r="I41" i="1"/>
  <c r="H41" i="1"/>
  <c r="G41" i="1"/>
  <c r="F41" i="1"/>
  <c r="E41" i="1"/>
  <c r="D41" i="1" a="1"/>
  <c r="D41" i="1" s="1"/>
  <c r="C41" i="1" a="1"/>
  <c r="C41" i="1" s="1"/>
  <c r="B41" i="1" a="1"/>
  <c r="B41" i="1" s="1"/>
  <c r="O40" i="1"/>
  <c r="N40" i="1"/>
  <c r="M40" i="1"/>
  <c r="L40" i="1"/>
  <c r="K40" i="1"/>
  <c r="J40" i="1"/>
  <c r="I40" i="1"/>
  <c r="H40" i="1"/>
  <c r="G40" i="1"/>
  <c r="F40" i="1"/>
  <c r="E40" i="1"/>
  <c r="D40" i="1" a="1"/>
  <c r="D40" i="1" s="1"/>
  <c r="C40" i="1" a="1"/>
  <c r="C40" i="1" s="1"/>
  <c r="B40" i="1" a="1"/>
  <c r="B40" i="1" s="1"/>
  <c r="O39" i="1"/>
  <c r="N39" i="1"/>
  <c r="M39" i="1"/>
  <c r="L39" i="1"/>
  <c r="K39" i="1"/>
  <c r="J39" i="1"/>
  <c r="I39" i="1"/>
  <c r="H39" i="1"/>
  <c r="G39" i="1"/>
  <c r="F39" i="1"/>
  <c r="E39" i="1"/>
  <c r="D39" i="1" a="1"/>
  <c r="D39" i="1" s="1"/>
  <c r="C39" i="1" a="1"/>
  <c r="C39" i="1" s="1"/>
  <c r="B39" i="1" a="1"/>
  <c r="B39" i="1" s="1"/>
  <c r="O38" i="1"/>
  <c r="N38" i="1"/>
  <c r="M38" i="1"/>
  <c r="L38" i="1"/>
  <c r="K38" i="1"/>
  <c r="J38" i="1"/>
  <c r="I38" i="1"/>
  <c r="H38" i="1"/>
  <c r="G38" i="1"/>
  <c r="F38" i="1"/>
  <c r="E38" i="1"/>
  <c r="D38" i="1" a="1"/>
  <c r="D38" i="1" s="1"/>
  <c r="C38" i="1" a="1"/>
  <c r="C38" i="1" s="1"/>
  <c r="B38" i="1" a="1"/>
  <c r="B38" i="1" s="1"/>
  <c r="O37" i="1"/>
  <c r="N37" i="1"/>
  <c r="M37" i="1"/>
  <c r="L37" i="1"/>
  <c r="K37" i="1"/>
  <c r="J37" i="1"/>
  <c r="I37" i="1"/>
  <c r="H37" i="1"/>
  <c r="G37" i="1"/>
  <c r="F37" i="1"/>
  <c r="E37" i="1"/>
  <c r="D37" i="1" a="1"/>
  <c r="D37" i="1" s="1"/>
  <c r="C37" i="1" a="1"/>
  <c r="C37" i="1" s="1"/>
  <c r="B37" i="1" a="1"/>
  <c r="B37" i="1" s="1"/>
  <c r="O36" i="1"/>
  <c r="N36" i="1"/>
  <c r="M36" i="1"/>
  <c r="L36" i="1"/>
  <c r="K36" i="1"/>
  <c r="J36" i="1"/>
  <c r="I36" i="1"/>
  <c r="H36" i="1"/>
  <c r="G36" i="1"/>
  <c r="F36" i="1"/>
  <c r="E36" i="1"/>
  <c r="D36" i="1" a="1"/>
  <c r="D36" i="1" s="1"/>
  <c r="C36" i="1" a="1"/>
  <c r="C36" i="1" s="1"/>
  <c r="B36" i="1" a="1"/>
  <c r="B36" i="1" s="1"/>
  <c r="O35" i="1"/>
  <c r="N35" i="1"/>
  <c r="M35" i="1"/>
  <c r="L35" i="1"/>
  <c r="K35" i="1"/>
  <c r="J35" i="1"/>
  <c r="I35" i="1"/>
  <c r="H35" i="1"/>
  <c r="G35" i="1"/>
  <c r="F35" i="1"/>
  <c r="E35" i="1"/>
  <c r="D35" i="1" a="1"/>
  <c r="D35" i="1" s="1"/>
  <c r="C35" i="1" a="1"/>
  <c r="C35" i="1" s="1"/>
  <c r="B35" i="1" a="1"/>
  <c r="B35" i="1" s="1"/>
  <c r="O34" i="1"/>
  <c r="N34" i="1"/>
  <c r="M34" i="1"/>
  <c r="L34" i="1"/>
  <c r="K34" i="1"/>
  <c r="J34" i="1"/>
  <c r="I34" i="1"/>
  <c r="H34" i="1"/>
  <c r="G34" i="1"/>
  <c r="F34" i="1"/>
  <c r="E34" i="1"/>
  <c r="D34" i="1" a="1"/>
  <c r="D34" i="1" s="1"/>
  <c r="C34" i="1" a="1"/>
  <c r="C34" i="1" s="1"/>
  <c r="B34" i="1" a="1"/>
  <c r="B34" i="1" s="1"/>
  <c r="O33" i="1"/>
  <c r="N33" i="1"/>
  <c r="M33" i="1"/>
  <c r="L33" i="1"/>
  <c r="K33" i="1"/>
  <c r="J33" i="1"/>
  <c r="I33" i="1"/>
  <c r="H33" i="1"/>
  <c r="G33" i="1"/>
  <c r="F33" i="1"/>
  <c r="E33" i="1"/>
  <c r="D33" i="1" a="1"/>
  <c r="D33" i="1" s="1"/>
  <c r="C33" i="1" a="1"/>
  <c r="C33" i="1" s="1"/>
  <c r="B33" i="1" a="1"/>
  <c r="B33" i="1" s="1"/>
  <c r="O32" i="1"/>
  <c r="N32" i="1"/>
  <c r="M32" i="1"/>
  <c r="L32" i="1"/>
  <c r="K32" i="1"/>
  <c r="J32" i="1"/>
  <c r="I32" i="1"/>
  <c r="H32" i="1"/>
  <c r="G32" i="1"/>
  <c r="F32" i="1"/>
  <c r="E32" i="1"/>
  <c r="D32" i="1" a="1"/>
  <c r="D32" i="1" s="1"/>
  <c r="C32" i="1" a="1"/>
  <c r="C32" i="1" s="1"/>
  <c r="B32" i="1" a="1"/>
  <c r="B32" i="1" s="1"/>
  <c r="O31" i="1"/>
  <c r="N31" i="1"/>
  <c r="M31" i="1"/>
  <c r="L31" i="1"/>
  <c r="K31" i="1"/>
  <c r="J31" i="1"/>
  <c r="I31" i="1"/>
  <c r="H31" i="1"/>
  <c r="G31" i="1"/>
  <c r="F31" i="1"/>
  <c r="E31" i="1"/>
  <c r="D31" i="1" a="1"/>
  <c r="D31" i="1" s="1"/>
  <c r="C31" i="1" a="1"/>
  <c r="C31" i="1" s="1"/>
  <c r="B31" i="1" a="1"/>
  <c r="B31" i="1" s="1"/>
  <c r="O30" i="1"/>
  <c r="N30" i="1"/>
  <c r="M30" i="1"/>
  <c r="L30" i="1"/>
  <c r="K30" i="1"/>
  <c r="J30" i="1"/>
  <c r="I30" i="1"/>
  <c r="H30" i="1"/>
  <c r="G30" i="1"/>
  <c r="F30" i="1"/>
  <c r="E30" i="1"/>
  <c r="D30" i="1" a="1"/>
  <c r="D30" i="1" s="1"/>
  <c r="C30" i="1" a="1"/>
  <c r="C30" i="1" s="1"/>
  <c r="B30" i="1" a="1"/>
  <c r="B30" i="1" s="1"/>
  <c r="O29" i="1"/>
  <c r="N29" i="1"/>
  <c r="M29" i="1"/>
  <c r="L29" i="1"/>
  <c r="K29" i="1"/>
  <c r="J29" i="1"/>
  <c r="I29" i="1"/>
  <c r="H29" i="1"/>
  <c r="G29" i="1"/>
  <c r="F29" i="1"/>
  <c r="E29" i="1"/>
  <c r="D29" i="1" a="1"/>
  <c r="D29" i="1" s="1"/>
  <c r="C29" i="1" a="1"/>
  <c r="C29" i="1" s="1"/>
  <c r="B29" i="1" a="1"/>
  <c r="B29" i="1" s="1"/>
  <c r="O28" i="1"/>
  <c r="N28" i="1"/>
  <c r="M28" i="1"/>
  <c r="L28" i="1"/>
  <c r="K28" i="1"/>
  <c r="J28" i="1"/>
  <c r="I28" i="1"/>
  <c r="H28" i="1"/>
  <c r="G28" i="1"/>
  <c r="F28" i="1"/>
  <c r="E28" i="1"/>
  <c r="D28" i="1" a="1"/>
  <c r="D28" i="1" s="1"/>
  <c r="C28" i="1" a="1"/>
  <c r="C28" i="1" s="1"/>
  <c r="B28" i="1" a="1"/>
  <c r="B28" i="1" s="1"/>
  <c r="O27" i="1"/>
  <c r="N27" i="1"/>
  <c r="M27" i="1"/>
  <c r="L27" i="1"/>
  <c r="K27" i="1"/>
  <c r="J27" i="1"/>
  <c r="I27" i="1"/>
  <c r="H27" i="1"/>
  <c r="G27" i="1"/>
  <c r="F27" i="1"/>
  <c r="E27" i="1"/>
  <c r="D27" i="1" a="1"/>
  <c r="D27" i="1" s="1"/>
  <c r="C27" i="1" a="1"/>
  <c r="C27" i="1" s="1"/>
  <c r="B27" i="1" a="1"/>
  <c r="B27" i="1" s="1"/>
  <c r="O26" i="1"/>
  <c r="N26" i="1"/>
  <c r="M26" i="1"/>
  <c r="L26" i="1"/>
  <c r="K26" i="1"/>
  <c r="J26" i="1"/>
  <c r="I26" i="1"/>
  <c r="H26" i="1"/>
  <c r="G26" i="1"/>
  <c r="F26" i="1"/>
  <c r="E26" i="1"/>
  <c r="D26" i="1" a="1"/>
  <c r="D26" i="1" s="1"/>
  <c r="C26" i="1" a="1"/>
  <c r="C26" i="1" s="1"/>
  <c r="B26" i="1" a="1"/>
  <c r="B26" i="1" s="1"/>
  <c r="O25" i="1"/>
  <c r="N25" i="1"/>
  <c r="M25" i="1"/>
  <c r="L25" i="1"/>
  <c r="K25" i="1"/>
  <c r="J25" i="1"/>
  <c r="I25" i="1"/>
  <c r="H25" i="1"/>
  <c r="G25" i="1"/>
  <c r="F25" i="1"/>
  <c r="E25" i="1"/>
  <c r="D25" i="1" a="1"/>
  <c r="D25" i="1" s="1"/>
  <c r="C25" i="1" a="1"/>
  <c r="C25" i="1" s="1"/>
  <c r="B25" i="1" a="1"/>
  <c r="B25" i="1" s="1"/>
  <c r="O24" i="1"/>
  <c r="N24" i="1"/>
  <c r="M24" i="1"/>
  <c r="L24" i="1"/>
  <c r="K24" i="1"/>
  <c r="J24" i="1"/>
  <c r="I24" i="1"/>
  <c r="H24" i="1"/>
  <c r="G24" i="1"/>
  <c r="F24" i="1"/>
  <c r="E24" i="1"/>
  <c r="D24" i="1" a="1"/>
  <c r="D24" i="1" s="1"/>
  <c r="C24" i="1" a="1"/>
  <c r="C24" i="1" s="1"/>
  <c r="B24" i="1" a="1"/>
  <c r="B24" i="1" s="1"/>
  <c r="O23" i="1"/>
  <c r="N23" i="1"/>
  <c r="M23" i="1"/>
  <c r="L23" i="1"/>
  <c r="K23" i="1"/>
  <c r="J23" i="1"/>
  <c r="I23" i="1"/>
  <c r="H23" i="1"/>
  <c r="G23" i="1"/>
  <c r="F23" i="1"/>
  <c r="E23" i="1"/>
  <c r="D23" i="1" a="1"/>
  <c r="D23" i="1" s="1"/>
  <c r="C23" i="1" a="1"/>
  <c r="C23" i="1" s="1"/>
  <c r="B23" i="1" a="1"/>
  <c r="B23" i="1" s="1"/>
  <c r="O22" i="1"/>
  <c r="N22" i="1"/>
  <c r="M22" i="1"/>
  <c r="L22" i="1"/>
  <c r="K22" i="1"/>
  <c r="J22" i="1"/>
  <c r="I22" i="1"/>
  <c r="H22" i="1"/>
  <c r="G22" i="1"/>
  <c r="F22" i="1"/>
  <c r="E22" i="1"/>
  <c r="D22" i="1" a="1"/>
  <c r="D22" i="1" s="1"/>
  <c r="C22" i="1" a="1"/>
  <c r="C22" i="1" s="1"/>
  <c r="B22" i="1" a="1"/>
  <c r="B22" i="1" s="1"/>
  <c r="O21" i="1"/>
  <c r="N21" i="1"/>
  <c r="M21" i="1"/>
  <c r="L21" i="1"/>
  <c r="K21" i="1"/>
  <c r="J21" i="1"/>
  <c r="I21" i="1"/>
  <c r="H21" i="1"/>
  <c r="G21" i="1"/>
  <c r="F21" i="1"/>
  <c r="E21" i="1"/>
  <c r="D21" i="1" a="1"/>
  <c r="D21" i="1" s="1"/>
  <c r="C21" i="1" a="1"/>
  <c r="C21" i="1" s="1"/>
  <c r="B21" i="1" a="1"/>
  <c r="B21" i="1" s="1"/>
  <c r="O20" i="1"/>
  <c r="N20" i="1"/>
  <c r="M20" i="1"/>
  <c r="L20" i="1"/>
  <c r="K20" i="1"/>
  <c r="J20" i="1"/>
  <c r="I20" i="1"/>
  <c r="H20" i="1"/>
  <c r="G20" i="1"/>
  <c r="F20" i="1"/>
  <c r="E20" i="1"/>
  <c r="D20" i="1" a="1"/>
  <c r="D20" i="1" s="1"/>
  <c r="C20" i="1" a="1"/>
  <c r="C20" i="1" s="1"/>
  <c r="B20" i="1" a="1"/>
  <c r="B20" i="1" s="1"/>
  <c r="O19" i="1"/>
  <c r="N19" i="1"/>
  <c r="M19" i="1"/>
  <c r="L19" i="1"/>
  <c r="K19" i="1"/>
  <c r="J19" i="1"/>
  <c r="I19" i="1"/>
  <c r="H19" i="1"/>
  <c r="G19" i="1"/>
  <c r="F19" i="1"/>
  <c r="E19" i="1"/>
  <c r="D19" i="1" a="1"/>
  <c r="D19" i="1" s="1"/>
  <c r="C19" i="1" a="1"/>
  <c r="C19" i="1" s="1"/>
  <c r="B19" i="1" a="1"/>
  <c r="B19" i="1" s="1"/>
  <c r="O18" i="1"/>
  <c r="N18" i="1"/>
  <c r="M18" i="1"/>
  <c r="L18" i="1"/>
  <c r="K18" i="1"/>
  <c r="J18" i="1"/>
  <c r="I18" i="1"/>
  <c r="H18" i="1"/>
  <c r="G18" i="1"/>
  <c r="F18" i="1"/>
  <c r="E18" i="1"/>
  <c r="D18" i="1" a="1"/>
  <c r="D18" i="1" s="1"/>
  <c r="C18" i="1" a="1"/>
  <c r="C18" i="1" s="1"/>
  <c r="B18" i="1" a="1"/>
  <c r="B18" i="1" s="1"/>
  <c r="O17" i="1"/>
  <c r="N17" i="1"/>
  <c r="M17" i="1"/>
  <c r="L17" i="1"/>
  <c r="K17" i="1"/>
  <c r="J17" i="1"/>
  <c r="I17" i="1"/>
  <c r="H17" i="1"/>
  <c r="G17" i="1"/>
  <c r="F17" i="1"/>
  <c r="E17" i="1"/>
  <c r="D17" i="1" a="1"/>
  <c r="D17" i="1" s="1"/>
  <c r="C17" i="1" a="1"/>
  <c r="C17" i="1" s="1"/>
  <c r="B17" i="1" a="1"/>
  <c r="B17" i="1" s="1"/>
  <c r="O16" i="1"/>
  <c r="N16" i="1"/>
  <c r="M16" i="1"/>
  <c r="L16" i="1"/>
  <c r="K16" i="1"/>
  <c r="J16" i="1"/>
  <c r="I16" i="1"/>
  <c r="H16" i="1"/>
  <c r="G16" i="1"/>
  <c r="F16" i="1"/>
  <c r="E16" i="1"/>
  <c r="D16" i="1" a="1"/>
  <c r="D16" i="1" s="1"/>
  <c r="C16" i="1" a="1"/>
  <c r="C16" i="1" s="1"/>
  <c r="B16" i="1" a="1"/>
  <c r="B16" i="1" s="1"/>
  <c r="O15" i="1"/>
  <c r="N15" i="1"/>
  <c r="M15" i="1"/>
  <c r="L15" i="1"/>
  <c r="K15" i="1"/>
  <c r="J15" i="1"/>
  <c r="I15" i="1"/>
  <c r="H15" i="1"/>
  <c r="G15" i="1"/>
  <c r="F15" i="1"/>
  <c r="E15" i="1"/>
  <c r="D15" i="1" a="1"/>
  <c r="D15" i="1" s="1"/>
  <c r="C15" i="1" a="1"/>
  <c r="C15" i="1" s="1"/>
  <c r="B15" i="1" a="1"/>
  <c r="B15" i="1" s="1"/>
  <c r="O14" i="1"/>
  <c r="N14" i="1"/>
  <c r="M14" i="1"/>
  <c r="L14" i="1"/>
  <c r="K14" i="1"/>
  <c r="J14" i="1"/>
  <c r="I14" i="1"/>
  <c r="H14" i="1"/>
  <c r="G14" i="1"/>
  <c r="F14" i="1"/>
  <c r="E14" i="1"/>
  <c r="D14" i="1" a="1"/>
  <c r="D14" i="1" s="1"/>
  <c r="C14" i="1" a="1"/>
  <c r="C14" i="1" s="1"/>
  <c r="B14" i="1" a="1"/>
  <c r="B14" i="1" s="1"/>
  <c r="O13" i="1"/>
  <c r="N13" i="1"/>
  <c r="M13" i="1"/>
  <c r="L13" i="1"/>
  <c r="K13" i="1"/>
  <c r="J13" i="1"/>
  <c r="I13" i="1"/>
  <c r="H13" i="1"/>
  <c r="G13" i="1"/>
  <c r="F13" i="1"/>
  <c r="E13" i="1"/>
  <c r="D13" i="1" a="1"/>
  <c r="D13" i="1" s="1"/>
  <c r="C13" i="1" a="1"/>
  <c r="C13" i="1" s="1"/>
  <c r="B13" i="1" a="1"/>
  <c r="B13" i="1" s="1"/>
  <c r="O12" i="1"/>
  <c r="N12" i="1"/>
  <c r="M12" i="1"/>
  <c r="L12" i="1"/>
  <c r="K12" i="1"/>
  <c r="J12" i="1"/>
  <c r="I12" i="1"/>
  <c r="H12" i="1"/>
  <c r="G12" i="1"/>
  <c r="F12" i="1"/>
  <c r="E12" i="1"/>
  <c r="D12" i="1" a="1"/>
  <c r="D12" i="1" s="1"/>
  <c r="C12" i="1" a="1"/>
  <c r="C12" i="1" s="1"/>
  <c r="B12" i="1" a="1"/>
  <c r="B12" i="1" s="1"/>
  <c r="O11" i="1"/>
  <c r="N11" i="1"/>
  <c r="M11" i="1"/>
  <c r="L11" i="1"/>
  <c r="K11" i="1"/>
  <c r="J11" i="1"/>
  <c r="I11" i="1"/>
  <c r="H11" i="1"/>
  <c r="G11" i="1"/>
  <c r="F11" i="1"/>
  <c r="E11" i="1"/>
  <c r="D11" i="1" a="1"/>
  <c r="D11" i="1" s="1"/>
  <c r="C11" i="1" a="1"/>
  <c r="C11" i="1" s="1"/>
  <c r="B11" i="1" a="1"/>
  <c r="B11" i="1" s="1"/>
  <c r="O10" i="1"/>
  <c r="N10" i="1"/>
  <c r="M10" i="1"/>
  <c r="L10" i="1"/>
  <c r="K10" i="1"/>
  <c r="J10" i="1"/>
  <c r="I10" i="1"/>
  <c r="H10" i="1"/>
  <c r="G10" i="1"/>
  <c r="F10" i="1"/>
  <c r="E10" i="1"/>
  <c r="D10" i="1" a="1"/>
  <c r="D10" i="1" s="1"/>
  <c r="C10" i="1" a="1"/>
  <c r="C10" i="1" s="1"/>
  <c r="B10" i="1" a="1"/>
  <c r="B10" i="1" s="1"/>
  <c r="O9" i="1"/>
  <c r="N9" i="1"/>
  <c r="M9" i="1"/>
  <c r="L9" i="1"/>
  <c r="K9" i="1"/>
  <c r="J9" i="1"/>
  <c r="I9" i="1"/>
  <c r="H9" i="1"/>
  <c r="G9" i="1"/>
  <c r="F9" i="1"/>
  <c r="E9" i="1"/>
  <c r="D9" i="1" a="1"/>
  <c r="D9" i="1" s="1"/>
  <c r="C9" i="1" a="1"/>
  <c r="C9" i="1" s="1"/>
  <c r="B9" i="1" a="1"/>
  <c r="B9" i="1" s="1"/>
  <c r="O8" i="1"/>
  <c r="N8" i="1"/>
  <c r="M8" i="1"/>
  <c r="L8" i="1"/>
  <c r="K8" i="1"/>
  <c r="J8" i="1"/>
  <c r="I8" i="1"/>
  <c r="H8" i="1"/>
  <c r="G8" i="1"/>
  <c r="F8" i="1"/>
  <c r="E8" i="1"/>
  <c r="D8" i="1" a="1"/>
  <c r="D8" i="1" s="1"/>
  <c r="C8" i="1" a="1"/>
  <c r="C8" i="1" s="1"/>
  <c r="B8" i="1" a="1"/>
  <c r="B8" i="1" s="1"/>
  <c r="O7" i="1"/>
  <c r="N7" i="1"/>
  <c r="M7" i="1"/>
  <c r="L7" i="1"/>
  <c r="K7" i="1"/>
  <c r="J7" i="1"/>
  <c r="I7" i="1"/>
  <c r="H7" i="1"/>
  <c r="G7" i="1"/>
  <c r="F7" i="1"/>
  <c r="E7" i="1"/>
  <c r="D7" i="1" a="1"/>
  <c r="D7" i="1" s="1"/>
  <c r="C7" i="1" a="1"/>
  <c r="C7" i="1" s="1"/>
  <c r="B7" i="1" a="1"/>
  <c r="B7" i="1" s="1"/>
  <c r="O6" i="1"/>
  <c r="N6" i="1"/>
  <c r="M6" i="1"/>
  <c r="L6" i="1"/>
  <c r="K6" i="1"/>
  <c r="J6" i="1"/>
  <c r="I6" i="1"/>
  <c r="H6" i="1"/>
  <c r="G6" i="1"/>
  <c r="F6" i="1"/>
  <c r="E6" i="1"/>
  <c r="D6" i="1" a="1"/>
  <c r="D6" i="1" s="1"/>
  <c r="C6" i="1" a="1"/>
  <c r="C6" i="1" s="1"/>
  <c r="B6" i="1" a="1"/>
  <c r="B6" i="1" s="1"/>
  <c r="O5" i="1"/>
  <c r="N5" i="1"/>
  <c r="M5" i="1"/>
  <c r="L5" i="1"/>
  <c r="K5" i="1"/>
  <c r="J5" i="1"/>
  <c r="I5" i="1"/>
  <c r="H5" i="1"/>
  <c r="G5" i="1"/>
  <c r="F5" i="1"/>
  <c r="E5" i="1"/>
  <c r="D5" i="1" a="1"/>
  <c r="D5" i="1" s="1"/>
  <c r="C5" i="1" a="1"/>
  <c r="C5" i="1" s="1"/>
  <c r="B5" i="1" a="1"/>
  <c r="B5" i="1" s="1"/>
  <c r="O4" i="1"/>
  <c r="N4" i="1"/>
  <c r="M4" i="1"/>
  <c r="L4" i="1"/>
  <c r="K4" i="1"/>
  <c r="J4" i="1"/>
  <c r="I4" i="1"/>
  <c r="H4" i="1"/>
  <c r="G4" i="1"/>
  <c r="F4" i="1"/>
  <c r="E4" i="1"/>
  <c r="D4" i="1" a="1"/>
  <c r="D4" i="1" s="1"/>
  <c r="C4" i="1" a="1"/>
  <c r="C4" i="1" s="1"/>
  <c r="B4" i="1" a="1"/>
  <c r="B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668C3D-C9B1-2544-B301-B6799EC01960}" name="Table2" type="6" refreshedVersion="8" background="1" saveData="1">
    <textPr codePage="65001" sourceFile="/Users/donahue/Papers/ACCEPT2/ApJS/MachineReadableTables/SubmittedVersions/Table2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<sst xmlns="http://schemas.openxmlformats.org/spreadsheetml/2006/main" count="3976" uniqueCount="861">
  <si>
    <t>Name</t>
  </si>
  <si>
    <t>z</t>
  </si>
  <si>
    <t>RA_J2000</t>
  </si>
  <si>
    <t>Dec _J2000</t>
  </si>
  <si>
    <t>wd</t>
  </si>
  <si>
    <t>wserr</t>
  </si>
  <si>
    <t>p30d</t>
  </si>
  <si>
    <t>p30serr</t>
  </si>
  <si>
    <t>ellipd</t>
  </si>
  <si>
    <t>ellipderr</t>
  </si>
  <si>
    <t>etad</t>
  </si>
  <si>
    <t>etaerr</t>
  </si>
  <si>
    <t>c0.4R500</t>
  </si>
  <si>
    <t>ec0.4R500</t>
  </si>
  <si>
    <t>0.4R500_kpc/h71</t>
  </si>
  <si>
    <t>ABELL_2717</t>
  </si>
  <si>
    <t>ZwCl_0008.8+5215</t>
  </si>
  <si>
    <t>MACS_J0011.7-1523</t>
  </si>
  <si>
    <t>ABELL_2744</t>
  </si>
  <si>
    <t>Cl_0016+16</t>
  </si>
  <si>
    <t>ZwCl_0024.0+1652</t>
  </si>
  <si>
    <t>PLCKESZ_G304.84-41.42</t>
  </si>
  <si>
    <t>WARP_J0030.5+2618</t>
  </si>
  <si>
    <t>ABELL_0068</t>
  </si>
  <si>
    <t>ABELL_2813</t>
  </si>
  <si>
    <t>ABELL_0098N</t>
  </si>
  <si>
    <t>ABELL_0119</t>
  </si>
  <si>
    <t>ABELL_0122</t>
  </si>
  <si>
    <t>ABELL_0133</t>
  </si>
  <si>
    <t>SPT-CL_J0102-4915</t>
  </si>
  <si>
    <t>ABELL_0141</t>
  </si>
  <si>
    <t>MaxBCG_J016.70077+01.05926</t>
  </si>
  <si>
    <t>ABELL_0209</t>
  </si>
  <si>
    <t>Abell_222</t>
  </si>
  <si>
    <t>Abell_223</t>
  </si>
  <si>
    <t>MCXC_J0142.0+2131</t>
  </si>
  <si>
    <t>SDSS_J015021.27-100530.5_GROUP</t>
  </si>
  <si>
    <t>ABELL_0267</t>
  </si>
  <si>
    <t>GMBCG_J029.95560-08.83299</t>
  </si>
  <si>
    <t>WHL_J022825.9+003202</t>
  </si>
  <si>
    <t>ABELL_0368</t>
  </si>
  <si>
    <t>400d_J0237-5224</t>
  </si>
  <si>
    <t>ABELL_0370</t>
  </si>
  <si>
    <t>MACS_J0242.6-2132</t>
  </si>
  <si>
    <t>ABELL_S0295</t>
  </si>
  <si>
    <t>400d_J0245+0936</t>
  </si>
  <si>
    <t>ABELL_0383</t>
  </si>
  <si>
    <t>MACS_J0257-2325</t>
  </si>
  <si>
    <t>ABELL_0402</t>
  </si>
  <si>
    <t>ABELL_0399</t>
  </si>
  <si>
    <t>ABELL_3074</t>
  </si>
  <si>
    <t>ABELL_0401</t>
  </si>
  <si>
    <t>MCXC_J0301.6+0155</t>
  </si>
  <si>
    <t>MCXC_J0303.7-7752</t>
  </si>
  <si>
    <t>ACT-CL_J0304-4921</t>
  </si>
  <si>
    <t>IC_1880_GROUP</t>
  </si>
  <si>
    <t>MACS_J0308.9+2645</t>
  </si>
  <si>
    <t>ABELL_3094</t>
  </si>
  <si>
    <t>ABELL_3112</t>
  </si>
  <si>
    <t>400d_J0318-0302</t>
  </si>
  <si>
    <t>ABELL_3126</t>
  </si>
  <si>
    <t>MACS_J0329.6-0211</t>
  </si>
  <si>
    <t>ABELL_3128</t>
  </si>
  <si>
    <t>MCXC_J0331.1-2100</t>
  </si>
  <si>
    <t>400d_J0340-2840</t>
  </si>
  <si>
    <t>MCXC_J0340.8-4542</t>
  </si>
  <si>
    <t>ABELL_3158</t>
  </si>
  <si>
    <t>ACT-CL_J0346-5438</t>
  </si>
  <si>
    <t>MCXC_J0352.9+1941</t>
  </si>
  <si>
    <t>MACS_J0358.8-2955</t>
  </si>
  <si>
    <t>400d_J0405-4100</t>
  </si>
  <si>
    <t>ABELL_0478</t>
  </si>
  <si>
    <t>MACS_J0416.1-2403</t>
  </si>
  <si>
    <t>MCXC_J0425.8-0833</t>
  </si>
  <si>
    <t>MACS_J0429.6-0253</t>
  </si>
  <si>
    <t>MCXC_J0439.0+0715</t>
  </si>
  <si>
    <t>MCXC_J0439.0+0520</t>
  </si>
  <si>
    <t>MCXC_J0443.1+0210</t>
  </si>
  <si>
    <t>ABELL_0514</t>
  </si>
  <si>
    <t>ABELL_3292</t>
  </si>
  <si>
    <t>ABELL_0521</t>
  </si>
  <si>
    <t>SPT-CL_J0509-5342</t>
  </si>
  <si>
    <t>ABELL_3322</t>
  </si>
  <si>
    <t>ABELL_3330</t>
  </si>
  <si>
    <t>ABELL_0539</t>
  </si>
  <si>
    <t>MCXC_J0520.7-1328</t>
  </si>
  <si>
    <t>CXOU_J052215-481816</t>
  </si>
  <si>
    <t>ABELL_3343</t>
  </si>
  <si>
    <t>MCXC_J0528.2-2942</t>
  </si>
  <si>
    <t>RBS_0653</t>
  </si>
  <si>
    <t>PLCKESZ_G286.58-31.25</t>
  </si>
  <si>
    <t>ESO3060170-A</t>
  </si>
  <si>
    <t>ABELL_3364</t>
  </si>
  <si>
    <t>ABELL_0550</t>
  </si>
  <si>
    <t>MACS_J0553.4-3342</t>
  </si>
  <si>
    <t>SPT-CL_J0559-5249</t>
  </si>
  <si>
    <t>SPT-CL_J0615-5746</t>
  </si>
  <si>
    <t>ABELL_S0579</t>
  </si>
  <si>
    <t>ACT-CL_J0616-5227</t>
  </si>
  <si>
    <t>ABELL_3395_SW</t>
  </si>
  <si>
    <t>ABELL_3399</t>
  </si>
  <si>
    <t>PLCKESZ_G167.65+17.64</t>
  </si>
  <si>
    <t>ABELL_S0592</t>
  </si>
  <si>
    <t>ABELL_3402</t>
  </si>
  <si>
    <t>ABELL_3404</t>
  </si>
  <si>
    <t>MACS_J0647.8+7015</t>
  </si>
  <si>
    <t>ABELL_0562</t>
  </si>
  <si>
    <t>Bullet_Cluster</t>
  </si>
  <si>
    <t>MACS_J0712.3+5931</t>
  </si>
  <si>
    <t>MACS_J0717+3745</t>
  </si>
  <si>
    <t>400d_J0720+7108</t>
  </si>
  <si>
    <t>ABELL_0578</t>
  </si>
  <si>
    <t>ABELL_0586</t>
  </si>
  <si>
    <t>ZwCl_0735.7+7421</t>
  </si>
  <si>
    <t>FBQS_J074417.4+375317</t>
  </si>
  <si>
    <t>ABELL_0598</t>
  </si>
  <si>
    <t>ABELL_0611</t>
  </si>
  <si>
    <t>ZwCl_0806.5+2822</t>
  </si>
  <si>
    <t>SDSS-C4_3062</t>
  </si>
  <si>
    <t>ABELL_0644</t>
  </si>
  <si>
    <t>MCXC_J0819.6+6336</t>
  </si>
  <si>
    <t>ZwCl_0823.2+0425</t>
  </si>
  <si>
    <t>ABELL_0665</t>
  </si>
  <si>
    <t>2MFGC_06756</t>
  </si>
  <si>
    <t>400d_J0838+1948</t>
  </si>
  <si>
    <t>NSC_J084254+292723</t>
  </si>
  <si>
    <t>ABELL_0697</t>
  </si>
  <si>
    <t>RX_J0848.8+4455</t>
  </si>
  <si>
    <t>ZwCl_0848.5+3341</t>
  </si>
  <si>
    <t>ZwCl_0857.9+2107</t>
  </si>
  <si>
    <t>ABELL_0744</t>
  </si>
  <si>
    <t>SDSS_+137.3+11.0+0.18</t>
  </si>
  <si>
    <t>2MASSi_J0913454+405628</t>
  </si>
  <si>
    <t>ABELL_0773</t>
  </si>
  <si>
    <t>WHL_J091834.3+295318</t>
  </si>
  <si>
    <t>NSC_J092017+303027</t>
  </si>
  <si>
    <t>WHL_J092207.6+034558</t>
  </si>
  <si>
    <t>ABELL_0795</t>
  </si>
  <si>
    <t>UGC_05088_GROUP</t>
  </si>
  <si>
    <t>WHL_J093820.9+520243</t>
  </si>
  <si>
    <t>ZwCl_0949.6+5207</t>
  </si>
  <si>
    <t>XMMU_J0954+1738</t>
  </si>
  <si>
    <t>400d_J0956+4107</t>
  </si>
  <si>
    <t>ABELL_0907</t>
  </si>
  <si>
    <t>PLCKESZ_G264.41+19.48</t>
  </si>
  <si>
    <t>MCXC_J1000.5+4409</t>
  </si>
  <si>
    <t>MACS_J1006.9+3200</t>
  </si>
  <si>
    <t>ZwCl_1006.1+1201</t>
  </si>
  <si>
    <t>MCXC_J1010.5-1239</t>
  </si>
  <si>
    <t>ABELL_0963</t>
  </si>
  <si>
    <t>ABELL_3444</t>
  </si>
  <si>
    <t>ABELL_1033</t>
  </si>
  <si>
    <t>SDSSCGB_08842</t>
  </si>
  <si>
    <t>ABELL_1068</t>
  </si>
  <si>
    <t>BLOX_J1056.9-0337.3</t>
  </si>
  <si>
    <t>MACS_J1105.7-1014</t>
  </si>
  <si>
    <t>MACS_J1108.9+0906</t>
  </si>
  <si>
    <t>NGC_3551</t>
  </si>
  <si>
    <t>ABELL_1201</t>
  </si>
  <si>
    <t>WARP_J1113.0-2615</t>
  </si>
  <si>
    <t>ABELL_1204</t>
  </si>
  <si>
    <t>SDSS_J1115+5319_CLUSTER</t>
  </si>
  <si>
    <t>MACS_J1115.8+0129</t>
  </si>
  <si>
    <t>400d_J1120+2326</t>
  </si>
  <si>
    <t>MCXC_J1130.0+3637</t>
  </si>
  <si>
    <t>ClG_1137.5+6625</t>
  </si>
  <si>
    <t>WHL_J114224.8+583205</t>
  </si>
  <si>
    <t>MACS_J1149.6+2223</t>
  </si>
  <si>
    <t>ABELL_1413</t>
  </si>
  <si>
    <t>ABELL_1423</t>
  </si>
  <si>
    <t>SDSS-C4-DR3_3144</t>
  </si>
  <si>
    <t>PLCKESZ_G292.51+21.98</t>
  </si>
  <si>
    <t>ABELL_1446</t>
  </si>
  <si>
    <t>400d_J1202+5751</t>
  </si>
  <si>
    <t>MACS_J1206.2-0847</t>
  </si>
  <si>
    <t>400d_J1206-0744</t>
  </si>
  <si>
    <t>MCXC_J1215.4-3900</t>
  </si>
  <si>
    <t>NSCS_J121831+401236</t>
  </si>
  <si>
    <t>NSCS_J122648+215157</t>
  </si>
  <si>
    <t>XMMU_J1230.3+1339</t>
  </si>
  <si>
    <t>MCXC_J1234.2+0947</t>
  </si>
  <si>
    <t>ABELL_1569</t>
  </si>
  <si>
    <t>ABELL_3528B</t>
  </si>
  <si>
    <t>ABELL_3532</t>
  </si>
  <si>
    <t>ABELL_1650</t>
  </si>
  <si>
    <t>ABELL_1651</t>
  </si>
  <si>
    <t>WHL_J125933.4+600409</t>
  </si>
  <si>
    <t>NSC_J125947+312215</t>
  </si>
  <si>
    <t>ABELL_1664</t>
  </si>
  <si>
    <t>WHL_J130558.9+263048</t>
  </si>
  <si>
    <t>ABELL_1689</t>
  </si>
  <si>
    <t>WHL_J131505.2+514902</t>
  </si>
  <si>
    <t>ABELL_1736</t>
  </si>
  <si>
    <t>a1750ss</t>
  </si>
  <si>
    <t>ABELL_1750C</t>
  </si>
  <si>
    <t>2MASX_J13312961+1107566</t>
  </si>
  <si>
    <t>SC_1329-313</t>
  </si>
  <si>
    <t>ABELL_3562</t>
  </si>
  <si>
    <t>ABELL_1763</t>
  </si>
  <si>
    <t>LCDCS_0829</t>
  </si>
  <si>
    <t>WHL_J134850.2+491801</t>
  </si>
  <si>
    <t>WHL_J135716.8+623249</t>
  </si>
  <si>
    <t>ABELL_1831</t>
  </si>
  <si>
    <t>ABELL_1835</t>
  </si>
  <si>
    <t>A1882a</t>
  </si>
  <si>
    <t>WARP_J1415.1+3612</t>
  </si>
  <si>
    <t>WHL_J141623.8+444528</t>
  </si>
  <si>
    <t>GMBCG_J215.94948+24.07846</t>
  </si>
  <si>
    <t>ABELL_1914</t>
  </si>
  <si>
    <t>WHL_J142716.1+440730</t>
  </si>
  <si>
    <t>MACS_J1427.6-2521</t>
  </si>
  <si>
    <t>ABELL_1930</t>
  </si>
  <si>
    <t>ABELL_1942_AND_CLUMP</t>
  </si>
  <si>
    <t>NSCS_J145715+222009</t>
  </si>
  <si>
    <t>ABELL_S0780</t>
  </si>
  <si>
    <t>NSCS_J150117+422152</t>
  </si>
  <si>
    <t>WHL_J150407.5-024816</t>
  </si>
  <si>
    <t>ABELL_2034</t>
  </si>
  <si>
    <t>MCXC_J1514.9-1523</t>
  </si>
  <si>
    <t>MKW_03s</t>
  </si>
  <si>
    <t>ABELL_2069</t>
  </si>
  <si>
    <t>MCXC_J1524.2-3154</t>
  </si>
  <si>
    <t>MACS_J1532.8+3021</t>
  </si>
  <si>
    <t>ABELL_2092</t>
  </si>
  <si>
    <t>ABELL_2107</t>
  </si>
  <si>
    <t>ABELL_2111</t>
  </si>
  <si>
    <t>ABELL_2104</t>
  </si>
  <si>
    <t>ABELL_2125</t>
  </si>
  <si>
    <t>ABELL_2146</t>
  </si>
  <si>
    <t>ABELL_2142</t>
  </si>
  <si>
    <t>MCXC_J1558.3-1410</t>
  </si>
  <si>
    <t>ABELL_2151</t>
  </si>
  <si>
    <t>SpARCS_J161314+564930</t>
  </si>
  <si>
    <t>ABELL_2163</t>
  </si>
  <si>
    <t>MACS_J1621.3+3810</t>
  </si>
  <si>
    <t>ABELL_2187</t>
  </si>
  <si>
    <t>ABELL_2204</t>
  </si>
  <si>
    <t>ABELL_2219</t>
  </si>
  <si>
    <t>400d_J1641+4001</t>
  </si>
  <si>
    <t>Hercules_A</t>
  </si>
  <si>
    <t>NGC_6269</t>
  </si>
  <si>
    <t>ABELL_2249</t>
  </si>
  <si>
    <t>SDSS-C4_3072</t>
  </si>
  <si>
    <t>MACS_J1720.2+3536</t>
  </si>
  <si>
    <t>ABELL_2261</t>
  </si>
  <si>
    <t>NSC_J174715+451155</t>
  </si>
  <si>
    <t>MCXC_J1750.2+3504</t>
  </si>
  <si>
    <t>CIZA_J1804.4+1002</t>
  </si>
  <si>
    <t>_HB89__1821+643</t>
  </si>
  <si>
    <t>MACS_J1824.3+4309</t>
  </si>
  <si>
    <t>MACS_J1829.0+6913</t>
  </si>
  <si>
    <t>MCXC_J1852.1+5711</t>
  </si>
  <si>
    <t>MACS_J1931.8-2635</t>
  </si>
  <si>
    <t>ABELL_3653</t>
  </si>
  <si>
    <t>MCXC_J1958.2-3011</t>
  </si>
  <si>
    <t>MCXC_J2003.5-2323</t>
  </si>
  <si>
    <t>MCXC_J2011.3-5725</t>
  </si>
  <si>
    <t>ABELL_3667</t>
  </si>
  <si>
    <t>MCXC_J2031.8-4037</t>
  </si>
  <si>
    <t>ABELL_3695</t>
  </si>
  <si>
    <t>MACS_J2046.0-3430</t>
  </si>
  <si>
    <t>MCXC_J2049.9-3216</t>
  </si>
  <si>
    <t>ABELL_3739</t>
  </si>
  <si>
    <t>IC_1365</t>
  </si>
  <si>
    <t>ABELL_2345</t>
  </si>
  <si>
    <t>MACS_J2135-0102</t>
  </si>
  <si>
    <t>SPT-CLJ2135-5726</t>
  </si>
  <si>
    <t>MACS_J2140.2-2339</t>
  </si>
  <si>
    <t>ABELL_3809</t>
  </si>
  <si>
    <t>ABELL_2384</t>
  </si>
  <si>
    <t>ClG_2153.8+3746</t>
  </si>
  <si>
    <t>ABELL_2409</t>
  </si>
  <si>
    <t>ABELL_2415</t>
  </si>
  <si>
    <t>MACS_J2214-1359</t>
  </si>
  <si>
    <t>ABELL_3854</t>
  </si>
  <si>
    <t>MCXC_J2218.6-3853</t>
  </si>
  <si>
    <t>ABELL_2443</t>
  </si>
  <si>
    <t>ABELL_2445</t>
  </si>
  <si>
    <t>ABELL_3880</t>
  </si>
  <si>
    <t>MACS_J2229.8-2756</t>
  </si>
  <si>
    <t>ABELL_2457</t>
  </si>
  <si>
    <t>ABELL_2465</t>
  </si>
  <si>
    <t>CIZA_J2242.8+5301</t>
  </si>
  <si>
    <t>WHL_J224319.8-093530</t>
  </si>
  <si>
    <t>MACS_J2245.0+2637</t>
  </si>
  <si>
    <t>ABELL_3911</t>
  </si>
  <si>
    <t>ABELL_S1063</t>
  </si>
  <si>
    <t>ABELL_3921</t>
  </si>
  <si>
    <t>ABELL_2507</t>
  </si>
  <si>
    <t>WARP_J2302.8+0843</t>
  </si>
  <si>
    <t>ABELL_2537</t>
  </si>
  <si>
    <t>MCXC_J2311.5+0338</t>
  </si>
  <si>
    <t>ABELL_2550</t>
  </si>
  <si>
    <t>ABELL_2556</t>
  </si>
  <si>
    <t>ABELL_S1101</t>
  </si>
  <si>
    <t>RCS_J2318.5+0034</t>
  </si>
  <si>
    <t>ABELL_2597</t>
  </si>
  <si>
    <t>SPT-CL_J2331-5051</t>
  </si>
  <si>
    <t>ABELL_4023</t>
  </si>
  <si>
    <t>ABELL_2645</t>
  </si>
  <si>
    <t>MCXC_J2344.2-0422</t>
  </si>
  <si>
    <t>ABELL_S1150</t>
  </si>
  <si>
    <t>ABELL_2665</t>
  </si>
  <si>
    <t>ABELL_2667</t>
  </si>
  <si>
    <t>ABELL_2670</t>
  </si>
  <si>
    <t>SPT-CL_J2359-5009</t>
  </si>
  <si>
    <t>Names</t>
  </si>
  <si>
    <t>Redshift</t>
  </si>
  <si>
    <t>NH</t>
  </si>
  <si>
    <t>XP_RAdeg</t>
  </si>
  <si>
    <t>XP_Dedeg</t>
  </si>
  <si>
    <t>Offset</t>
  </si>
  <si>
    <t>CenterIDFlag</t>
  </si>
  <si>
    <t>OBSIDs</t>
  </si>
  <si>
    <t xml:space="preserve"> </t>
  </si>
  <si>
    <t>10+22cm^-2</t>
  </si>
  <si>
    <t xml:space="preserve">deg </t>
  </si>
  <si>
    <t>deg</t>
  </si>
  <si>
    <t>arcsec</t>
  </si>
  <si>
    <t>ACCEPT2.0 Name</t>
  </si>
  <si>
    <t>NED Redshift</t>
  </si>
  <si>
    <t>Galactic Hydrogen Column (Stark et al. 1992)</t>
  </si>
  <si>
    <t>ACCEPT2.0 Center RA J2000</t>
  </si>
  <si>
    <t>ACCEPT2.0 X-ray Peak RA J2000</t>
  </si>
  <si>
    <t>ACCEPT2.0 X-ray Peak Dec J2000</t>
  </si>
  <si>
    <t>Difference between peak and aperture center</t>
  </si>
  <si>
    <t xml:space="preserve">if peak or centroid centered </t>
  </si>
  <si>
    <t>peak</t>
  </si>
  <si>
    <t>Y</t>
  </si>
  <si>
    <t xml:space="preserve">    6974    6973</t>
  </si>
  <si>
    <t>NSCS_J000619+105206</t>
  </si>
  <si>
    <t>centroid</t>
  </si>
  <si>
    <t xml:space="preserve">    3261    6105</t>
  </si>
  <si>
    <t>ABELL_0013</t>
  </si>
  <si>
    <t xml:space="preserve">    2212    8477    8557    7915</t>
  </si>
  <si>
    <t>SPT-CLJ0014-4952</t>
  </si>
  <si>
    <t>N</t>
  </si>
  <si>
    <t>MACS_J0025.4-1222</t>
  </si>
  <si>
    <t xml:space="preserve">    5010    3251   10797   10413</t>
  </si>
  <si>
    <t>MCXC_J0027.8+2616</t>
  </si>
  <si>
    <t xml:space="preserve">    3249   14012</t>
  </si>
  <si>
    <t xml:space="preserve">    1190    5762    1226</t>
  </si>
  <si>
    <t>MCXC_J0035.4-2015</t>
  </si>
  <si>
    <t>ABELL_0085</t>
  </si>
  <si>
    <t>ZwCl_0040.8+2404</t>
  </si>
  <si>
    <t xml:space="preserve">   11876   11877</t>
  </si>
  <si>
    <t>A98ss</t>
  </si>
  <si>
    <t>ESO_351-_G_021</t>
  </si>
  <si>
    <t xml:space="preserve">    4180    7918</t>
  </si>
  <si>
    <t>SPT-CLJ0058-6145</t>
  </si>
  <si>
    <t xml:space="preserve">    2203    9897   13518</t>
  </si>
  <si>
    <t xml:space="preserve">   14022   14023   12258</t>
  </si>
  <si>
    <t>_SBV2004__RS_28</t>
  </si>
  <si>
    <t>SPT-CLJ0106-5943</t>
  </si>
  <si>
    <t>CIZA_J0107.7+5408</t>
  </si>
  <si>
    <t>IC_1633</t>
  </si>
  <si>
    <t>ABELL_0160</t>
  </si>
  <si>
    <t>NSCS_J011502+002441</t>
  </si>
  <si>
    <t>ABELL_2895</t>
  </si>
  <si>
    <t>UGC_00842</t>
  </si>
  <si>
    <t>SPT-CLJ0123-4821</t>
  </si>
  <si>
    <t>ABELL_0193</t>
  </si>
  <si>
    <t xml:space="preserve">    3579     522</t>
  </si>
  <si>
    <t>MACS0140.0-0555</t>
  </si>
  <si>
    <t xml:space="preserve">   12243    5013</t>
  </si>
  <si>
    <t>SPT-CLJ0151-5954</t>
  </si>
  <si>
    <t xml:space="preserve">   13480   14380</t>
  </si>
  <si>
    <t>MCXC_J0152.5-2853</t>
  </si>
  <si>
    <t>ABELL_0262</t>
  </si>
  <si>
    <t xml:space="preserve">    2215    7921</t>
  </si>
  <si>
    <t>SPT-CLJ0156-5541</t>
  </si>
  <si>
    <t>NGC_0741_GROUP</t>
  </si>
  <si>
    <t xml:space="preserve">    6106    3265    9376</t>
  </si>
  <si>
    <t>ARP_318</t>
  </si>
  <si>
    <t xml:space="preserve">     923   15667   15666   15181</t>
  </si>
  <si>
    <t>MCXC_J0220.9-3829</t>
  </si>
  <si>
    <t>ABELL_3017</t>
  </si>
  <si>
    <t xml:space="preserve">   10794   10744</t>
  </si>
  <si>
    <t>MZ_10451</t>
  </si>
  <si>
    <t xml:space="preserve">   10467   10800   10802</t>
  </si>
  <si>
    <t>SPT-CL_J0232-4421</t>
  </si>
  <si>
    <t>SPT-CL_J0234-5831</t>
  </si>
  <si>
    <t>SPT-CLJ0243-5930</t>
  </si>
  <si>
    <t xml:space="preserve">   15573   13484</t>
  </si>
  <si>
    <t>ABELL_0376</t>
  </si>
  <si>
    <t xml:space="preserve">     524    2321    2320</t>
  </si>
  <si>
    <t>SPT-CLJ0252-4824</t>
  </si>
  <si>
    <t>NGC_1132</t>
  </si>
  <si>
    <t>WBL_088</t>
  </si>
  <si>
    <t xml:space="preserve">     908   11717   12017   12018</t>
  </si>
  <si>
    <t>SPT-CLJ0256-5617</t>
  </si>
  <si>
    <t xml:space="preserve">   13481   14448</t>
  </si>
  <si>
    <t xml:space="preserve">    3581    1654</t>
  </si>
  <si>
    <t>ABELL_0400</t>
  </si>
  <si>
    <t xml:space="preserve">    6950    7374</t>
  </si>
  <si>
    <t>400d_J0302-0423</t>
  </si>
  <si>
    <t>ABELL_3088</t>
  </si>
  <si>
    <t>SPT-CLJ0307-6225</t>
  </si>
  <si>
    <t>SPT-CLJ0307-5042</t>
  </si>
  <si>
    <t>SPT-CLJ0310-4647</t>
  </si>
  <si>
    <t xml:space="preserve">   13135    2516    6972    7323</t>
  </si>
  <si>
    <t>ABELL_3120</t>
  </si>
  <si>
    <t>SPT-CLJ0324-6236</t>
  </si>
  <si>
    <t xml:space="preserve">   13137   13213   12181</t>
  </si>
  <si>
    <t>UGC_02748</t>
  </si>
  <si>
    <t xml:space="preserve">   12007   11977   11751</t>
  </si>
  <si>
    <t>400d_J0328-2140</t>
  </si>
  <si>
    <t xml:space="preserve">    6258    5755</t>
  </si>
  <si>
    <t xml:space="preserve">    3582    6108    3257</t>
  </si>
  <si>
    <t xml:space="preserve">   10790    9415</t>
  </si>
  <si>
    <t>SPT-CLJ0334-4659</t>
  </si>
  <si>
    <t>3C_089</t>
  </si>
  <si>
    <t xml:space="preserve">   14028   14379</t>
  </si>
  <si>
    <t>Fornax_Cluster</t>
  </si>
  <si>
    <t>MCXC_J0338.6+0958</t>
  </si>
  <si>
    <t xml:space="preserve">    7939    9792     919</t>
  </si>
  <si>
    <t>III_Zw_054</t>
  </si>
  <si>
    <t xml:space="preserve">    3201    3712</t>
  </si>
  <si>
    <t xml:space="preserve">   12270   13155</t>
  </si>
  <si>
    <t>SPT-CLJ0352-5647</t>
  </si>
  <si>
    <t xml:space="preserve">   11719   12300   13194</t>
  </si>
  <si>
    <t xml:space="preserve">   10446   16237</t>
  </si>
  <si>
    <t>SPT-CL_J0417-4748</t>
  </si>
  <si>
    <t>MACS_J0417.5-1154</t>
  </si>
  <si>
    <t xml:space="preserve">    3270   12010   11759</t>
  </si>
  <si>
    <t>MCXC_J0419.6+0224</t>
  </si>
  <si>
    <t xml:space="preserve">    3186    3187</t>
  </si>
  <si>
    <t>SPT-CLJ0426-5455</t>
  </si>
  <si>
    <t>ABELL_S0463</t>
  </si>
  <si>
    <t xml:space="preserve">    7250    6956</t>
  </si>
  <si>
    <t>ABELL_3266</t>
  </si>
  <si>
    <t>ABELL_0496</t>
  </si>
  <si>
    <t>MCXC_J0437.1+0043</t>
  </si>
  <si>
    <t xml:space="preserve">    7900   11729</t>
  </si>
  <si>
    <t xml:space="preserve">     527    9369</t>
  </si>
  <si>
    <t>WEIN_051</t>
  </si>
  <si>
    <t>MACS_J0451.9+0006</t>
  </si>
  <si>
    <t xml:space="preserve">   13190     430   12880     901</t>
  </si>
  <si>
    <t>MCXC_J0454.1-0300</t>
  </si>
  <si>
    <t>ESO_552-_G_020</t>
  </si>
  <si>
    <t>MACS_J0455.2+0657</t>
  </si>
  <si>
    <t>SPT-CLJ0456-5116</t>
  </si>
  <si>
    <t>MCXC_J0510.7-0801</t>
  </si>
  <si>
    <t xml:space="preserve">    7209    5808</t>
  </si>
  <si>
    <t>ABELL_S0520</t>
  </si>
  <si>
    <t xml:space="preserve">   15099    9331</t>
  </si>
  <si>
    <t xml:space="preserve">   15177    4994   15658</t>
  </si>
  <si>
    <t>ABELL_0545</t>
  </si>
  <si>
    <t>MCXC_J0532.9-3701</t>
  </si>
  <si>
    <t xml:space="preserve">    3188    3189</t>
  </si>
  <si>
    <t>RDCS_J0542-4100</t>
  </si>
  <si>
    <t>MCXC_J0547.0-3904</t>
  </si>
  <si>
    <t>ABELL_0548A</t>
  </si>
  <si>
    <t>SPT-CL_J0551-5709</t>
  </si>
  <si>
    <t xml:space="preserve">   11743   11871</t>
  </si>
  <si>
    <t xml:space="preserve">   13117   13116   12264</t>
  </si>
  <si>
    <t>ABELL_3376</t>
  </si>
  <si>
    <t xml:space="preserve">    3450    3202</t>
  </si>
  <si>
    <t>ABELL_3378</t>
  </si>
  <si>
    <t xml:space="preserve">   14351   14437   14349   14018</t>
  </si>
  <si>
    <t>CIZA_J0616.3-2156</t>
  </si>
  <si>
    <t xml:space="preserve">   13127   12261</t>
  </si>
  <si>
    <t>G139.59+24.18</t>
  </si>
  <si>
    <t>ABELL_3391</t>
  </si>
  <si>
    <t xml:space="preserve">    3196    3584</t>
  </si>
  <si>
    <t xml:space="preserve">    3184    5356    5361    4984</t>
  </si>
  <si>
    <t xml:space="preserve">    4200   16235    1655</t>
  </si>
  <si>
    <t xml:space="preserve">   13984   14449   14450</t>
  </si>
  <si>
    <t>ABELL_0576</t>
  </si>
  <si>
    <t xml:space="preserve">   11749   12225</t>
  </si>
  <si>
    <t xml:space="preserve">   11723     530</t>
  </si>
  <si>
    <t xml:space="preserve">    4197   10822   10470   10469</t>
  </si>
  <si>
    <t xml:space="preserve">    9775    9774    9408    9407</t>
  </si>
  <si>
    <t>MACS_J0744.9+3927</t>
  </si>
  <si>
    <t xml:space="preserve">    3197    3585    6111</t>
  </si>
  <si>
    <t>PKS_0745-19</t>
  </si>
  <si>
    <t>WBL_154</t>
  </si>
  <si>
    <t>NGC_2563_GROUP</t>
  </si>
  <si>
    <t>UGCl_120</t>
  </si>
  <si>
    <t xml:space="preserve">   12286    3586   13201</t>
  </si>
  <si>
    <t>ABELL_3411</t>
  </si>
  <si>
    <t xml:space="preserve">   15316   13378</t>
  </si>
  <si>
    <t xml:space="preserve">    1708     927</t>
  </si>
  <si>
    <t>ZwCL_0847.2+3617</t>
  </si>
  <si>
    <t>ABELL_0754</t>
  </si>
  <si>
    <t xml:space="preserve">     577   10743</t>
  </si>
  <si>
    <t>MACS_J0911.2+1746</t>
  </si>
  <si>
    <t xml:space="preserve">    5012    3587</t>
  </si>
  <si>
    <t>HCG_037</t>
  </si>
  <si>
    <t xml:space="preserve">     533    5006</t>
  </si>
  <si>
    <t>Hydra_A</t>
  </si>
  <si>
    <t xml:space="preserve">    4970    4969     576</t>
  </si>
  <si>
    <t>400d_J0926+1242</t>
  </si>
  <si>
    <t xml:space="preserve">    4929    5838</t>
  </si>
  <si>
    <t xml:space="preserve">   15137   16573</t>
  </si>
  <si>
    <t>ABELL_0853</t>
  </si>
  <si>
    <t>ABELL_0868</t>
  </si>
  <si>
    <t>GALEX_J094712.4+762313</t>
  </si>
  <si>
    <t xml:space="preserve">    2202    7902</t>
  </si>
  <si>
    <t>MACS_J0949.8+1708</t>
  </si>
  <si>
    <t xml:space="preserve">    3195   12903</t>
  </si>
  <si>
    <t xml:space="preserve">   12890   13215</t>
  </si>
  <si>
    <t xml:space="preserve">    5294    5759</t>
  </si>
  <si>
    <t xml:space="preserve">    3185    3205     535</t>
  </si>
  <si>
    <t>HCG_042</t>
  </si>
  <si>
    <t xml:space="preserve">   13390     925</t>
  </si>
  <si>
    <t>ABELL_0970</t>
  </si>
  <si>
    <t>MCXC_J1022.0+3830</t>
  </si>
  <si>
    <t>ABELL_0980</t>
  </si>
  <si>
    <t>BLOX_J1023.6+0411.1</t>
  </si>
  <si>
    <t xml:space="preserve">    9371     909</t>
  </si>
  <si>
    <t>WHL_J102339.9+490838</t>
  </si>
  <si>
    <t>SDSS_J1029+2623</t>
  </si>
  <si>
    <t xml:space="preserve">   15084   15614</t>
  </si>
  <si>
    <t>Hydra_Cluster</t>
  </si>
  <si>
    <t xml:space="preserve">   11756   12098</t>
  </si>
  <si>
    <t>_EAD2007__188</t>
  </si>
  <si>
    <t>NGC_3402_GROUP</t>
  </si>
  <si>
    <t>MCXC_J1053.7+5452</t>
  </si>
  <si>
    <t>ABELL_1142</t>
  </si>
  <si>
    <t xml:space="preserve">    3252    5009</t>
  </si>
  <si>
    <t>1RXS_J111039.6+284316</t>
  </si>
  <si>
    <t>ABELL_1190</t>
  </si>
  <si>
    <t xml:space="preserve">    9616    4216</t>
  </si>
  <si>
    <t xml:space="preserve">    3275    9375</t>
  </si>
  <si>
    <t>WARP_J1120.1+4318</t>
  </si>
  <si>
    <t>HCG_051</t>
  </si>
  <si>
    <t xml:space="preserve">    4989    5304</t>
  </si>
  <si>
    <t>ABELL_1285</t>
  </si>
  <si>
    <t xml:space="preserve">   15309   15189</t>
  </si>
  <si>
    <t>ABELL_1300</t>
  </si>
  <si>
    <t xml:space="preserve">    3276   15300</t>
  </si>
  <si>
    <t>ABELL_1361</t>
  </si>
  <si>
    <t>SDSS-C4-DR3_3018</t>
  </si>
  <si>
    <t xml:space="preserve">    3589    1656</t>
  </si>
  <si>
    <t xml:space="preserve">    5003    5002</t>
  </si>
  <si>
    <t xml:space="preserve">   11724     538</t>
  </si>
  <si>
    <t>GMBCG_J179.81192+49.79669</t>
  </si>
  <si>
    <t>MKW_04</t>
  </si>
  <si>
    <t>NGC_4104_GROUP</t>
  </si>
  <si>
    <t>NSC_J121733+033929</t>
  </si>
  <si>
    <t>400d_J1221+4918</t>
  </si>
  <si>
    <t>NGC_4325_GROUP</t>
  </si>
  <si>
    <t>WARP_J1226.9+3332</t>
  </si>
  <si>
    <t xml:space="preserve">    5014    3180</t>
  </si>
  <si>
    <t>MESSIER_049</t>
  </si>
  <si>
    <t xml:space="preserve">     321   12888   12889</t>
  </si>
  <si>
    <t xml:space="preserve">   11736   12209</t>
  </si>
  <si>
    <t>ABELL_1553</t>
  </si>
  <si>
    <t>MESSIER_089</t>
  </si>
  <si>
    <t xml:space="preserve">   14358   13985   14359</t>
  </si>
  <si>
    <t>ABELL_1576</t>
  </si>
  <si>
    <t xml:space="preserve">    7938   15127</t>
  </si>
  <si>
    <t>NGC_4636</t>
  </si>
  <si>
    <t>Centaurus_Cluster</t>
  </si>
  <si>
    <t xml:space="preserve">     504    5310    4954    4955</t>
  </si>
  <si>
    <t>MCXC_J1252.5-3116</t>
  </si>
  <si>
    <t>NGC_4759_GROUP</t>
  </si>
  <si>
    <t xml:space="preserve">     921   10462   10874</t>
  </si>
  <si>
    <t>NGC_4782-3</t>
  </si>
  <si>
    <t>ABELL_1644</t>
  </si>
  <si>
    <t xml:space="preserve">    7922    2206</t>
  </si>
  <si>
    <t>NGC_4839</t>
  </si>
  <si>
    <t xml:space="preserve">    6356    5823    4178    7242</t>
  </si>
  <si>
    <t xml:space="preserve">   15138   13382   16373</t>
  </si>
  <si>
    <t xml:space="preserve">    7901    1648</t>
  </si>
  <si>
    <t>ABELL_1668</t>
  </si>
  <si>
    <t>NGC4936-offset2</t>
  </si>
  <si>
    <t>ABELL_1682</t>
  </si>
  <si>
    <t xml:space="preserve">   11725    3244</t>
  </si>
  <si>
    <t>MACS_J1311.0-0311</t>
  </si>
  <si>
    <t xml:space="preserve">    3258    6110    9381</t>
  </si>
  <si>
    <t xml:space="preserve">    6930    7289    5004</t>
  </si>
  <si>
    <t>400d_J1312+3900</t>
  </si>
  <si>
    <t>NGC_5044</t>
  </si>
  <si>
    <t>ABELL_1722</t>
  </si>
  <si>
    <t>NGC_5098_GROUP</t>
  </si>
  <si>
    <t>NGC_5129</t>
  </si>
  <si>
    <t xml:space="preserve">    7325    6944</t>
  </si>
  <si>
    <t>ABELL_3558</t>
  </si>
  <si>
    <t>NGC_5171</t>
  </si>
  <si>
    <t>SSGC_081</t>
  </si>
  <si>
    <t>ABELL_1750N</t>
  </si>
  <si>
    <t>ABELL_3560</t>
  </si>
  <si>
    <t>ABELL_1758</t>
  </si>
  <si>
    <t xml:space="preserve">    2213   13997   15540   15538</t>
  </si>
  <si>
    <t>ABELL_1767</t>
  </si>
  <si>
    <t>400d_J1340+4017</t>
  </si>
  <si>
    <t>ABELL_1775</t>
  </si>
  <si>
    <t xml:space="preserve">   12891   13510</t>
  </si>
  <si>
    <t>ABELL_3571</t>
  </si>
  <si>
    <t xml:space="preserve">    3592   13999   14407   13516</t>
  </si>
  <si>
    <t>ABELL_1795</t>
  </si>
  <si>
    <t xml:space="preserve">     494    6160   10900     493</t>
  </si>
  <si>
    <t>400d_J1354-0221</t>
  </si>
  <si>
    <t xml:space="preserve">    4932    5835</t>
  </si>
  <si>
    <t>MACS_J1354.6+7715</t>
  </si>
  <si>
    <t xml:space="preserve">    7267    5763</t>
  </si>
  <si>
    <t>MACS_J1359.2-1929</t>
  </si>
  <si>
    <t>WHL_J135949.5+623047</t>
  </si>
  <si>
    <t xml:space="preserve">     495     496</t>
  </si>
  <si>
    <t>NGC5419-offset2</t>
  </si>
  <si>
    <t>NGC5419-offset1</t>
  </si>
  <si>
    <t>ABELL_3581</t>
  </si>
  <si>
    <t>3C_295</t>
  </si>
  <si>
    <t>G113.82+44.35</t>
  </si>
  <si>
    <t xml:space="preserve">   12906   12905   12904</t>
  </si>
  <si>
    <t xml:space="preserve">   12256   12255    4163   13119</t>
  </si>
  <si>
    <t>LCDCS_0954</t>
  </si>
  <si>
    <t xml:space="preserve">    9380    9808</t>
  </si>
  <si>
    <t xml:space="preserve">    9373    3279</t>
  </si>
  <si>
    <t>WBL_518</t>
  </si>
  <si>
    <t>ABELL_1991</t>
  </si>
  <si>
    <t>ABELL_2009</t>
  </si>
  <si>
    <t xml:space="preserve">    5793    4935</t>
  </si>
  <si>
    <t>NGC_5846</t>
  </si>
  <si>
    <t xml:space="preserve">   12886   12885    2204</t>
  </si>
  <si>
    <t>ABELL_2029</t>
  </si>
  <si>
    <t xml:space="preserve">     891    4977</t>
  </si>
  <si>
    <t>ABELL_2052</t>
  </si>
  <si>
    <t xml:space="preserve">   10879   10479    5807   10478</t>
  </si>
  <si>
    <t>ABELL_2061</t>
  </si>
  <si>
    <t>ABELL_2063</t>
  </si>
  <si>
    <t xml:space="preserve">    5795    6262    6263</t>
  </si>
  <si>
    <t>WARP_J1524.6+0957</t>
  </si>
  <si>
    <t xml:space="preserve">   11726     544</t>
  </si>
  <si>
    <t>ABELL_2124</t>
  </si>
  <si>
    <t xml:space="preserve">   10464   13138   13120   12247</t>
  </si>
  <si>
    <t xml:space="preserve">    1228    5005    1196</t>
  </si>
  <si>
    <t>ABELL_2147</t>
  </si>
  <si>
    <t>AWM_4</t>
  </si>
  <si>
    <t xml:space="preserve">    9379    6172   10785    6109</t>
  </si>
  <si>
    <t>MCXC_J1623.5+2634</t>
  </si>
  <si>
    <t>ABELL_2218</t>
  </si>
  <si>
    <t xml:space="preserve">    1454    1666</t>
  </si>
  <si>
    <t xml:space="preserve">   14431   14356     896   14355</t>
  </si>
  <si>
    <t xml:space="preserve">    5796    6257</t>
  </si>
  <si>
    <t>OC02_J1701+6412</t>
  </si>
  <si>
    <t>ABELL_2244</t>
  </si>
  <si>
    <t>ABELL_2256</t>
  </si>
  <si>
    <t xml:space="preserve">    2419    1386</t>
  </si>
  <si>
    <t>Ophiuchus_CLUSTER</t>
  </si>
  <si>
    <t>ABELL_2255</t>
  </si>
  <si>
    <t>NGC_6338</t>
  </si>
  <si>
    <t>ABELL_2259</t>
  </si>
  <si>
    <t xml:space="preserve">    3224    4361</t>
  </si>
  <si>
    <t xml:space="preserve">    6107    3280</t>
  </si>
  <si>
    <t>ABELL_2294</t>
  </si>
  <si>
    <t>MCXC_J1731.6+2251</t>
  </si>
  <si>
    <t>Abell_2276</t>
  </si>
  <si>
    <t>ZwCl_1742.1+3306</t>
  </si>
  <si>
    <t>NGC_6482</t>
  </si>
  <si>
    <t>ABELL_2302</t>
  </si>
  <si>
    <t xml:space="preserve">   15131   16579</t>
  </si>
  <si>
    <t xml:space="preserve">    9848    9846    9845    9398</t>
  </si>
  <si>
    <t xml:space="preserve">   10412   10931</t>
  </si>
  <si>
    <t>MCXC_J1853.9+6822</t>
  </si>
  <si>
    <t>PLCKESZ_G337.09-25.97</t>
  </si>
  <si>
    <t>ABELL_2319</t>
  </si>
  <si>
    <t>ABELL_S0821</t>
  </si>
  <si>
    <t>CIZA_J1938.3+5409</t>
  </si>
  <si>
    <t>MCXC_J1947.3-7623</t>
  </si>
  <si>
    <t>NGC_6868</t>
  </si>
  <si>
    <t xml:space="preserve">   11753    3191</t>
  </si>
  <si>
    <t xml:space="preserve">    5753    5752    5751     513</t>
  </si>
  <si>
    <t>MCXC_J2014.8-2430</t>
  </si>
  <si>
    <t>SPT-CL_J2023-5535</t>
  </si>
  <si>
    <t>SPT-CLJ2034-5936</t>
  </si>
  <si>
    <t>SPT-CLJ2043-5035</t>
  </si>
  <si>
    <t xml:space="preserve">    9377    5816</t>
  </si>
  <si>
    <t>G345.40-39.34</t>
  </si>
  <si>
    <t>SPT-CLJ2106-5844</t>
  </si>
  <si>
    <t xml:space="preserve">   12189   12180</t>
  </si>
  <si>
    <t>MACS_J2129-0741</t>
  </si>
  <si>
    <t xml:space="preserve">    3595    3199</t>
  </si>
  <si>
    <t>MCXC_J2129.6+0005</t>
  </si>
  <si>
    <t xml:space="preserve">    9370     552</t>
  </si>
  <si>
    <t>WBL_671</t>
  </si>
  <si>
    <t xml:space="preserve">    4974     928    5250</t>
  </si>
  <si>
    <t>SPT-CLJ2145-5644</t>
  </si>
  <si>
    <t>SPT-CLJ2146-4633</t>
  </si>
  <si>
    <t>SPT-CLJ2148-6116</t>
  </si>
  <si>
    <t>ABELL_2390</t>
  </si>
  <si>
    <t xml:space="preserve">   13218   12879</t>
  </si>
  <si>
    <t>ABELL_3827</t>
  </si>
  <si>
    <t>3C_444</t>
  </si>
  <si>
    <t>ABELL_2426</t>
  </si>
  <si>
    <t xml:space="preserve">    3259    5011</t>
  </si>
  <si>
    <t>SPT-CLJ2218-4519</t>
  </si>
  <si>
    <t>MCXC_J2228.6+2036</t>
  </si>
  <si>
    <t xml:space="preserve">    3286    9374</t>
  </si>
  <si>
    <t>CGCG_514-050</t>
  </si>
  <si>
    <t xml:space="preserve">   11737   13123</t>
  </si>
  <si>
    <t>SPT-CLJ2232-5959</t>
  </si>
  <si>
    <t>SPT-CLJ2233-5339</t>
  </si>
  <si>
    <t>Stephans_Quintet</t>
  </si>
  <si>
    <t xml:space="preserve">   15547   14010</t>
  </si>
  <si>
    <t xml:space="preserve">   14020   14019</t>
  </si>
  <si>
    <t>SPT-CLJ2245-6206</t>
  </si>
  <si>
    <t>ABELL_2485</t>
  </si>
  <si>
    <t>SPT-CLJ2259-6057</t>
  </si>
  <si>
    <t xml:space="preserve">    9372    4962</t>
  </si>
  <si>
    <t xml:space="preserve">   11730    3288</t>
  </si>
  <si>
    <t xml:space="preserve">    4938   11718</t>
  </si>
  <si>
    <t>UGC_12491</t>
  </si>
  <si>
    <t>NGC_7618</t>
  </si>
  <si>
    <t>ABELL_2589</t>
  </si>
  <si>
    <t xml:space="preserve">    7190    3210    7340</t>
  </si>
  <si>
    <t xml:space="preserve">     922    7329    6934</t>
  </si>
  <si>
    <t>ABELL_2626</t>
  </si>
  <si>
    <t>ABELL_2627</t>
  </si>
  <si>
    <t>SPT-CL_J2337-5942</t>
  </si>
  <si>
    <t>ABELL_2631</t>
  </si>
  <si>
    <t>SPT-CL_J2341-5119</t>
  </si>
  <si>
    <t xml:space="preserve">   11799    9345</t>
  </si>
  <si>
    <t>SPT-CL_J2344-4243</t>
  </si>
  <si>
    <t>ABELL_2657</t>
  </si>
  <si>
    <t>SPT-CLJ2345-6405</t>
  </si>
  <si>
    <t>HCG_097</t>
  </si>
  <si>
    <t>ABELL_4038</t>
  </si>
  <si>
    <t>SPT-CL_J2355-5056</t>
  </si>
  <si>
    <t xml:space="preserve">   11998   11746</t>
  </si>
  <si>
    <t xml:space="preserve">    9334   11742   11864   11997</t>
  </si>
  <si>
    <t>3C_028</t>
  </si>
  <si>
    <t xml:space="preserve">    3233   15578   13458   13459</t>
  </si>
  <si>
    <t>kT</t>
  </si>
  <si>
    <t>ekT</t>
  </si>
  <si>
    <t>zsolar</t>
  </si>
  <si>
    <t>ezsolar</t>
  </si>
  <si>
    <t>wt or ap</t>
  </si>
  <si>
    <t>cstat</t>
  </si>
  <si>
    <t>DOF</t>
  </si>
  <si>
    <t>c_red</t>
  </si>
  <si>
    <t>Fx0.5-7_CE</t>
  </si>
  <si>
    <t>eFx</t>
  </si>
  <si>
    <t>Lx0.5-7_E44</t>
  </si>
  <si>
    <t>eLx0.5-7</t>
  </si>
  <si>
    <t>Lbol</t>
  </si>
  <si>
    <t>eLbol</t>
  </si>
  <si>
    <t>Ap</t>
  </si>
  <si>
    <t>Wtd</t>
  </si>
  <si>
    <t xml:space="preserve"> Z</t>
  </si>
  <si>
    <t>RA</t>
  </si>
  <si>
    <t>Dec</t>
  </si>
  <si>
    <t xml:space="preserve">  Rmin</t>
  </si>
  <si>
    <t xml:space="preserve"> Rmax</t>
  </si>
  <si>
    <t xml:space="preserve">  K0</t>
  </si>
  <si>
    <t xml:space="preserve">  K0err</t>
  </si>
  <si>
    <t xml:space="preserve"> K100</t>
  </si>
  <si>
    <t xml:space="preserve"> K100err</t>
  </si>
  <si>
    <t xml:space="preserve"> Alpha</t>
  </si>
  <si>
    <t xml:space="preserve"> AlphaErr</t>
  </si>
  <si>
    <t xml:space="preserve"> ChiSq</t>
  </si>
  <si>
    <t xml:space="preserve"> K100_PL</t>
  </si>
  <si>
    <t xml:space="preserve"> K100err_PL</t>
  </si>
  <si>
    <t xml:space="preserve"> Alpha_PL</t>
  </si>
  <si>
    <t xml:space="preserve"> AlphaErr_PL</t>
  </si>
  <si>
    <t xml:space="preserve"> ChiSq_PL</t>
  </si>
  <si>
    <t xml:space="preserve"> Npts</t>
  </si>
  <si>
    <t>ZwCl_0847.2+3617</t>
  </si>
  <si>
    <t>NSCS_J135021+094042</t>
  </si>
  <si>
    <t>MCXC_J2211.7-0349</t>
  </si>
  <si>
    <t xml:space="preserve"> MCK0</t>
  </si>
  <si>
    <t xml:space="preserve"> MCK0_68min</t>
  </si>
  <si>
    <t xml:space="preserve"> MCK0_68max</t>
  </si>
  <si>
    <t xml:space="preserve"> MCK100</t>
  </si>
  <si>
    <t xml:space="preserve"> MCK100_68min</t>
  </si>
  <si>
    <t xml:space="preserve"> MCK100_68max</t>
  </si>
  <si>
    <t xml:space="preserve"> MCAlpha</t>
  </si>
  <si>
    <t xml:space="preserve"> MCAlpha_68min</t>
  </si>
  <si>
    <t xml:space="preserve"> MCAlpha_68max</t>
  </si>
  <si>
    <t xml:space="preserve"> MCChiSq</t>
  </si>
  <si>
    <t xml:space="preserve"> K10kpc_mcmc</t>
  </si>
  <si>
    <t xml:space="preserve"> K10kpc_mcmc_min</t>
  </si>
  <si>
    <t xml:space="preserve"> K10kpc_mcmc_max</t>
  </si>
  <si>
    <t xml:space="preserve"> K20kpc_mcmc</t>
  </si>
  <si>
    <t xml:space="preserve"> K20kpc_mcmc_min</t>
  </si>
  <si>
    <t xml:space="preserve"> K20kpc_mcmc_max</t>
  </si>
  <si>
    <t>kpc/h71</t>
  </si>
  <si>
    <t>r500</t>
  </si>
  <si>
    <t>keV/cm^2/3</t>
  </si>
  <si>
    <t>entropy excess error</t>
  </si>
  <si>
    <t>entropy at 100 kpc error</t>
  </si>
  <si>
    <t>entropy power law error</t>
  </si>
  <si>
    <t>error on entropy at 100 kpc for single power law model</t>
  </si>
  <si>
    <t>error on single power law entropy slope</t>
  </si>
  <si>
    <t>MCMC Entropy excess max 1 sigma</t>
  </si>
  <si>
    <t>MCMC Entropy excess min 1 sigma</t>
  </si>
  <si>
    <t>MCMC Median Entropy excess</t>
  </si>
  <si>
    <t>MCMC Median Entropy at 100 kpc</t>
  </si>
  <si>
    <t>MCMC Entropy at 100 kpc min 1 sigma</t>
  </si>
  <si>
    <t>MCMC Entropy entropy at 100 kpc max 1 sigma</t>
  </si>
  <si>
    <t>MCMC Entropy power law slope</t>
  </si>
  <si>
    <t>MCMC min entropy power law slope</t>
  </si>
  <si>
    <t>MCMC max entropy power law slope</t>
  </si>
  <si>
    <t>MCMC estimated reduced chi square</t>
  </si>
  <si>
    <t>MCMC Entropy at 10 kpc</t>
  </si>
  <si>
    <t>MCMC Min Entropy at 10 kpc</t>
  </si>
  <si>
    <t>MCMC Max Entropy at 10 kpc</t>
  </si>
  <si>
    <t>MCMC Entropy at 20 kpc</t>
  </si>
  <si>
    <t>MCMC Min Entropy at 20 kpc</t>
  </si>
  <si>
    <t>MCMC Max Entropy at 20 kpc</t>
  </si>
  <si>
    <t>Midpoint of innermost radial bin used in entropy fits</t>
  </si>
  <si>
    <t>Midpoint of outermost bin used in entropy fit</t>
  </si>
  <si>
    <t>Entropy excess from least squares fit</t>
  </si>
  <si>
    <t>entropy at 100 kpc from least squares fit</t>
  </si>
  <si>
    <t>power law entropy profile from least squares fit</t>
  </si>
  <si>
    <t>estimated reduced chi square from least squares</t>
  </si>
  <si>
    <t>entropy at 100 kpc fo single power law model least squares fitting</t>
  </si>
  <si>
    <t>single power law entropy slope from least squares fitting</t>
  </si>
  <si>
    <t>reduced chi square to single power law from least squares fitting</t>
  </si>
  <si>
    <t>Number of radial entropy points in fit</t>
  </si>
  <si>
    <t>keV</t>
  </si>
  <si>
    <t>Z/Zsolar</t>
  </si>
  <si>
    <t>erg/s/cm2</t>
  </si>
  <si>
    <t>c0.4r500</t>
  </si>
  <si>
    <t>ec0.4r500</t>
  </si>
  <si>
    <t>concentration based on flux &lt; 0.15 r500/flux &lt;0.4r500</t>
  </si>
  <si>
    <t>error on c0.4r500</t>
  </si>
  <si>
    <t>bolometric luminosity</t>
  </si>
  <si>
    <t>bolometric luminosity error</t>
  </si>
  <si>
    <t>absorbed (observed) X-ray flux 0.5-7.0 keV</t>
  </si>
  <si>
    <t>bandpass limited unabsorbed X-ray luminosity (0.5-7.0 kev rest frame)</t>
  </si>
  <si>
    <t>bandpass limited unabsorbed X-ray luminosity (0.5-7.0 kev restframe) error</t>
  </si>
  <si>
    <t>absorbed (observed) X-ray flux 0.5-7.0 keV error</t>
  </si>
  <si>
    <t>redshift</t>
  </si>
  <si>
    <t>ACCEPT2.0 default name</t>
  </si>
  <si>
    <t>Xray temperature core-excised</t>
  </si>
  <si>
    <t>error on Xray temperature core-excised</t>
  </si>
  <si>
    <t>Metallicity core-excised</t>
  </si>
  <si>
    <t>Error on Metallicity core-excised</t>
  </si>
  <si>
    <t>Ap means temperature and metallicity based on a single core-excised aperture; Wtd means those quantities are based on emission-weighted annular averages of projected temperature or metallicity</t>
  </si>
  <si>
    <t>Statistic from single spectrum fit</t>
  </si>
  <si>
    <t>Degrees of freedom in fit</t>
  </si>
  <si>
    <t>Cstat/DOF</t>
  </si>
  <si>
    <t>ProfileFlag</t>
  </si>
  <si>
    <t>Y means an entropy profile is in Table 5/6</t>
  </si>
  <si>
    <t>Chandra ObsIDs used in the ACCEPT2.0 analysis</t>
  </si>
  <si>
    <t>Centroid shift error</t>
  </si>
  <si>
    <t>P3/P0 power law ratio</t>
  </si>
  <si>
    <t>Centroid shift in 20 bins inside 0.4R500</t>
  </si>
  <si>
    <t>P3/P0 power law ratio (r&lt;0.4R500)</t>
  </si>
  <si>
    <t>Ellipticity (ratio of minor/major axes) inside 0.4R500</t>
  </si>
  <si>
    <t>Error on Ellipticity</t>
  </si>
  <si>
    <t>Position Angle in degrees E of N</t>
  </si>
  <si>
    <t>Position Angle error</t>
  </si>
  <si>
    <t>Concentration (flux &lt; 0.15 R500/flux &lt; 0.4 R500)</t>
  </si>
  <si>
    <t>error on concentration</t>
  </si>
  <si>
    <t>Rmax for the quantities in this table</t>
  </si>
  <si>
    <t>degrees</t>
  </si>
  <si>
    <t xml:space="preserve">N </t>
  </si>
  <si>
    <t>Pt Src Flag</t>
  </si>
  <si>
    <t>(Y/N)</t>
  </si>
  <si>
    <t>pt src (within central 10" excluded from spectral analysis)</t>
  </si>
  <si>
    <t>int NH</t>
  </si>
  <si>
    <t>Intrinsic NH nuisance parameter</t>
  </si>
  <si>
    <t>Lx0.5-2.0_E44</t>
  </si>
  <si>
    <t>eLx0.5-2.0</t>
  </si>
  <si>
    <t>1e44 erg/s</t>
  </si>
  <si>
    <t>soft Lx</t>
  </si>
  <si>
    <t>soft Lx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</si>
</sst>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E+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1" fontId="0" fillId="0" borderId="0" xfId="0" applyNumberFormat="1"/>
    <xf numFmtId="167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onahue/Papers/ACCEPT2/MorphologyPlots/NewTable7_v2.xlsx" TargetMode="External"/><Relationship Id="rId1" Type="http://schemas.openxmlformats.org/officeDocument/2006/relationships/externalLinkPath" Target="/Users/donahue/Papers/ACCEPT2/MorphologyPlots/NewTable7_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onahue/Papers/ACCEPT2/ApJS/MachineReadableTables/SubmittedVersions/Table3_v2.xlsx" TargetMode="External"/><Relationship Id="rId1" Type="http://schemas.openxmlformats.org/officeDocument/2006/relationships/externalLinkPath" Target="Table3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w_good_list_moprh_04R500"/>
      <sheetName val="0.4R500"/>
      <sheetName val="Visually Verified 0.4R500"/>
      <sheetName val="morph_04R500_badeta.dat"/>
      <sheetName val="morph_04R500.dat"/>
      <sheetName val="Table7_badETA"/>
      <sheetName val="Table7_for_Overleaf"/>
      <sheetName val="Table 6 new"/>
      <sheetName val="ACCEPT2_spatial_res_table_A1423"/>
      <sheetName val="For_Entropy_Morph_plot_v2.csv"/>
      <sheetName val="Table2_V5_w3C28"/>
      <sheetName val="LookupC2500"/>
      <sheetName val="LookupC0.4R50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Name</v>
          </cell>
          <cell r="P1" t="str">
            <v>etad</v>
          </cell>
          <cell r="R1" t="str">
            <v>etaerr</v>
          </cell>
        </row>
        <row r="2">
          <cell r="A2" t="str">
            <v>ABELL_0141</v>
          </cell>
          <cell r="P2">
            <v>-1.3069999999999999</v>
          </cell>
          <cell r="R2">
            <v>1.107</v>
          </cell>
        </row>
        <row r="3">
          <cell r="A3" t="str">
            <v>RBS_0653</v>
          </cell>
          <cell r="P3">
            <v>-52.7</v>
          </cell>
          <cell r="R3">
            <v>2.7160000000000002</v>
          </cell>
        </row>
        <row r="4">
          <cell r="A4" t="str">
            <v>ABELL_0401</v>
          </cell>
          <cell r="P4">
            <v>37.07</v>
          </cell>
          <cell r="R4">
            <v>0.35399999999999998</v>
          </cell>
        </row>
        <row r="5">
          <cell r="A5" t="str">
            <v>WARP_J2302.8+0843</v>
          </cell>
          <cell r="P5">
            <v>-43.91</v>
          </cell>
          <cell r="R5">
            <v>41.53</v>
          </cell>
        </row>
        <row r="6">
          <cell r="A6" t="str">
            <v>ACT-CL_J0237-4939</v>
          </cell>
          <cell r="P6">
            <v>-45.92</v>
          </cell>
          <cell r="R6">
            <v>4.5179999999999998</v>
          </cell>
        </row>
        <row r="7">
          <cell r="A7" t="str">
            <v>ABELL_2146</v>
          </cell>
          <cell r="P7">
            <v>-51.41</v>
          </cell>
          <cell r="R7">
            <v>1.1299999999999999</v>
          </cell>
        </row>
        <row r="8">
          <cell r="A8" t="str">
            <v>ABELL_S0579</v>
          </cell>
          <cell r="P8">
            <v>-14.78</v>
          </cell>
          <cell r="R8">
            <v>3.2320000000000002</v>
          </cell>
        </row>
        <row r="9">
          <cell r="A9" t="str">
            <v>400d_J0318-0302</v>
          </cell>
          <cell r="P9">
            <v>-81.58</v>
          </cell>
          <cell r="R9">
            <v>15.05</v>
          </cell>
        </row>
        <row r="10">
          <cell r="A10" t="str">
            <v>MACS_J0717+3745</v>
          </cell>
          <cell r="P10">
            <v>-34.82</v>
          </cell>
          <cell r="R10">
            <v>0.70809999999999995</v>
          </cell>
        </row>
        <row r="11">
          <cell r="A11" t="str">
            <v>PLCKESZ_G292.51+21.98</v>
          </cell>
          <cell r="P11">
            <v>-4.4409999999999998</v>
          </cell>
          <cell r="R11">
            <v>2.4889999999999999</v>
          </cell>
        </row>
        <row r="12">
          <cell r="A12" t="str">
            <v>ClG_2153.8+3746</v>
          </cell>
          <cell r="P12">
            <v>17.16</v>
          </cell>
          <cell r="R12">
            <v>1.8160000000000001</v>
          </cell>
        </row>
        <row r="13">
          <cell r="A13" t="str">
            <v>ABELL_3128</v>
          </cell>
          <cell r="P13">
            <v>10.07</v>
          </cell>
          <cell r="R13">
            <v>20.54</v>
          </cell>
        </row>
        <row r="14">
          <cell r="A14" t="str">
            <v>ABELL_S1150</v>
          </cell>
          <cell r="P14">
            <v>-7.2939999999999996</v>
          </cell>
          <cell r="R14">
            <v>11.11</v>
          </cell>
        </row>
        <row r="15">
          <cell r="A15" t="str">
            <v>MACS_J0308.9+2645</v>
          </cell>
          <cell r="P15">
            <v>-83.39</v>
          </cell>
          <cell r="R15">
            <v>5.46</v>
          </cell>
        </row>
        <row r="16">
          <cell r="A16" t="str">
            <v>ABELL_0399</v>
          </cell>
          <cell r="P16">
            <v>27.62</v>
          </cell>
          <cell r="R16">
            <v>0.78939999999999999</v>
          </cell>
        </row>
        <row r="17">
          <cell r="A17" t="str">
            <v>SPT-CL_J0509-5342</v>
          </cell>
          <cell r="P17">
            <v>-62.43</v>
          </cell>
          <cell r="R17">
            <v>3.601</v>
          </cell>
        </row>
        <row r="18">
          <cell r="A18" t="str">
            <v>ABELL_2443</v>
          </cell>
          <cell r="P18">
            <v>12.7</v>
          </cell>
          <cell r="R18">
            <v>1.2829999999999999</v>
          </cell>
        </row>
        <row r="19">
          <cell r="A19" t="str">
            <v>Cygnus_A</v>
          </cell>
          <cell r="P19">
            <v>-33.49</v>
          </cell>
          <cell r="R19">
            <v>0.21890000000000001</v>
          </cell>
        </row>
        <row r="20">
          <cell r="A20" t="str">
            <v>ABELL_1835</v>
          </cell>
          <cell r="P20">
            <v>-16.5</v>
          </cell>
          <cell r="R20">
            <v>1.673</v>
          </cell>
        </row>
        <row r="21">
          <cell r="A21" t="str">
            <v>RCS_J2150-0442</v>
          </cell>
          <cell r="P21">
            <v>38.1</v>
          </cell>
          <cell r="R21">
            <v>4.9770000000000003</v>
          </cell>
        </row>
        <row r="22">
          <cell r="A22" t="str">
            <v>ABELL_2813</v>
          </cell>
          <cell r="P22">
            <v>26.61</v>
          </cell>
          <cell r="R22">
            <v>2.9039999999999999</v>
          </cell>
        </row>
        <row r="23">
          <cell r="A23" t="str">
            <v>ABELL_3880</v>
          </cell>
          <cell r="P23">
            <v>-17.13</v>
          </cell>
          <cell r="R23">
            <v>2.476</v>
          </cell>
        </row>
        <row r="24">
          <cell r="A24" t="str">
            <v>ABELL_0586</v>
          </cell>
          <cell r="P24">
            <v>-40.130000000000003</v>
          </cell>
          <cell r="R24">
            <v>4.4630000000000001</v>
          </cell>
        </row>
        <row r="25">
          <cell r="A25" t="str">
            <v>ABELL_S0780</v>
          </cell>
          <cell r="P25">
            <v>68.02</v>
          </cell>
          <cell r="R25">
            <v>3.1829999999999998</v>
          </cell>
        </row>
        <row r="26">
          <cell r="A26" t="str">
            <v>MCXC_J1524.2-3154</v>
          </cell>
          <cell r="P26">
            <v>-60.27</v>
          </cell>
          <cell r="R26">
            <v>0.91159999999999997</v>
          </cell>
        </row>
        <row r="27">
          <cell r="A27" t="str">
            <v>ACT-CL_J0235-5121</v>
          </cell>
          <cell r="P27">
            <v>12.15</v>
          </cell>
          <cell r="R27">
            <v>4.2859999999999996</v>
          </cell>
        </row>
        <row r="28">
          <cell r="A28" t="str">
            <v>ABELL_0562</v>
          </cell>
          <cell r="P28">
            <v>57.25</v>
          </cell>
          <cell r="R28">
            <v>4.532</v>
          </cell>
        </row>
        <row r="29">
          <cell r="A29" t="str">
            <v>SDSS-C4_3072</v>
          </cell>
          <cell r="P29">
            <v>14.54</v>
          </cell>
          <cell r="R29">
            <v>1.4159999999999999</v>
          </cell>
        </row>
        <row r="30">
          <cell r="A30" t="str">
            <v>NGC_3551</v>
          </cell>
          <cell r="P30">
            <v>32.61</v>
          </cell>
          <cell r="R30">
            <v>2.6459999999999999</v>
          </cell>
        </row>
        <row r="31">
          <cell r="A31" t="str">
            <v>MCXC_J0303.7-7752</v>
          </cell>
          <cell r="P31">
            <v>49.49</v>
          </cell>
          <cell r="R31">
            <v>4.91</v>
          </cell>
        </row>
        <row r="32">
          <cell r="A32" t="str">
            <v>XMMU_J0954+1738</v>
          </cell>
          <cell r="P32">
            <v>71.150000000000006</v>
          </cell>
          <cell r="R32">
            <v>10.81</v>
          </cell>
        </row>
        <row r="33">
          <cell r="A33" t="str">
            <v>MCXC_J0443.1+0210</v>
          </cell>
          <cell r="P33">
            <v>66.05</v>
          </cell>
          <cell r="R33">
            <v>6.6219999999999999</v>
          </cell>
        </row>
        <row r="34">
          <cell r="A34" t="str">
            <v>ABELL_2415</v>
          </cell>
          <cell r="P34">
            <v>17.399999999999999</v>
          </cell>
          <cell r="R34">
            <v>27.94</v>
          </cell>
        </row>
        <row r="35">
          <cell r="A35" t="str">
            <v>Hercules_A</v>
          </cell>
          <cell r="P35">
            <v>-71.819999999999993</v>
          </cell>
          <cell r="R35">
            <v>1.014</v>
          </cell>
        </row>
        <row r="36">
          <cell r="A36" t="str">
            <v>ABELL_2219</v>
          </cell>
          <cell r="P36">
            <v>-52.05</v>
          </cell>
          <cell r="R36">
            <v>0.27379999999999999</v>
          </cell>
        </row>
        <row r="37">
          <cell r="A37" t="str">
            <v>ABELL_0550</v>
          </cell>
          <cell r="P37">
            <v>-49.44</v>
          </cell>
          <cell r="R37">
            <v>1.954</v>
          </cell>
        </row>
        <row r="38">
          <cell r="A38" t="str">
            <v>MCXC_J2311.5+0338</v>
          </cell>
          <cell r="P38">
            <v>27.49</v>
          </cell>
          <cell r="R38">
            <v>2.5009999999999999</v>
          </cell>
        </row>
        <row r="39">
          <cell r="A39" t="str">
            <v>CIZA_J1804.4+1002</v>
          </cell>
          <cell r="P39">
            <v>53.1</v>
          </cell>
          <cell r="R39">
            <v>1.9219999999999999</v>
          </cell>
        </row>
        <row r="40">
          <cell r="A40" t="str">
            <v>MCXC_J1215.4-3900</v>
          </cell>
          <cell r="P40">
            <v>59.96</v>
          </cell>
          <cell r="R40">
            <v>6.4059999999999997</v>
          </cell>
        </row>
        <row r="41">
          <cell r="A41" t="str">
            <v>SPT-CL_J0304-4401</v>
          </cell>
          <cell r="P41">
            <v>79.739999999999995</v>
          </cell>
          <cell r="R41">
            <v>12.57</v>
          </cell>
        </row>
        <row r="42">
          <cell r="A42" t="str">
            <v>PLCKESZ_G286.58-31.25</v>
          </cell>
          <cell r="P42">
            <v>-17.47</v>
          </cell>
          <cell r="R42">
            <v>1.7210000000000001</v>
          </cell>
        </row>
        <row r="43">
          <cell r="A43" t="str">
            <v>ZwCl_0848.5+3341</v>
          </cell>
          <cell r="P43">
            <v>-63.04</v>
          </cell>
          <cell r="R43">
            <v>3.9740000000000002</v>
          </cell>
        </row>
        <row r="44">
          <cell r="A44" t="str">
            <v>MCXC_J2218.6-3853</v>
          </cell>
          <cell r="P44">
            <v>-42.71</v>
          </cell>
          <cell r="R44">
            <v>1.1379999999999999</v>
          </cell>
        </row>
        <row r="45">
          <cell r="A45" t="str">
            <v>ABELL_2550</v>
          </cell>
          <cell r="P45">
            <v>-38.51</v>
          </cell>
          <cell r="R45">
            <v>25.14</v>
          </cell>
        </row>
        <row r="46">
          <cell r="A46" t="str">
            <v>MACS_J1720.2+3536</v>
          </cell>
          <cell r="P46">
            <v>1.93</v>
          </cell>
          <cell r="R46">
            <v>3.2679999999999998</v>
          </cell>
        </row>
        <row r="47">
          <cell r="A47" t="str">
            <v>CXOU_J052215-481816</v>
          </cell>
          <cell r="P47">
            <v>-66.53</v>
          </cell>
          <cell r="R47">
            <v>3.2389999999999999</v>
          </cell>
        </row>
        <row r="48">
          <cell r="A48" t="str">
            <v>MCXC_J0439.0+0520</v>
          </cell>
          <cell r="P48">
            <v>81.739999999999995</v>
          </cell>
          <cell r="R48">
            <v>7.3819999999999997</v>
          </cell>
        </row>
        <row r="49">
          <cell r="A49" t="str">
            <v>ABELL_2457</v>
          </cell>
          <cell r="P49">
            <v>78.650000000000006</v>
          </cell>
          <cell r="R49">
            <v>2.3650000000000002</v>
          </cell>
        </row>
        <row r="50">
          <cell r="A50" t="str">
            <v>2MFGC_06756</v>
          </cell>
          <cell r="P50">
            <v>41.97</v>
          </cell>
          <cell r="R50">
            <v>0.89149999999999996</v>
          </cell>
        </row>
        <row r="51">
          <cell r="A51" t="str">
            <v>WHL_J121218.5+273255</v>
          </cell>
          <cell r="P51">
            <v>-11.39</v>
          </cell>
          <cell r="R51">
            <v>6.2290000000000001</v>
          </cell>
        </row>
        <row r="52">
          <cell r="A52" t="str">
            <v>ABELL_0907</v>
          </cell>
          <cell r="P52">
            <v>-21.21</v>
          </cell>
          <cell r="R52">
            <v>0.53839999999999999</v>
          </cell>
        </row>
        <row r="53">
          <cell r="A53" t="str">
            <v>ZwCl_1006.1+1201</v>
          </cell>
          <cell r="P53">
            <v>-7.11</v>
          </cell>
          <cell r="R53">
            <v>2.278</v>
          </cell>
        </row>
        <row r="54">
          <cell r="A54" t="str">
            <v>UGCl_398</v>
          </cell>
          <cell r="P54">
            <v>-23.64</v>
          </cell>
          <cell r="R54">
            <v>10.32</v>
          </cell>
        </row>
        <row r="55">
          <cell r="A55" t="str">
            <v>ABELL_3921</v>
          </cell>
          <cell r="P55">
            <v>82.92</v>
          </cell>
          <cell r="R55">
            <v>0.80630000000000002</v>
          </cell>
        </row>
        <row r="56">
          <cell r="A56" t="str">
            <v>SPT-CL_J0546-5345</v>
          </cell>
          <cell r="P56">
            <v>53.1</v>
          </cell>
          <cell r="R56">
            <v>12.78</v>
          </cell>
        </row>
        <row r="57">
          <cell r="A57" t="str">
            <v>ABELL_0520</v>
          </cell>
          <cell r="P57">
            <v>-8.2439999999999998</v>
          </cell>
          <cell r="R57">
            <v>0.59419999999999995</v>
          </cell>
        </row>
        <row r="58">
          <cell r="A58" t="str">
            <v>MACS_J0712.3+5931</v>
          </cell>
          <cell r="P58">
            <v>78.52</v>
          </cell>
          <cell r="R58">
            <v>3.4319999999999999</v>
          </cell>
        </row>
        <row r="59">
          <cell r="A59" t="str">
            <v>NSCS_J122648+215157</v>
          </cell>
          <cell r="P59">
            <v>54.39</v>
          </cell>
          <cell r="R59">
            <v>4.4660000000000002</v>
          </cell>
        </row>
        <row r="60">
          <cell r="A60" t="str">
            <v>WHL_J135716.8+623249</v>
          </cell>
          <cell r="P60">
            <v>-43.49</v>
          </cell>
          <cell r="R60">
            <v>18.059999999999999</v>
          </cell>
        </row>
        <row r="61">
          <cell r="A61" t="str">
            <v>MCXC_J2003.5-2323</v>
          </cell>
          <cell r="P61">
            <v>-54.51</v>
          </cell>
          <cell r="R61">
            <v>2.339</v>
          </cell>
        </row>
        <row r="62">
          <cell r="A62" t="str">
            <v>ABELL_0611</v>
          </cell>
          <cell r="P62">
            <v>32.61</v>
          </cell>
          <cell r="R62">
            <v>2.577</v>
          </cell>
        </row>
        <row r="63">
          <cell r="A63" t="str">
            <v>ABELL_2125</v>
          </cell>
          <cell r="P63">
            <v>-64.72</v>
          </cell>
          <cell r="R63">
            <v>5.9379999999999997</v>
          </cell>
        </row>
        <row r="64">
          <cell r="A64" t="str">
            <v>NSC_J125947+312215</v>
          </cell>
          <cell r="P64">
            <v>-85.86</v>
          </cell>
          <cell r="R64">
            <v>21.51</v>
          </cell>
        </row>
        <row r="65">
          <cell r="A65" t="str">
            <v>RX_J0848.8+4455</v>
          </cell>
          <cell r="P65">
            <v>-25.53</v>
          </cell>
          <cell r="R65">
            <v>9.3469999999999995</v>
          </cell>
        </row>
        <row r="66">
          <cell r="A66" t="str">
            <v>ABELL_2465</v>
          </cell>
          <cell r="P66">
            <v>75.510000000000005</v>
          </cell>
          <cell r="R66">
            <v>5.7380000000000004</v>
          </cell>
        </row>
        <row r="67">
          <cell r="A67" t="str">
            <v>SPT-CL_J0559-5249</v>
          </cell>
          <cell r="P67">
            <v>4.5039999999999996</v>
          </cell>
          <cell r="R67">
            <v>4.0119999999999996</v>
          </cell>
        </row>
        <row r="68">
          <cell r="A68" t="str">
            <v>ABELL_3399</v>
          </cell>
          <cell r="P68">
            <v>-56.59</v>
          </cell>
          <cell r="R68">
            <v>1.1060000000000001</v>
          </cell>
        </row>
        <row r="69">
          <cell r="A69" t="str">
            <v>ABELL_1914</v>
          </cell>
          <cell r="P69">
            <v>-76.709999999999994</v>
          </cell>
          <cell r="R69">
            <v>1.919</v>
          </cell>
        </row>
        <row r="70">
          <cell r="A70" t="str">
            <v>WHL_J114224.8+583205</v>
          </cell>
          <cell r="P70">
            <v>8.6379999999999999</v>
          </cell>
          <cell r="R70">
            <v>2.637</v>
          </cell>
        </row>
        <row r="71">
          <cell r="A71" t="str">
            <v>ABELL_3444</v>
          </cell>
          <cell r="P71">
            <v>-21.75</v>
          </cell>
          <cell r="R71">
            <v>0.91439999999999999</v>
          </cell>
        </row>
        <row r="72">
          <cell r="A72" t="str">
            <v>3C_294</v>
          </cell>
          <cell r="P72">
            <v>-45.2</v>
          </cell>
          <cell r="R72">
            <v>17.05</v>
          </cell>
        </row>
        <row r="73">
          <cell r="A73" t="str">
            <v>ABELL_S1101</v>
          </cell>
          <cell r="P73">
            <v>58.76</v>
          </cell>
          <cell r="R73">
            <v>0.64510000000000001</v>
          </cell>
        </row>
        <row r="74">
          <cell r="A74" t="str">
            <v>ABELL_3074</v>
          </cell>
          <cell r="P74">
            <v>1.4019999999999999</v>
          </cell>
          <cell r="R74">
            <v>4.6120000000000001</v>
          </cell>
        </row>
        <row r="75">
          <cell r="A75" t="str">
            <v>MACS_J2135-0102</v>
          </cell>
          <cell r="P75">
            <v>40.35</v>
          </cell>
          <cell r="R75">
            <v>4.8410000000000002</v>
          </cell>
        </row>
        <row r="76">
          <cell r="A76" t="str">
            <v>PLCKESZ_G167.65+17.64</v>
          </cell>
          <cell r="P76">
            <v>-78.73</v>
          </cell>
          <cell r="R76">
            <v>1.8959999999999999</v>
          </cell>
        </row>
        <row r="77">
          <cell r="A77" t="str">
            <v>ABELL_0122</v>
          </cell>
          <cell r="P77">
            <v>-86.03</v>
          </cell>
          <cell r="R77">
            <v>4.3710000000000004</v>
          </cell>
        </row>
        <row r="78">
          <cell r="A78" t="str">
            <v>SPT-CL_J0000-5748</v>
          </cell>
          <cell r="P78">
            <v>9.5470000000000006</v>
          </cell>
          <cell r="R78">
            <v>7.64</v>
          </cell>
        </row>
        <row r="79">
          <cell r="A79" t="str">
            <v>ABELL_0370</v>
          </cell>
          <cell r="P79">
            <v>-1.552</v>
          </cell>
          <cell r="R79">
            <v>1.004</v>
          </cell>
        </row>
        <row r="80">
          <cell r="A80" t="str">
            <v>MACS_J0111.5+0855</v>
          </cell>
          <cell r="P80">
            <v>-73.739999999999995</v>
          </cell>
          <cell r="R80">
            <v>46.71</v>
          </cell>
        </row>
        <row r="81">
          <cell r="A81" t="str">
            <v>Bullet_Cluster</v>
          </cell>
          <cell r="P81">
            <v>-38.94</v>
          </cell>
          <cell r="R81">
            <v>0.48209999999999997</v>
          </cell>
        </row>
        <row r="82">
          <cell r="A82" t="str">
            <v>3C_028</v>
          </cell>
          <cell r="P82">
            <v>-35.799999999999997</v>
          </cell>
          <cell r="R82">
            <v>1.0629999999999999</v>
          </cell>
        </row>
        <row r="83">
          <cell r="A83" t="str">
            <v>ABELL_2104</v>
          </cell>
          <cell r="P83">
            <v>16.670000000000002</v>
          </cell>
          <cell r="R83">
            <v>2.1480000000000001</v>
          </cell>
        </row>
        <row r="84">
          <cell r="A84" t="str">
            <v>SPT-CL_J2359-5009</v>
          </cell>
          <cell r="P84">
            <v>-51.52</v>
          </cell>
          <cell r="R84">
            <v>6.069</v>
          </cell>
        </row>
        <row r="85">
          <cell r="A85" t="str">
            <v>ABELL_3562</v>
          </cell>
          <cell r="P85">
            <v>73.680000000000007</v>
          </cell>
          <cell r="R85">
            <v>1.1419999999999999</v>
          </cell>
        </row>
        <row r="86">
          <cell r="A86" t="str">
            <v>400d_J0405-4100</v>
          </cell>
          <cell r="P86">
            <v>-65.599999999999994</v>
          </cell>
          <cell r="R86">
            <v>4.7140000000000004</v>
          </cell>
        </row>
        <row r="87">
          <cell r="A87" t="str">
            <v>ABELL_0539</v>
          </cell>
          <cell r="P87">
            <v>45.97</v>
          </cell>
          <cell r="R87">
            <v>1.9359999999999999</v>
          </cell>
        </row>
        <row r="88">
          <cell r="A88" t="str">
            <v>ZwCl_0949.6+5207</v>
          </cell>
          <cell r="P88">
            <v>-28.93</v>
          </cell>
          <cell r="R88">
            <v>1</v>
          </cell>
        </row>
        <row r="89">
          <cell r="A89" t="str">
            <v>ABELL_0963</v>
          </cell>
          <cell r="P89">
            <v>3.145</v>
          </cell>
          <cell r="R89">
            <v>2.452</v>
          </cell>
        </row>
        <row r="90">
          <cell r="A90" t="str">
            <v>ABELL_3158</v>
          </cell>
          <cell r="P90">
            <v>-80.17</v>
          </cell>
          <cell r="R90">
            <v>0.49719999999999998</v>
          </cell>
        </row>
        <row r="91">
          <cell r="A91" t="str">
            <v>WHL_J131505.2+514902</v>
          </cell>
          <cell r="P91">
            <v>-28.39</v>
          </cell>
          <cell r="R91">
            <v>1.798</v>
          </cell>
        </row>
        <row r="92">
          <cell r="A92" t="str">
            <v>ABELL_3364</v>
          </cell>
          <cell r="P92">
            <v>18.809999999999999</v>
          </cell>
          <cell r="R92">
            <v>4.4619999999999997</v>
          </cell>
        </row>
        <row r="93">
          <cell r="A93" t="str">
            <v>SC_1120-1202</v>
          </cell>
          <cell r="P93">
            <v>2.4809999999999999</v>
          </cell>
          <cell r="R93">
            <v>17.91</v>
          </cell>
        </row>
        <row r="94">
          <cell r="A94" t="str">
            <v>MACS_J1829.0+6913</v>
          </cell>
          <cell r="P94">
            <v>-88.8</v>
          </cell>
          <cell r="R94">
            <v>3.762</v>
          </cell>
        </row>
        <row r="95">
          <cell r="A95" t="str">
            <v>ABELL_3653</v>
          </cell>
          <cell r="P95">
            <v>-55.45</v>
          </cell>
          <cell r="R95">
            <v>4.2549999999999999</v>
          </cell>
        </row>
        <row r="96">
          <cell r="A96" t="str">
            <v>Abell_222</v>
          </cell>
          <cell r="P96">
            <v>87.56</v>
          </cell>
          <cell r="R96">
            <v>2.673</v>
          </cell>
        </row>
        <row r="97">
          <cell r="A97" t="str">
            <v>ABELL_0598</v>
          </cell>
          <cell r="P97">
            <v>-43.96</v>
          </cell>
          <cell r="R97">
            <v>8.2639999999999993</v>
          </cell>
        </row>
        <row r="98">
          <cell r="A98" t="str">
            <v>400d_J1641+4001</v>
          </cell>
          <cell r="P98">
            <v>-21.74</v>
          </cell>
          <cell r="R98">
            <v>14.9</v>
          </cell>
        </row>
        <row r="99">
          <cell r="A99" t="str">
            <v>ABELL_2345</v>
          </cell>
          <cell r="P99">
            <v>77.64</v>
          </cell>
          <cell r="R99">
            <v>2.1419999999999999</v>
          </cell>
        </row>
        <row r="100">
          <cell r="A100" t="str">
            <v>MCXC_J0142.0+2131</v>
          </cell>
          <cell r="P100">
            <v>-89.44</v>
          </cell>
          <cell r="R100">
            <v>4.2060000000000004</v>
          </cell>
        </row>
        <row r="101">
          <cell r="A101" t="str">
            <v>SDSS-C4_3062</v>
          </cell>
          <cell r="P101">
            <v>-62.78</v>
          </cell>
          <cell r="R101">
            <v>5.5359999999999996</v>
          </cell>
        </row>
        <row r="102">
          <cell r="A102" t="str">
            <v>2MASSi_J0913454+405628</v>
          </cell>
          <cell r="P102">
            <v>-74.959999999999994</v>
          </cell>
          <cell r="R102">
            <v>4.3650000000000002</v>
          </cell>
        </row>
        <row r="103">
          <cell r="A103" t="str">
            <v>WARP_J1415.1+3612</v>
          </cell>
          <cell r="P103">
            <v>25.09</v>
          </cell>
          <cell r="R103">
            <v>7.39</v>
          </cell>
        </row>
        <row r="104">
          <cell r="A104" t="str">
            <v>IC_1880_GROUP</v>
          </cell>
          <cell r="P104">
            <v>12.55</v>
          </cell>
          <cell r="R104">
            <v>5.0730000000000004</v>
          </cell>
        </row>
        <row r="105">
          <cell r="A105" t="str">
            <v>ABELL_1423</v>
          </cell>
          <cell r="P105">
            <v>56.15</v>
          </cell>
          <cell r="R105">
            <v>2.4129999999999998</v>
          </cell>
        </row>
        <row r="106">
          <cell r="A106" t="str">
            <v>ABELL_0578</v>
          </cell>
          <cell r="P106">
            <v>58.6</v>
          </cell>
          <cell r="R106">
            <v>3.9049999999999998</v>
          </cell>
        </row>
        <row r="107">
          <cell r="A107" t="str">
            <v>ABELL_0402</v>
          </cell>
          <cell r="P107">
            <v>87.05</v>
          </cell>
          <cell r="R107">
            <v>4.9669999999999996</v>
          </cell>
        </row>
        <row r="108">
          <cell r="A108" t="str">
            <v>ABELL_3809</v>
          </cell>
          <cell r="P108">
            <v>-89.18</v>
          </cell>
          <cell r="R108">
            <v>2.524</v>
          </cell>
        </row>
        <row r="109">
          <cell r="A109" t="str">
            <v>MACS_J1621.3+3810</v>
          </cell>
          <cell r="P109">
            <v>-47.32</v>
          </cell>
          <cell r="R109">
            <v>3.448</v>
          </cell>
        </row>
        <row r="110">
          <cell r="A110" t="str">
            <v>IC_1365</v>
          </cell>
          <cell r="P110">
            <v>44.82</v>
          </cell>
          <cell r="R110">
            <v>3.7789999999999999</v>
          </cell>
        </row>
        <row r="111">
          <cell r="A111" t="str">
            <v>ABELL_1650</v>
          </cell>
          <cell r="P111">
            <v>-21.59</v>
          </cell>
          <cell r="R111">
            <v>0.39050000000000001</v>
          </cell>
        </row>
        <row r="112">
          <cell r="A112" t="str">
            <v>SPT-CL_J0438-5419</v>
          </cell>
          <cell r="P112">
            <v>37.04</v>
          </cell>
          <cell r="R112">
            <v>2.8279999999999998</v>
          </cell>
        </row>
        <row r="113">
          <cell r="A113" t="str">
            <v>MACS_J2229.8-2756</v>
          </cell>
          <cell r="P113">
            <v>11.32</v>
          </cell>
          <cell r="R113">
            <v>2.714</v>
          </cell>
        </row>
        <row r="114">
          <cell r="A114" t="str">
            <v>ABELL_1836</v>
          </cell>
          <cell r="P114">
            <v>-64.569999999999993</v>
          </cell>
          <cell r="R114">
            <v>6.1079999999999997</v>
          </cell>
        </row>
        <row r="115">
          <cell r="A115" t="str">
            <v>ABELL_0098N</v>
          </cell>
          <cell r="P115">
            <v>-25.72</v>
          </cell>
          <cell r="R115">
            <v>4.0759999999999996</v>
          </cell>
        </row>
        <row r="116">
          <cell r="A116" t="str">
            <v>ABELL_0744</v>
          </cell>
          <cell r="P116">
            <v>83.92</v>
          </cell>
          <cell r="R116">
            <v>24.91</v>
          </cell>
        </row>
        <row r="117">
          <cell r="A117" t="str">
            <v>FBQS_J074417.4+375317</v>
          </cell>
          <cell r="P117">
            <v>51.36</v>
          </cell>
          <cell r="R117">
            <v>3.7610000000000001</v>
          </cell>
        </row>
        <row r="118">
          <cell r="A118" t="str">
            <v>400d_J2247+0337</v>
          </cell>
          <cell r="P118">
            <v>68.31</v>
          </cell>
          <cell r="R118">
            <v>16.79</v>
          </cell>
        </row>
        <row r="119">
          <cell r="A119" t="str">
            <v>MCXC_J1852.1+5711</v>
          </cell>
          <cell r="P119">
            <v>67.62</v>
          </cell>
          <cell r="R119">
            <v>2.4689999999999999</v>
          </cell>
        </row>
        <row r="120">
          <cell r="A120" t="str">
            <v>ABELL_S0295</v>
          </cell>
          <cell r="P120">
            <v>-44.58</v>
          </cell>
          <cell r="R120">
            <v>3.9990000000000001</v>
          </cell>
        </row>
        <row r="121">
          <cell r="A121" t="str">
            <v>MCXC_J1558.3-1410</v>
          </cell>
          <cell r="P121">
            <v>78.62</v>
          </cell>
          <cell r="R121">
            <v>0.69889999999999997</v>
          </cell>
        </row>
        <row r="122">
          <cell r="A122" t="str">
            <v>400d_J0956+4107</v>
          </cell>
          <cell r="P122">
            <v>-30.65</v>
          </cell>
          <cell r="R122">
            <v>3.1139999999999999</v>
          </cell>
        </row>
        <row r="123">
          <cell r="A123" t="str">
            <v>WHL_J091834.3+295318</v>
          </cell>
          <cell r="P123">
            <v>61.76</v>
          </cell>
          <cell r="R123">
            <v>18.239999999999998</v>
          </cell>
        </row>
        <row r="124">
          <cell r="A124" t="str">
            <v>ABELL_0781</v>
          </cell>
          <cell r="P124">
            <v>-42.05</v>
          </cell>
          <cell r="R124">
            <v>6.6740000000000004</v>
          </cell>
        </row>
        <row r="125">
          <cell r="A125" t="str">
            <v>ACT-CL_J0346-5438</v>
          </cell>
          <cell r="P125">
            <v>86.27</v>
          </cell>
          <cell r="R125">
            <v>6.3890000000000002</v>
          </cell>
        </row>
        <row r="126">
          <cell r="A126" t="str">
            <v>ABELL_1204</v>
          </cell>
          <cell r="P126">
            <v>43.82</v>
          </cell>
          <cell r="R126">
            <v>4.0819999999999999</v>
          </cell>
        </row>
        <row r="127">
          <cell r="A127" t="str">
            <v>ABELL_2665</v>
          </cell>
          <cell r="P127">
            <v>87.11</v>
          </cell>
          <cell r="R127">
            <v>7.54</v>
          </cell>
        </row>
        <row r="128">
          <cell r="A128" t="str">
            <v>ABELL_3094</v>
          </cell>
          <cell r="P128">
            <v>49</v>
          </cell>
          <cell r="R128">
            <v>2.1379999999999999</v>
          </cell>
        </row>
        <row r="129">
          <cell r="A129" t="str">
            <v>PLCKESZ_G264.41+19.48</v>
          </cell>
          <cell r="P129">
            <v>-54.21</v>
          </cell>
          <cell r="R129">
            <v>1.8169999999999999</v>
          </cell>
        </row>
        <row r="130">
          <cell r="A130" t="str">
            <v>MACS_J1206.2-0847</v>
          </cell>
          <cell r="P130">
            <v>-62.56</v>
          </cell>
          <cell r="R130">
            <v>3.5019999999999998</v>
          </cell>
        </row>
        <row r="131">
          <cell r="A131" t="str">
            <v>ABELL_0383</v>
          </cell>
          <cell r="P131">
            <v>16.77</v>
          </cell>
          <cell r="R131">
            <v>9.5340000000000007</v>
          </cell>
        </row>
        <row r="132">
          <cell r="A132" t="str">
            <v>ABELL_2069</v>
          </cell>
          <cell r="P132">
            <v>-30.5</v>
          </cell>
          <cell r="R132">
            <v>1.0449999999999999</v>
          </cell>
        </row>
        <row r="133">
          <cell r="A133" t="str">
            <v>400d_J0230+1836</v>
          </cell>
          <cell r="P133">
            <v>-74.989999999999995</v>
          </cell>
          <cell r="R133">
            <v>5.45</v>
          </cell>
        </row>
        <row r="134">
          <cell r="A134" t="str">
            <v>MCXC_J1234.2+0947</v>
          </cell>
          <cell r="P134">
            <v>51.54</v>
          </cell>
          <cell r="R134">
            <v>3.1640000000000001</v>
          </cell>
        </row>
        <row r="135">
          <cell r="A135" t="str">
            <v>ABELL_2384</v>
          </cell>
          <cell r="P135">
            <v>19.11</v>
          </cell>
          <cell r="R135">
            <v>1.286</v>
          </cell>
        </row>
        <row r="136">
          <cell r="A136" t="str">
            <v>MCXC_J0425.8-0833</v>
          </cell>
          <cell r="P136">
            <v>-22.14</v>
          </cell>
          <cell r="R136">
            <v>4.681</v>
          </cell>
        </row>
        <row r="137">
          <cell r="A137" t="str">
            <v>WHL_J092207.6+034558</v>
          </cell>
          <cell r="P137">
            <v>45.48</v>
          </cell>
          <cell r="R137">
            <v>5.0839999999999996</v>
          </cell>
        </row>
        <row r="138">
          <cell r="A138" t="str">
            <v>MACS_J1427.6-2521</v>
          </cell>
          <cell r="P138">
            <v>-55.97</v>
          </cell>
          <cell r="R138">
            <v>25.18</v>
          </cell>
        </row>
        <row r="139">
          <cell r="A139" t="str">
            <v>SDSS_J1115+5319_CLUSTER</v>
          </cell>
          <cell r="P139">
            <v>-41.07</v>
          </cell>
          <cell r="R139">
            <v>9.875</v>
          </cell>
        </row>
        <row r="140">
          <cell r="A140" t="str">
            <v>WHL_J093820.9+520243</v>
          </cell>
          <cell r="P140">
            <v>-52.63</v>
          </cell>
          <cell r="R140">
            <v>2.2360000000000002</v>
          </cell>
        </row>
        <row r="141">
          <cell r="A141" t="str">
            <v>ABELL_3402</v>
          </cell>
          <cell r="P141">
            <v>-72.55</v>
          </cell>
          <cell r="R141">
            <v>9.9969999999999999</v>
          </cell>
        </row>
        <row r="142">
          <cell r="A142" t="str">
            <v>ABELL_0119</v>
          </cell>
          <cell r="P142">
            <v>13.76</v>
          </cell>
          <cell r="R142">
            <v>0.85060000000000002</v>
          </cell>
        </row>
        <row r="143">
          <cell r="A143" t="str">
            <v>ABELL_3528B</v>
          </cell>
          <cell r="P143">
            <v>-8.8729999999999993</v>
          </cell>
          <cell r="R143">
            <v>4.5149999999999997</v>
          </cell>
        </row>
        <row r="144">
          <cell r="A144" t="str">
            <v>ABELL_2187</v>
          </cell>
          <cell r="P144">
            <v>70.88</v>
          </cell>
          <cell r="R144">
            <v>2.5350000000000001</v>
          </cell>
        </row>
        <row r="145">
          <cell r="A145" t="str">
            <v>ABELL_3695</v>
          </cell>
          <cell r="P145">
            <v>-24.12</v>
          </cell>
          <cell r="R145">
            <v>2.5950000000000002</v>
          </cell>
        </row>
        <row r="146">
          <cell r="A146" t="str">
            <v>MACS_J1931.8-2635</v>
          </cell>
          <cell r="P146">
            <v>-2.819</v>
          </cell>
          <cell r="R146">
            <v>0.77059999999999995</v>
          </cell>
        </row>
        <row r="147">
          <cell r="A147" t="str">
            <v>ABELL_0267</v>
          </cell>
          <cell r="P147">
            <v>17.05</v>
          </cell>
          <cell r="R147">
            <v>1.921</v>
          </cell>
        </row>
        <row r="148">
          <cell r="A148" t="str">
            <v>ABELL_2163</v>
          </cell>
          <cell r="P148">
            <v>82.69</v>
          </cell>
          <cell r="R148">
            <v>0.70540000000000003</v>
          </cell>
        </row>
        <row r="149">
          <cell r="A149" t="str">
            <v>MCXC_J0528.2-2942</v>
          </cell>
          <cell r="P149">
            <v>33.869999999999997</v>
          </cell>
          <cell r="R149">
            <v>3</v>
          </cell>
        </row>
        <row r="150">
          <cell r="A150" t="str">
            <v>MCXC_J1750.2+3504</v>
          </cell>
          <cell r="P150">
            <v>-86.4</v>
          </cell>
          <cell r="R150">
            <v>3.42</v>
          </cell>
        </row>
        <row r="151">
          <cell r="A151" t="str">
            <v>SPT-CL_J0615-5746</v>
          </cell>
          <cell r="P151">
            <v>36.36</v>
          </cell>
          <cell r="R151">
            <v>2.1339999999999999</v>
          </cell>
        </row>
        <row r="152">
          <cell r="A152" t="str">
            <v>_HB89__1821+643</v>
          </cell>
          <cell r="P152">
            <v>-57.41</v>
          </cell>
          <cell r="R152">
            <v>1.24</v>
          </cell>
        </row>
        <row r="153">
          <cell r="A153" t="str">
            <v>SPT-CL_J0102-4915</v>
          </cell>
          <cell r="P153">
            <v>-38.369999999999997</v>
          </cell>
          <cell r="R153">
            <v>0.83440000000000003</v>
          </cell>
        </row>
        <row r="154">
          <cell r="A154" t="str">
            <v>MCXC_J0439.0+0715</v>
          </cell>
          <cell r="P154">
            <v>6.8689999999999998</v>
          </cell>
          <cell r="R154">
            <v>2.8650000000000002</v>
          </cell>
        </row>
        <row r="155">
          <cell r="A155" t="str">
            <v>Cl_0016+16</v>
          </cell>
          <cell r="P155">
            <v>47.66</v>
          </cell>
          <cell r="R155">
            <v>1.8460000000000001</v>
          </cell>
        </row>
        <row r="156">
          <cell r="A156" t="str">
            <v>SPT-CLJ2135-5726</v>
          </cell>
          <cell r="P156">
            <v>16.760000000000002</v>
          </cell>
          <cell r="R156">
            <v>45.75</v>
          </cell>
        </row>
        <row r="157">
          <cell r="A157" t="str">
            <v>NGC_0777</v>
          </cell>
          <cell r="P157">
            <v>-87.73</v>
          </cell>
          <cell r="R157">
            <v>7.9790000000000001</v>
          </cell>
        </row>
        <row r="158">
          <cell r="A158" t="str">
            <v>ABELL_2355</v>
          </cell>
          <cell r="P158">
            <v>42.02</v>
          </cell>
          <cell r="R158">
            <v>1.56</v>
          </cell>
        </row>
        <row r="159">
          <cell r="A159" t="str">
            <v>SpARCS_J161314+564930</v>
          </cell>
          <cell r="P159">
            <v>-24.85</v>
          </cell>
          <cell r="R159">
            <v>40.630000000000003</v>
          </cell>
        </row>
        <row r="160">
          <cell r="A160" t="str">
            <v>ABELL_3739</v>
          </cell>
          <cell r="P160">
            <v>18.63</v>
          </cell>
          <cell r="R160">
            <v>5.8920000000000003</v>
          </cell>
        </row>
        <row r="161">
          <cell r="A161" t="str">
            <v>ABELL_2151</v>
          </cell>
          <cell r="P161">
            <v>56.1</v>
          </cell>
          <cell r="R161">
            <v>7.835</v>
          </cell>
        </row>
        <row r="162">
          <cell r="A162" t="str">
            <v>ABELL_0665</v>
          </cell>
          <cell r="P162">
            <v>-41.23</v>
          </cell>
          <cell r="R162">
            <v>1.0269999999999999</v>
          </cell>
        </row>
        <row r="163">
          <cell r="A163" t="str">
            <v>400d_J1202+5751</v>
          </cell>
          <cell r="P163">
            <v>82.38</v>
          </cell>
          <cell r="R163">
            <v>15.16</v>
          </cell>
        </row>
        <row r="164">
          <cell r="A164" t="str">
            <v>400d_J0720+7108</v>
          </cell>
          <cell r="P164">
            <v>9.4960000000000004</v>
          </cell>
          <cell r="R164">
            <v>17.32</v>
          </cell>
        </row>
        <row r="165">
          <cell r="A165" t="str">
            <v>ABELL_2744</v>
          </cell>
          <cell r="P165">
            <v>87.14</v>
          </cell>
          <cell r="R165">
            <v>2.6480000000000001</v>
          </cell>
        </row>
        <row r="166">
          <cell r="A166" t="str">
            <v>PLCKESZ_G304.84-41.42</v>
          </cell>
          <cell r="P166">
            <v>-11.89</v>
          </cell>
          <cell r="R166">
            <v>5.9530000000000003</v>
          </cell>
        </row>
        <row r="167">
          <cell r="A167" t="str">
            <v>SDSS_+137.3+11.0+0.18</v>
          </cell>
          <cell r="P167">
            <v>75.569999999999993</v>
          </cell>
          <cell r="R167">
            <v>2.165</v>
          </cell>
        </row>
        <row r="168">
          <cell r="A168" t="str">
            <v>ABELL_2204</v>
          </cell>
          <cell r="P168">
            <v>87.23</v>
          </cell>
          <cell r="R168">
            <v>0.85350000000000004</v>
          </cell>
        </row>
        <row r="169">
          <cell r="A169" t="str">
            <v>ABELL_3126</v>
          </cell>
          <cell r="P169">
            <v>-1.1559999999999999</v>
          </cell>
          <cell r="R169">
            <v>15.04</v>
          </cell>
        </row>
        <row r="170">
          <cell r="A170" t="str">
            <v>400d_J0237-5224</v>
          </cell>
          <cell r="P170">
            <v>-25.14</v>
          </cell>
          <cell r="R170">
            <v>6.9089999999999998</v>
          </cell>
        </row>
        <row r="171">
          <cell r="A171" t="str">
            <v>ABELL_2107</v>
          </cell>
          <cell r="P171">
            <v>89.03</v>
          </cell>
          <cell r="R171">
            <v>3.17</v>
          </cell>
        </row>
        <row r="172">
          <cell r="A172" t="str">
            <v>ABELL_0644</v>
          </cell>
          <cell r="P172">
            <v>10.46</v>
          </cell>
          <cell r="R172">
            <v>0.52380000000000004</v>
          </cell>
        </row>
        <row r="173">
          <cell r="A173" t="str">
            <v>ABELL_2537</v>
          </cell>
          <cell r="P173">
            <v>-61.92</v>
          </cell>
          <cell r="R173">
            <v>2.8820000000000001</v>
          </cell>
        </row>
        <row r="174">
          <cell r="A174" t="str">
            <v>ABELL_1831</v>
          </cell>
          <cell r="P174">
            <v>-29.98</v>
          </cell>
          <cell r="R174">
            <v>2.9510000000000001</v>
          </cell>
        </row>
        <row r="175">
          <cell r="A175" t="str">
            <v>ACT-CL_J0616-5227</v>
          </cell>
          <cell r="P175">
            <v>-34.79</v>
          </cell>
          <cell r="R175">
            <v>6.0910000000000002</v>
          </cell>
        </row>
        <row r="176">
          <cell r="A176" t="str">
            <v>ABELL_0209</v>
          </cell>
          <cell r="P176">
            <v>-46.45</v>
          </cell>
          <cell r="R176">
            <v>1.9119999999999999</v>
          </cell>
        </row>
        <row r="177">
          <cell r="A177" t="str">
            <v>ABELL_3322</v>
          </cell>
          <cell r="P177">
            <v>-59.14</v>
          </cell>
          <cell r="R177">
            <v>2.8730000000000002</v>
          </cell>
        </row>
        <row r="178">
          <cell r="A178" t="str">
            <v>LCDCS_0829</v>
          </cell>
          <cell r="P178">
            <v>2.0009999999999999</v>
          </cell>
          <cell r="R178">
            <v>0.6976</v>
          </cell>
        </row>
        <row r="179">
          <cell r="A179" t="str">
            <v>MCXC_J0340.8-4542</v>
          </cell>
          <cell r="P179">
            <v>-76.95</v>
          </cell>
          <cell r="R179">
            <v>9.359</v>
          </cell>
        </row>
        <row r="180">
          <cell r="A180" t="str">
            <v>ZwCl_0857.9+2107</v>
          </cell>
          <cell r="P180">
            <v>51.33</v>
          </cell>
          <cell r="R180">
            <v>1.3720000000000001</v>
          </cell>
        </row>
        <row r="181">
          <cell r="A181" t="str">
            <v>WHL_J130558.9+263048</v>
          </cell>
          <cell r="P181">
            <v>85.27</v>
          </cell>
          <cell r="R181">
            <v>2.1110000000000002</v>
          </cell>
        </row>
        <row r="182">
          <cell r="A182" t="str">
            <v>ABELL_0478</v>
          </cell>
          <cell r="P182">
            <v>45.6</v>
          </cell>
          <cell r="R182">
            <v>0.35830000000000001</v>
          </cell>
        </row>
        <row r="183">
          <cell r="A183" t="str">
            <v>UGC_05088_GROUP</v>
          </cell>
          <cell r="P183">
            <v>-48.74</v>
          </cell>
          <cell r="R183">
            <v>5.4359999999999999</v>
          </cell>
        </row>
        <row r="184">
          <cell r="A184" t="str">
            <v>ESO3060170-A</v>
          </cell>
          <cell r="P184">
            <v>-5.5380000000000003</v>
          </cell>
          <cell r="R184">
            <v>0.70120000000000005</v>
          </cell>
        </row>
        <row r="185">
          <cell r="A185" t="str">
            <v>ABELL_2142</v>
          </cell>
          <cell r="P185">
            <v>-52.36</v>
          </cell>
          <cell r="R185">
            <v>0.32219999999999999</v>
          </cell>
        </row>
        <row r="186">
          <cell r="A186" t="str">
            <v>ABELL_0795</v>
          </cell>
          <cell r="P186">
            <v>-64.84</v>
          </cell>
          <cell r="R186">
            <v>1.3620000000000001</v>
          </cell>
        </row>
        <row r="187">
          <cell r="A187" t="str">
            <v>WHL_J150407.5-024816</v>
          </cell>
          <cell r="P187">
            <v>60.97</v>
          </cell>
          <cell r="R187">
            <v>0.79010000000000002</v>
          </cell>
        </row>
        <row r="188">
          <cell r="A188" t="str">
            <v>WHL_J122201.8+270934</v>
          </cell>
          <cell r="P188">
            <v>7.133</v>
          </cell>
          <cell r="R188">
            <v>42.12</v>
          </cell>
        </row>
        <row r="189">
          <cell r="A189" t="str">
            <v>WHL_J224319.8-093530</v>
          </cell>
          <cell r="P189">
            <v>-79.23</v>
          </cell>
          <cell r="R189">
            <v>1.4770000000000001</v>
          </cell>
        </row>
        <row r="190">
          <cell r="A190" t="str">
            <v>ABELL_2445</v>
          </cell>
          <cell r="P190">
            <v>-32.700000000000003</v>
          </cell>
          <cell r="R190">
            <v>1.669</v>
          </cell>
        </row>
        <row r="191">
          <cell r="A191" t="str">
            <v>MACS_J1532.8+3021</v>
          </cell>
          <cell r="P191">
            <v>53.16</v>
          </cell>
          <cell r="R191">
            <v>1.381</v>
          </cell>
        </row>
        <row r="192">
          <cell r="A192" t="str">
            <v>ABELL_1689</v>
          </cell>
          <cell r="P192">
            <v>12.14</v>
          </cell>
          <cell r="R192">
            <v>0.63029999999999997</v>
          </cell>
        </row>
        <row r="193">
          <cell r="A193" t="str">
            <v>MACS_J2140.2-2339</v>
          </cell>
          <cell r="P193">
            <v>61.51</v>
          </cell>
          <cell r="R193">
            <v>3.8010000000000002</v>
          </cell>
        </row>
        <row r="194">
          <cell r="A194" t="str">
            <v>ABELL_2507</v>
          </cell>
          <cell r="P194">
            <v>77.45</v>
          </cell>
          <cell r="R194">
            <v>2.8679999999999999</v>
          </cell>
        </row>
        <row r="195">
          <cell r="A195" t="str">
            <v>ABELL_1942_AND_CLUMP</v>
          </cell>
          <cell r="P195">
            <v>-18.86</v>
          </cell>
          <cell r="R195">
            <v>2.9889999999999999</v>
          </cell>
        </row>
        <row r="196">
          <cell r="A196" t="str">
            <v>Abell_223</v>
          </cell>
          <cell r="P196">
            <v>11.49</v>
          </cell>
          <cell r="R196">
            <v>2.0539999999999998</v>
          </cell>
        </row>
        <row r="197">
          <cell r="A197" t="str">
            <v>ABELL_0773</v>
          </cell>
          <cell r="P197">
            <v>81.540000000000006</v>
          </cell>
          <cell r="R197">
            <v>1.7829999999999999</v>
          </cell>
        </row>
        <row r="198">
          <cell r="A198" t="str">
            <v>ZwCl_0024.0+1652</v>
          </cell>
          <cell r="P198">
            <v>35.21</v>
          </cell>
          <cell r="R198">
            <v>11.5</v>
          </cell>
        </row>
        <row r="199">
          <cell r="A199" t="str">
            <v>WHL_J141623.8+444528</v>
          </cell>
          <cell r="P199">
            <v>-25.57</v>
          </cell>
          <cell r="R199">
            <v>6.1630000000000003</v>
          </cell>
        </row>
        <row r="200">
          <cell r="A200" t="str">
            <v>ABELL_2249</v>
          </cell>
          <cell r="P200">
            <v>83.06</v>
          </cell>
          <cell r="R200">
            <v>3.2240000000000002</v>
          </cell>
        </row>
        <row r="201">
          <cell r="A201" t="str">
            <v>GMBCG_J029.95560-08.83299</v>
          </cell>
          <cell r="P201">
            <v>22.92</v>
          </cell>
          <cell r="R201">
            <v>5.0090000000000003</v>
          </cell>
        </row>
        <row r="202">
          <cell r="A202" t="str">
            <v>ABELL_S1063</v>
          </cell>
          <cell r="P202">
            <v>62.96</v>
          </cell>
          <cell r="R202">
            <v>2.085</v>
          </cell>
        </row>
        <row r="203">
          <cell r="A203" t="str">
            <v>MACS_J1105.7-1014</v>
          </cell>
          <cell r="P203">
            <v>-12.71</v>
          </cell>
          <cell r="R203">
            <v>10.68</v>
          </cell>
        </row>
        <row r="204">
          <cell r="A204" t="str">
            <v>ABELL_0368</v>
          </cell>
          <cell r="P204">
            <v>77.790000000000006</v>
          </cell>
          <cell r="R204">
            <v>2.9329999999999998</v>
          </cell>
        </row>
        <row r="205">
          <cell r="A205" t="str">
            <v>ABELL_3140</v>
          </cell>
          <cell r="P205">
            <v>47.65</v>
          </cell>
          <cell r="R205">
            <v>9.9160000000000004</v>
          </cell>
        </row>
        <row r="206">
          <cell r="A206" t="str">
            <v>ABELL_0521</v>
          </cell>
          <cell r="P206">
            <v>-5.4379999999999997</v>
          </cell>
          <cell r="R206">
            <v>0.61839999999999995</v>
          </cell>
        </row>
        <row r="207">
          <cell r="A207" t="str">
            <v>MACS_J0553.4-3342</v>
          </cell>
          <cell r="P207">
            <v>85.64</v>
          </cell>
          <cell r="R207">
            <v>1.4690000000000001</v>
          </cell>
        </row>
        <row r="208">
          <cell r="A208" t="str">
            <v>MACS_J2046.0-3430</v>
          </cell>
          <cell r="P208">
            <v>21.27</v>
          </cell>
          <cell r="R208">
            <v>10.88</v>
          </cell>
        </row>
        <row r="209">
          <cell r="A209" t="str">
            <v>ABELL_1201</v>
          </cell>
          <cell r="P209">
            <v>-24.1</v>
          </cell>
          <cell r="R209">
            <v>0.67049999999999998</v>
          </cell>
        </row>
        <row r="210">
          <cell r="A210" t="str">
            <v>NSCS_J145715+222009</v>
          </cell>
          <cell r="P210">
            <v>33.83</v>
          </cell>
          <cell r="R210">
            <v>1.377</v>
          </cell>
        </row>
        <row r="211">
          <cell r="A211" t="str">
            <v>MACS_J0242.6-2132</v>
          </cell>
          <cell r="P211">
            <v>-68.09</v>
          </cell>
          <cell r="R211">
            <v>12.91</v>
          </cell>
        </row>
        <row r="212">
          <cell r="A212" t="str">
            <v>ABELL_1736</v>
          </cell>
          <cell r="P212">
            <v>-66.739999999999995</v>
          </cell>
          <cell r="R212">
            <v>1.976</v>
          </cell>
        </row>
        <row r="213">
          <cell r="A213" t="str">
            <v>MCXC_J2011.3-5725</v>
          </cell>
          <cell r="P213">
            <v>-84.42</v>
          </cell>
          <cell r="R213">
            <v>3.22</v>
          </cell>
        </row>
        <row r="214">
          <cell r="A214" t="str">
            <v>ABELL_3532</v>
          </cell>
          <cell r="P214">
            <v>31.9</v>
          </cell>
          <cell r="R214">
            <v>3.8490000000000002</v>
          </cell>
        </row>
        <row r="215">
          <cell r="A215" t="str">
            <v>ABELL_0514</v>
          </cell>
          <cell r="P215">
            <v>-69.680000000000007</v>
          </cell>
          <cell r="R215">
            <v>0.97760000000000002</v>
          </cell>
        </row>
        <row r="216">
          <cell r="A216" t="str">
            <v>SDSS-C4-DR3_3144</v>
          </cell>
          <cell r="P216">
            <v>50.57</v>
          </cell>
          <cell r="R216">
            <v>37.86</v>
          </cell>
        </row>
        <row r="217">
          <cell r="A217" t="str">
            <v>ABELL_2667</v>
          </cell>
          <cell r="P217">
            <v>56.34</v>
          </cell>
          <cell r="R217">
            <v>2.0720000000000001</v>
          </cell>
        </row>
        <row r="218">
          <cell r="A218" t="str">
            <v>400d_J0340-2840</v>
          </cell>
          <cell r="P218">
            <v>-65.72</v>
          </cell>
          <cell r="R218">
            <v>20.059999999999999</v>
          </cell>
        </row>
        <row r="219">
          <cell r="A219" t="str">
            <v>ABELL_2717</v>
          </cell>
          <cell r="P219">
            <v>-14.74</v>
          </cell>
          <cell r="R219">
            <v>1.0089999999999999</v>
          </cell>
        </row>
        <row r="220">
          <cell r="A220" t="str">
            <v>ABELL_3292</v>
          </cell>
          <cell r="P220">
            <v>57.27</v>
          </cell>
          <cell r="R220">
            <v>4.2729999999999997</v>
          </cell>
        </row>
        <row r="221">
          <cell r="A221" t="str">
            <v>A1882a</v>
          </cell>
          <cell r="P221">
            <v>-68.31</v>
          </cell>
          <cell r="R221">
            <v>2.4590000000000001</v>
          </cell>
        </row>
        <row r="222">
          <cell r="A222" t="str">
            <v>SDSSCGB_08842</v>
          </cell>
          <cell r="P222">
            <v>73.97</v>
          </cell>
          <cell r="R222">
            <v>16.489999999999998</v>
          </cell>
        </row>
        <row r="223">
          <cell r="A223" t="str">
            <v>2MASX_J13312961+1107566</v>
          </cell>
          <cell r="P223">
            <v>23.66</v>
          </cell>
          <cell r="R223">
            <v>35.56</v>
          </cell>
        </row>
        <row r="224">
          <cell r="A224" t="str">
            <v>WHL_J015916.9+002932</v>
          </cell>
          <cell r="P224">
            <v>-8.5990000000000002</v>
          </cell>
          <cell r="R224">
            <v>35.82</v>
          </cell>
        </row>
        <row r="225">
          <cell r="A225" t="str">
            <v>CIZA_J2242.8+5301</v>
          </cell>
          <cell r="P225">
            <v>9.234</v>
          </cell>
          <cell r="R225">
            <v>0.57010000000000005</v>
          </cell>
        </row>
        <row r="226">
          <cell r="A226" t="str">
            <v>ABELL_3343</v>
          </cell>
          <cell r="P226">
            <v>-65.58</v>
          </cell>
          <cell r="R226">
            <v>4.077</v>
          </cell>
        </row>
        <row r="227">
          <cell r="A227" t="str">
            <v>MaxBCG_J016.70077+01.05926</v>
          </cell>
          <cell r="P227">
            <v>40.880000000000003</v>
          </cell>
          <cell r="R227">
            <v>2.5230000000000001</v>
          </cell>
        </row>
        <row r="228">
          <cell r="A228" t="str">
            <v>MCXC_J1958.2-3011</v>
          </cell>
          <cell r="P228">
            <v>-14.6</v>
          </cell>
          <cell r="R228">
            <v>5.9649999999999999</v>
          </cell>
        </row>
        <row r="229">
          <cell r="A229" t="str">
            <v>ABELL_2556</v>
          </cell>
          <cell r="P229">
            <v>-38.630000000000003</v>
          </cell>
          <cell r="R229">
            <v>1.768</v>
          </cell>
        </row>
        <row r="230">
          <cell r="A230" t="str">
            <v>ABELL_2111</v>
          </cell>
          <cell r="P230">
            <v>-34.869999999999997</v>
          </cell>
          <cell r="R230">
            <v>1.333</v>
          </cell>
        </row>
        <row r="231">
          <cell r="A231" t="str">
            <v>400d_J0838+1948</v>
          </cell>
          <cell r="P231">
            <v>71.98</v>
          </cell>
          <cell r="R231">
            <v>9.0109999999999992</v>
          </cell>
        </row>
        <row r="232">
          <cell r="A232" t="str">
            <v>SPT-CL_J2331-5051</v>
          </cell>
          <cell r="P232">
            <v>1.7130000000000001</v>
          </cell>
          <cell r="R232">
            <v>4.3730000000000002</v>
          </cell>
        </row>
        <row r="233">
          <cell r="A233" t="str">
            <v>MACS_J0647.8+7015</v>
          </cell>
          <cell r="P233">
            <v>-77.44</v>
          </cell>
          <cell r="R233">
            <v>1.5609999999999999</v>
          </cell>
        </row>
        <row r="234">
          <cell r="A234" t="str">
            <v>MACS_J2214-1359</v>
          </cell>
          <cell r="P234">
            <v>41.89</v>
          </cell>
          <cell r="R234">
            <v>2.1579999999999999</v>
          </cell>
        </row>
        <row r="235">
          <cell r="A235" t="str">
            <v>ClG_1137.5+6625</v>
          </cell>
          <cell r="P235">
            <v>-72.3</v>
          </cell>
          <cell r="R235">
            <v>7.6669999999999998</v>
          </cell>
        </row>
        <row r="236">
          <cell r="A236" t="str">
            <v>XMMU_J1230.3+1339</v>
          </cell>
          <cell r="P236">
            <v>-14.95</v>
          </cell>
          <cell r="R236">
            <v>12.81</v>
          </cell>
        </row>
        <row r="237">
          <cell r="A237" t="str">
            <v>ABELL_0697</v>
          </cell>
          <cell r="P237">
            <v>-16.16</v>
          </cell>
          <cell r="R237">
            <v>1.504</v>
          </cell>
        </row>
        <row r="238">
          <cell r="A238" t="str">
            <v>ZwCl_0823.2+0425</v>
          </cell>
          <cell r="P238">
            <v>-48.71</v>
          </cell>
          <cell r="R238">
            <v>5.3049999999999997</v>
          </cell>
        </row>
        <row r="239">
          <cell r="A239" t="str">
            <v>MCXC_J2049.9-3216</v>
          </cell>
          <cell r="P239">
            <v>-12.02</v>
          </cell>
          <cell r="R239">
            <v>2.6</v>
          </cell>
        </row>
        <row r="240">
          <cell r="A240" t="str">
            <v>ACT-CL_J0304-4921</v>
          </cell>
          <cell r="P240">
            <v>58.54</v>
          </cell>
          <cell r="R240">
            <v>2.9689999999999999</v>
          </cell>
        </row>
        <row r="241">
          <cell r="A241" t="str">
            <v>NSC_J174715+451155</v>
          </cell>
          <cell r="P241">
            <v>11.51</v>
          </cell>
          <cell r="R241">
            <v>3.0779999999999998</v>
          </cell>
        </row>
        <row r="242">
          <cell r="A242" t="str">
            <v>400d_J1120+2326</v>
          </cell>
          <cell r="P242">
            <v>-19.38</v>
          </cell>
          <cell r="R242">
            <v>29.41</v>
          </cell>
        </row>
        <row r="243">
          <cell r="A243" t="str">
            <v>MCXC_J0352.9+1941</v>
          </cell>
          <cell r="P243">
            <v>57.99</v>
          </cell>
          <cell r="R243">
            <v>1.7869999999999999</v>
          </cell>
        </row>
        <row r="244">
          <cell r="A244" t="str">
            <v>ABELL_3395_SW</v>
          </cell>
          <cell r="P244">
            <v>-39.71</v>
          </cell>
          <cell r="R244">
            <v>0.94199999999999995</v>
          </cell>
        </row>
        <row r="245">
          <cell r="A245" t="str">
            <v>ABELL_3667</v>
          </cell>
          <cell r="P245">
            <v>57.84</v>
          </cell>
          <cell r="R245">
            <v>0.376</v>
          </cell>
        </row>
        <row r="246">
          <cell r="A246" t="str">
            <v>WARP_J1113.0-2615</v>
          </cell>
          <cell r="P246">
            <v>-79.2</v>
          </cell>
          <cell r="R246">
            <v>16.7</v>
          </cell>
        </row>
        <row r="247">
          <cell r="A247" t="str">
            <v>ABELL_1569</v>
          </cell>
          <cell r="P247">
            <v>-82.05</v>
          </cell>
          <cell r="R247">
            <v>6.548</v>
          </cell>
        </row>
        <row r="248">
          <cell r="A248" t="str">
            <v>ABELL_1413</v>
          </cell>
          <cell r="P248">
            <v>-12.49</v>
          </cell>
          <cell r="R248">
            <v>0.50309999999999999</v>
          </cell>
        </row>
        <row r="249">
          <cell r="A249" t="str">
            <v>RCS_J2327-0204</v>
          </cell>
          <cell r="P249">
            <v>-3.2989999999999999</v>
          </cell>
          <cell r="R249">
            <v>12.88</v>
          </cell>
        </row>
        <row r="250">
          <cell r="A250" t="str">
            <v>ABELL_1664</v>
          </cell>
          <cell r="P250">
            <v>32.869999999999997</v>
          </cell>
          <cell r="R250">
            <v>1.411</v>
          </cell>
        </row>
        <row r="251">
          <cell r="A251" t="str">
            <v>MCXC_J0331.1-2100</v>
          </cell>
          <cell r="P251">
            <v>79.75</v>
          </cell>
          <cell r="R251">
            <v>2.7770000000000001</v>
          </cell>
        </row>
        <row r="252">
          <cell r="A252" t="str">
            <v>a1750ss</v>
          </cell>
          <cell r="P252">
            <v>-70.97</v>
          </cell>
          <cell r="R252">
            <v>16.43</v>
          </cell>
        </row>
        <row r="253">
          <cell r="A253" t="str">
            <v>WARP_J0030.5+2618</v>
          </cell>
          <cell r="P253">
            <v>-80.02</v>
          </cell>
          <cell r="R253">
            <v>17.510000000000002</v>
          </cell>
        </row>
        <row r="254">
          <cell r="A254" t="str">
            <v>ABELL_1763</v>
          </cell>
          <cell r="P254">
            <v>70.400000000000006</v>
          </cell>
          <cell r="R254">
            <v>1.7669999999999999</v>
          </cell>
        </row>
        <row r="255">
          <cell r="A255" t="str">
            <v>MACS_J2245.0+2637</v>
          </cell>
          <cell r="P255">
            <v>-40.26</v>
          </cell>
          <cell r="R255">
            <v>3.2250000000000001</v>
          </cell>
        </row>
        <row r="256">
          <cell r="A256" t="str">
            <v>MACS_J0257-2325</v>
          </cell>
          <cell r="P256">
            <v>85.76</v>
          </cell>
          <cell r="R256">
            <v>2.653</v>
          </cell>
        </row>
        <row r="257">
          <cell r="A257" t="str">
            <v>ABELL_2092</v>
          </cell>
          <cell r="P257">
            <v>7.2670000000000003</v>
          </cell>
          <cell r="R257">
            <v>13.78</v>
          </cell>
        </row>
        <row r="258">
          <cell r="A258" t="str">
            <v>MACS_J1108.9+0906</v>
          </cell>
          <cell r="P258">
            <v>17.27</v>
          </cell>
          <cell r="R258">
            <v>4.4669999999999996</v>
          </cell>
        </row>
        <row r="259">
          <cell r="A259" t="str">
            <v>NGC_6269</v>
          </cell>
          <cell r="P259">
            <v>-81.2</v>
          </cell>
          <cell r="R259">
            <v>8.9870000000000001</v>
          </cell>
        </row>
        <row r="260">
          <cell r="A260" t="str">
            <v>ABELL_2670</v>
          </cell>
          <cell r="P260">
            <v>74.05</v>
          </cell>
          <cell r="R260">
            <v>13.54</v>
          </cell>
        </row>
        <row r="261">
          <cell r="A261" t="str">
            <v>ABELL_0133</v>
          </cell>
          <cell r="P261">
            <v>26.18</v>
          </cell>
          <cell r="R261">
            <v>0.5625</v>
          </cell>
        </row>
        <row r="262">
          <cell r="A262" t="str">
            <v>ZwCl_0008.8+5215</v>
          </cell>
          <cell r="P262">
            <v>74.94</v>
          </cell>
          <cell r="R262">
            <v>1.9219999999999999</v>
          </cell>
        </row>
        <row r="263">
          <cell r="A263" t="str">
            <v>ZwCl_0806.5+2822</v>
          </cell>
          <cell r="P263">
            <v>28.21</v>
          </cell>
          <cell r="R263">
            <v>9.1720000000000006</v>
          </cell>
        </row>
        <row r="264">
          <cell r="A264" t="str">
            <v>ABELL_2597</v>
          </cell>
          <cell r="P264">
            <v>-64.31</v>
          </cell>
          <cell r="R264">
            <v>1.4219999999999999</v>
          </cell>
        </row>
        <row r="265">
          <cell r="A265" t="str">
            <v>NSC_J084254+292723</v>
          </cell>
          <cell r="P265">
            <v>-11.86</v>
          </cell>
          <cell r="R265">
            <v>4.42</v>
          </cell>
        </row>
        <row r="266">
          <cell r="A266" t="str">
            <v>MCXC_J1000.5+4409</v>
          </cell>
          <cell r="P266">
            <v>-77.44</v>
          </cell>
          <cell r="R266">
            <v>1.6259999999999999</v>
          </cell>
        </row>
        <row r="267">
          <cell r="A267" t="str">
            <v>ABELL_1068</v>
          </cell>
          <cell r="P267">
            <v>-45.91</v>
          </cell>
          <cell r="R267">
            <v>0.89200000000000002</v>
          </cell>
        </row>
        <row r="268">
          <cell r="A268" t="str">
            <v>MACS_J1115.8+0129</v>
          </cell>
          <cell r="P268">
            <v>-31.29</v>
          </cell>
          <cell r="R268">
            <v>1.3859999999999999</v>
          </cell>
        </row>
        <row r="269">
          <cell r="A269" t="str">
            <v>NSCS_J150117+422152</v>
          </cell>
          <cell r="P269">
            <v>-80.56</v>
          </cell>
          <cell r="R269">
            <v>6.2430000000000003</v>
          </cell>
        </row>
        <row r="270">
          <cell r="A270" t="str">
            <v>ABELL_2409</v>
          </cell>
          <cell r="P270">
            <v>-7.9050000000000002</v>
          </cell>
          <cell r="R270">
            <v>3.7170000000000001</v>
          </cell>
        </row>
        <row r="271">
          <cell r="A271" t="str">
            <v>ABELL_S0592</v>
          </cell>
          <cell r="P271">
            <v>59.2</v>
          </cell>
          <cell r="R271">
            <v>1.3540000000000001</v>
          </cell>
        </row>
        <row r="272">
          <cell r="A272" t="str">
            <v>ABELL_2261</v>
          </cell>
          <cell r="P272">
            <v>62.3</v>
          </cell>
          <cell r="R272">
            <v>2.8540000000000001</v>
          </cell>
        </row>
        <row r="273">
          <cell r="A273" t="str">
            <v>BLOX_J1056.9-0337.3</v>
          </cell>
          <cell r="P273">
            <v>89.14</v>
          </cell>
          <cell r="R273">
            <v>1.6060000000000001</v>
          </cell>
        </row>
        <row r="274">
          <cell r="A274" t="str">
            <v>WHL_J125933.4+600409</v>
          </cell>
          <cell r="P274">
            <v>-26.02</v>
          </cell>
          <cell r="R274">
            <v>2.3879999999999999</v>
          </cell>
        </row>
        <row r="275">
          <cell r="A275" t="str">
            <v>MACS_J0358.8-2955</v>
          </cell>
          <cell r="P275">
            <v>53.65</v>
          </cell>
          <cell r="R275">
            <v>1.613</v>
          </cell>
        </row>
        <row r="276">
          <cell r="A276" t="str">
            <v>WHL_J022825.9+003202</v>
          </cell>
          <cell r="P276">
            <v>-36.799999999999997</v>
          </cell>
          <cell r="R276">
            <v>4.7329999999999997</v>
          </cell>
        </row>
        <row r="277">
          <cell r="A277" t="str">
            <v>ABELL_0068</v>
          </cell>
          <cell r="P277">
            <v>-47.2</v>
          </cell>
          <cell r="R277">
            <v>2.2970000000000002</v>
          </cell>
        </row>
        <row r="278">
          <cell r="A278" t="str">
            <v>ABELL_4023</v>
          </cell>
          <cell r="P278">
            <v>1.0429999999999999</v>
          </cell>
          <cell r="R278">
            <v>1.4850000000000001</v>
          </cell>
        </row>
        <row r="279">
          <cell r="A279" t="str">
            <v>MCXC_J0520.7-1328</v>
          </cell>
          <cell r="P279">
            <v>-82.64</v>
          </cell>
          <cell r="R279">
            <v>5.2910000000000004</v>
          </cell>
        </row>
        <row r="280">
          <cell r="A280" t="str">
            <v>ABELL_3330</v>
          </cell>
          <cell r="P280">
            <v>19.989999999999998</v>
          </cell>
          <cell r="R280">
            <v>4.617</v>
          </cell>
        </row>
        <row r="281">
          <cell r="A281" t="str">
            <v>400d_J1206-0744</v>
          </cell>
          <cell r="P281">
            <v>66.47</v>
          </cell>
          <cell r="R281">
            <v>8.3279999999999994</v>
          </cell>
        </row>
        <row r="282">
          <cell r="A282" t="str">
            <v>SC_1329-313</v>
          </cell>
          <cell r="P282">
            <v>87.39</v>
          </cell>
          <cell r="R282">
            <v>2.4630000000000001</v>
          </cell>
        </row>
        <row r="283">
          <cell r="A283" t="str">
            <v>ABELL_3911</v>
          </cell>
          <cell r="P283">
            <v>-44.54</v>
          </cell>
          <cell r="R283">
            <v>1.3049999999999999</v>
          </cell>
        </row>
        <row r="284">
          <cell r="A284" t="str">
            <v>MCXC_J0819.6+6336</v>
          </cell>
          <cell r="P284">
            <v>77.62</v>
          </cell>
          <cell r="R284">
            <v>19.07</v>
          </cell>
        </row>
        <row r="285">
          <cell r="A285" t="str">
            <v>MCXC_J2031.8-4037</v>
          </cell>
          <cell r="P285">
            <v>-79.44</v>
          </cell>
          <cell r="R285">
            <v>8.5060000000000002</v>
          </cell>
        </row>
        <row r="286">
          <cell r="A286" t="str">
            <v>400d_J0245+0936</v>
          </cell>
          <cell r="P286">
            <v>78.72</v>
          </cell>
          <cell r="R286">
            <v>23.98</v>
          </cell>
        </row>
        <row r="287">
          <cell r="A287" t="str">
            <v>NSCS_J121831+401236</v>
          </cell>
          <cell r="P287">
            <v>-41.49</v>
          </cell>
          <cell r="R287">
            <v>5.9560000000000004</v>
          </cell>
        </row>
        <row r="288">
          <cell r="A288" t="str">
            <v>ABELL_1446</v>
          </cell>
          <cell r="P288">
            <v>-48.85</v>
          </cell>
          <cell r="R288">
            <v>5.2080000000000002</v>
          </cell>
        </row>
        <row r="289">
          <cell r="A289" t="str">
            <v>ZwCl_0735.7+7421</v>
          </cell>
          <cell r="P289">
            <v>-11.53</v>
          </cell>
          <cell r="R289">
            <v>0.41049999999999998</v>
          </cell>
        </row>
        <row r="290">
          <cell r="A290" t="str">
            <v>MCXC_J1010.5-1239</v>
          </cell>
          <cell r="P290">
            <v>-6.1980000000000004</v>
          </cell>
          <cell r="R290">
            <v>2.7050000000000001</v>
          </cell>
        </row>
        <row r="291">
          <cell r="A291" t="str">
            <v>MCXC_J0301.6+0155</v>
          </cell>
          <cell r="P291">
            <v>-5.9089999999999998</v>
          </cell>
          <cell r="R291">
            <v>9.09</v>
          </cell>
        </row>
        <row r="292">
          <cell r="A292" t="str">
            <v>MACS_J1824.3+4309</v>
          </cell>
          <cell r="P292">
            <v>-49.9</v>
          </cell>
          <cell r="R292">
            <v>34.380000000000003</v>
          </cell>
        </row>
        <row r="293">
          <cell r="A293" t="str">
            <v>ABELL_1033</v>
          </cell>
          <cell r="P293">
            <v>22.85</v>
          </cell>
          <cell r="R293">
            <v>1.7549999999999999</v>
          </cell>
        </row>
        <row r="294">
          <cell r="A294" t="str">
            <v>MKW_03s</v>
          </cell>
          <cell r="P294">
            <v>-72.150000000000006</v>
          </cell>
          <cell r="R294">
            <v>0.48659999999999998</v>
          </cell>
        </row>
        <row r="295">
          <cell r="A295" t="str">
            <v>ABELL_3404</v>
          </cell>
          <cell r="P295">
            <v>46.73</v>
          </cell>
          <cell r="R295">
            <v>1.6539999999999999</v>
          </cell>
        </row>
        <row r="296">
          <cell r="A296" t="str">
            <v>ABELL_3854</v>
          </cell>
          <cell r="P296">
            <v>-20.89</v>
          </cell>
          <cell r="R296">
            <v>25.95</v>
          </cell>
        </row>
        <row r="297">
          <cell r="A297" t="str">
            <v>MACS_J0429.6-0253</v>
          </cell>
          <cell r="P297">
            <v>-13.6</v>
          </cell>
          <cell r="R297">
            <v>4.3440000000000003</v>
          </cell>
        </row>
        <row r="298">
          <cell r="A298" t="str">
            <v>MCXC_J1130.0+3637</v>
          </cell>
          <cell r="P298">
            <v>76.22</v>
          </cell>
          <cell r="R298">
            <v>1.379</v>
          </cell>
        </row>
        <row r="299">
          <cell r="A299" t="str">
            <v>ABELL_1240</v>
          </cell>
          <cell r="P299">
            <v>-17.149999999999999</v>
          </cell>
          <cell r="R299">
            <v>3.339</v>
          </cell>
        </row>
        <row r="300">
          <cell r="A300" t="str">
            <v>MCXC_J2344.2-0422</v>
          </cell>
          <cell r="P300">
            <v>-24.43</v>
          </cell>
          <cell r="R300">
            <v>2.9750000000000001</v>
          </cell>
        </row>
        <row r="301">
          <cell r="A301" t="str">
            <v>WHL_J142716.1+440730</v>
          </cell>
          <cell r="P301">
            <v>9.3010000000000002</v>
          </cell>
          <cell r="R301">
            <v>3.673</v>
          </cell>
        </row>
        <row r="302">
          <cell r="A302" t="str">
            <v>MACS_J1006.9+3200</v>
          </cell>
          <cell r="P302">
            <v>4.2699999999999996</v>
          </cell>
          <cell r="R302">
            <v>2.653</v>
          </cell>
        </row>
        <row r="303">
          <cell r="A303" t="str">
            <v>ABELL_2034</v>
          </cell>
          <cell r="P303">
            <v>37.97</v>
          </cell>
          <cell r="R303">
            <v>0.77129999999999999</v>
          </cell>
        </row>
        <row r="304">
          <cell r="A304" t="str">
            <v>MACS_J0329.6-0211</v>
          </cell>
          <cell r="P304">
            <v>-26.86</v>
          </cell>
          <cell r="R304">
            <v>5.4009999999999998</v>
          </cell>
        </row>
        <row r="305">
          <cell r="A305" t="str">
            <v>MCXC_J1514.9-1523</v>
          </cell>
          <cell r="P305">
            <v>24.82</v>
          </cell>
          <cell r="R305">
            <v>0.93940000000000001</v>
          </cell>
        </row>
        <row r="306">
          <cell r="A306" t="str">
            <v>WHL_J134850.2+491801</v>
          </cell>
          <cell r="P306">
            <v>5.6980000000000004</v>
          </cell>
          <cell r="R306">
            <v>9.1720000000000006</v>
          </cell>
        </row>
        <row r="307">
          <cell r="A307" t="str">
            <v>MACS_J0416.1-2403</v>
          </cell>
          <cell r="P307">
            <v>37.56</v>
          </cell>
          <cell r="R307">
            <v>0.93630000000000002</v>
          </cell>
        </row>
        <row r="308">
          <cell r="A308" t="str">
            <v>ABELL_1651</v>
          </cell>
          <cell r="P308">
            <v>82.23</v>
          </cell>
          <cell r="R308">
            <v>2.1640000000000001</v>
          </cell>
        </row>
        <row r="309">
          <cell r="A309" t="str">
            <v>ABELL_3112</v>
          </cell>
          <cell r="P309">
            <v>18.309999999999999</v>
          </cell>
          <cell r="R309">
            <v>0.2994</v>
          </cell>
        </row>
        <row r="310">
          <cell r="A310" t="str">
            <v>RCS_J2319.8+0038</v>
          </cell>
          <cell r="P310">
            <v>-76.930000000000007</v>
          </cell>
          <cell r="R310">
            <v>6.6749999999999998</v>
          </cell>
        </row>
        <row r="311">
          <cell r="A311" t="str">
            <v>SDSS_J015021.27-100530.5_GROUP</v>
          </cell>
          <cell r="P311">
            <v>-45.92</v>
          </cell>
          <cell r="R311">
            <v>4.4989999999999997</v>
          </cell>
        </row>
        <row r="312">
          <cell r="A312" t="str">
            <v>ABELL_1930</v>
          </cell>
          <cell r="P312">
            <v>1.784</v>
          </cell>
          <cell r="R312">
            <v>2.5419999999999998</v>
          </cell>
        </row>
        <row r="313">
          <cell r="A313" t="str">
            <v>NSC_J092017+303027</v>
          </cell>
          <cell r="P313">
            <v>-40.04</v>
          </cell>
          <cell r="R313">
            <v>4.2489999999999997</v>
          </cell>
        </row>
        <row r="314">
          <cell r="A314" t="str">
            <v>MACS_J0011.7-1523</v>
          </cell>
          <cell r="P314">
            <v>-82.41</v>
          </cell>
          <cell r="R314">
            <v>2.105</v>
          </cell>
        </row>
        <row r="315">
          <cell r="A315" t="str">
            <v>ABELL_2645</v>
          </cell>
          <cell r="P315">
            <v>32.08</v>
          </cell>
          <cell r="R315">
            <v>2.992</v>
          </cell>
        </row>
        <row r="316">
          <cell r="A316" t="str">
            <v>RCS_J2318.5+0034</v>
          </cell>
          <cell r="P316">
            <v>34.26</v>
          </cell>
          <cell r="R316">
            <v>9.593</v>
          </cell>
        </row>
        <row r="317">
          <cell r="A317" t="str">
            <v>GMBCG_J215.94948+24.07846</v>
          </cell>
          <cell r="P317">
            <v>24.66</v>
          </cell>
          <cell r="R317">
            <v>2.6819999999999999</v>
          </cell>
        </row>
        <row r="318">
          <cell r="A318" t="str">
            <v>ABELL_1750C</v>
          </cell>
          <cell r="P318">
            <v>48.87</v>
          </cell>
          <cell r="R318">
            <v>4.7279999999999998</v>
          </cell>
        </row>
        <row r="319">
          <cell r="A319" t="str">
            <v>MACS_J1149.6+2223</v>
          </cell>
          <cell r="P319">
            <v>-35.950000000000003</v>
          </cell>
          <cell r="R319">
            <v>1.43</v>
          </cell>
        </row>
        <row r="320">
          <cell r="A320" t="str">
            <v>SPT-CL_J0555-6405</v>
          </cell>
          <cell r="P320">
            <v>78.14</v>
          </cell>
          <cell r="R320">
            <v>4.3979999999999997</v>
          </cell>
        </row>
      </sheetData>
      <sheetData sheetId="5">
        <row r="1">
          <cell r="A1" t="str">
            <v>Name</v>
          </cell>
          <cell r="C1" t="str">
            <v>wd</v>
          </cell>
          <cell r="E1" t="str">
            <v>wserr</v>
          </cell>
          <cell r="F1" t="str">
            <v>p30d</v>
          </cell>
          <cell r="H1" t="str">
            <v>p30serr</v>
          </cell>
          <cell r="M1" t="str">
            <v>ellipd</v>
          </cell>
          <cell r="O1" t="str">
            <v>ellipserr</v>
          </cell>
          <cell r="S1" t="str">
            <v>0.4R500_kpc/h71</v>
          </cell>
          <cell r="T1" t="str">
            <v>c0.4R500</v>
          </cell>
          <cell r="U1" t="str">
            <v>ec0.4R500</v>
          </cell>
        </row>
        <row r="2">
          <cell r="A2" t="str">
            <v>ABELL_0141</v>
          </cell>
          <cell r="C2">
            <v>6.6769999999999996E-2</v>
          </cell>
          <cell r="E2">
            <v>6.5290000000000001E-3</v>
          </cell>
          <cell r="F2">
            <v>1.8300000000000001E-6</v>
          </cell>
          <cell r="H2">
            <v>3.77E-7</v>
          </cell>
          <cell r="M2">
            <v>0.76539999999999997</v>
          </cell>
          <cell r="O2">
            <v>0.1187</v>
          </cell>
          <cell r="S2">
            <v>488.56322</v>
          </cell>
          <cell r="T2">
            <v>0.34563297350343475</v>
          </cell>
          <cell r="U2">
            <v>1.8903893383780523E-2</v>
          </cell>
        </row>
        <row r="3">
          <cell r="A3" t="str">
            <v>RBS_0653</v>
          </cell>
          <cell r="C3">
            <v>2.911E-2</v>
          </cell>
          <cell r="E3">
            <v>1.1770000000000001E-3</v>
          </cell>
          <cell r="F3">
            <v>1.3300000000000001E-7</v>
          </cell>
          <cell r="H3">
            <v>2.92E-8</v>
          </cell>
          <cell r="M3">
            <v>0.95340000000000003</v>
          </cell>
          <cell r="O3">
            <v>3.9740000000000001E-3</v>
          </cell>
          <cell r="S3">
            <v>545.62829999999997</v>
          </cell>
          <cell r="T3">
            <v>0.53013085399449034</v>
          </cell>
          <cell r="U3">
            <v>5.0747709435453531E-3</v>
          </cell>
        </row>
        <row r="4">
          <cell r="A4" t="str">
            <v>ABELL_0401</v>
          </cell>
          <cell r="C4">
            <v>1.2619999999999999E-2</v>
          </cell>
          <cell r="E4">
            <v>2.6450000000000002E-3</v>
          </cell>
          <cell r="F4">
            <v>1.67E-7</v>
          </cell>
          <cell r="H4">
            <v>6.8599999999999999E-9</v>
          </cell>
          <cell r="M4">
            <v>0.90549999999999997</v>
          </cell>
          <cell r="O4">
            <v>1.2489999999999999E-3</v>
          </cell>
          <cell r="S4">
            <v>546.61210000000005</v>
          </cell>
          <cell r="T4">
            <v>0.51016225448334751</v>
          </cell>
          <cell r="U4">
            <v>1.2967511571239413E-3</v>
          </cell>
        </row>
        <row r="5">
          <cell r="A5" t="str">
            <v>WARP_J2302.8+0843</v>
          </cell>
          <cell r="C5">
            <v>2.1399999999999999E-2</v>
          </cell>
          <cell r="E5">
            <v>5.1650000000000003E-3</v>
          </cell>
          <cell r="F5">
            <v>2.5199999999999998E-7</v>
          </cell>
          <cell r="H5">
            <v>2.67E-7</v>
          </cell>
          <cell r="M5">
            <v>0.98370000000000002</v>
          </cell>
          <cell r="O5">
            <v>2.4320000000000001E-2</v>
          </cell>
          <cell r="S5">
            <v>364.89213000000001</v>
          </cell>
          <cell r="T5" t="str">
            <v>-</v>
          </cell>
          <cell r="U5" t="str">
            <v>-</v>
          </cell>
        </row>
        <row r="6">
          <cell r="A6" t="str">
            <v>ACT-CL_J0237-4939</v>
          </cell>
          <cell r="C6">
            <v>2.6419999999999999E-2</v>
          </cell>
          <cell r="E6">
            <v>8.2559999999999995E-3</v>
          </cell>
          <cell r="F6">
            <v>1.8199999999999999E-7</v>
          </cell>
          <cell r="H6">
            <v>2.1299999999999999E-7</v>
          </cell>
          <cell r="M6">
            <v>0.87849999999999995</v>
          </cell>
          <cell r="O6">
            <v>1.5480000000000001E-2</v>
          </cell>
          <cell r="S6">
            <v>342.83190000000002</v>
          </cell>
          <cell r="T6" t="str">
            <v>-</v>
          </cell>
          <cell r="U6" t="str">
            <v>-</v>
          </cell>
        </row>
        <row r="7">
          <cell r="A7" t="str">
            <v>ABELL_2146</v>
          </cell>
          <cell r="C7">
            <v>4.4830000000000002E-2</v>
          </cell>
          <cell r="E7">
            <v>7.2009999999999999E-4</v>
          </cell>
          <cell r="F7">
            <v>5.0300000000000002E-9</v>
          </cell>
          <cell r="H7">
            <v>2.5099999999999998E-9</v>
          </cell>
          <cell r="M7">
            <v>0.93179999999999996</v>
          </cell>
          <cell r="O7">
            <v>2.5469999999999998E-3</v>
          </cell>
          <cell r="S7">
            <v>529.05886999999996</v>
          </cell>
          <cell r="T7">
            <v>0.59377764671188438</v>
          </cell>
          <cell r="U7">
            <v>4.2416745810751871E-3</v>
          </cell>
        </row>
        <row r="8">
          <cell r="A8" t="str">
            <v>ABELL_S0579</v>
          </cell>
          <cell r="C8">
            <v>3.6600000000000001E-2</v>
          </cell>
          <cell r="E8">
            <v>3.2030000000000001E-3</v>
          </cell>
          <cell r="F8">
            <v>2.9200000000000002E-7</v>
          </cell>
          <cell r="H8">
            <v>1.4000000000000001E-7</v>
          </cell>
          <cell r="M8">
            <v>0.88680000000000003</v>
          </cell>
          <cell r="O8">
            <v>1.2160000000000001E-2</v>
          </cell>
          <cell r="S8">
            <v>409.59177</v>
          </cell>
          <cell r="T8">
            <v>0.45266030013642566</v>
          </cell>
          <cell r="U8">
            <v>1.8223149424652155E-2</v>
          </cell>
        </row>
        <row r="9">
          <cell r="A9" t="str">
            <v>400d_J0318-0302</v>
          </cell>
          <cell r="C9">
            <v>8.6430000000000007E-2</v>
          </cell>
          <cell r="E9">
            <v>1.098E-2</v>
          </cell>
          <cell r="F9">
            <v>1.8E-7</v>
          </cell>
          <cell r="H9">
            <v>2.4200000000000002E-7</v>
          </cell>
          <cell r="M9">
            <v>0.94359999999999999</v>
          </cell>
          <cell r="O9">
            <v>4.4290000000000003E-2</v>
          </cell>
          <cell r="S9">
            <v>382.08033999999998</v>
          </cell>
          <cell r="T9" t="str">
            <v>-</v>
          </cell>
          <cell r="U9" t="str">
            <v>-</v>
          </cell>
        </row>
        <row r="10">
          <cell r="A10" t="str">
            <v>MACS_J0717+3745</v>
          </cell>
          <cell r="C10">
            <v>0.1226</v>
          </cell>
          <cell r="E10">
            <v>6.1260000000000004E-3</v>
          </cell>
          <cell r="F10">
            <v>1.35E-6</v>
          </cell>
          <cell r="H10">
            <v>1.23E-7</v>
          </cell>
          <cell r="M10">
            <v>0.83189999999999997</v>
          </cell>
          <cell r="O10">
            <v>3.3660000000000001E-3</v>
          </cell>
          <cell r="S10">
            <v>574.50379999999996</v>
          </cell>
          <cell r="T10">
            <v>0.29804334936425325</v>
          </cell>
          <cell r="U10">
            <v>5.7901819892611723E-3</v>
          </cell>
        </row>
        <row r="11">
          <cell r="A11" t="str">
            <v>PLCKESZ_G292.51+21.98</v>
          </cell>
          <cell r="C11">
            <v>8.8849999999999998E-2</v>
          </cell>
          <cell r="E11">
            <v>6.6480000000000003E-3</v>
          </cell>
          <cell r="F11">
            <v>2.0100000000000001E-7</v>
          </cell>
          <cell r="H11">
            <v>1.11E-7</v>
          </cell>
          <cell r="M11">
            <v>0.90129999999999999</v>
          </cell>
          <cell r="O11">
            <v>2.4500000000000001E-2</v>
          </cell>
          <cell r="S11">
            <v>544.70381999999995</v>
          </cell>
          <cell r="T11" t="str">
            <v>-</v>
          </cell>
          <cell r="U11" t="str">
            <v>-</v>
          </cell>
        </row>
        <row r="12">
          <cell r="A12" t="str">
            <v>ClG_2153.8+3746</v>
          </cell>
          <cell r="C12">
            <v>4.53E-2</v>
          </cell>
          <cell r="E12">
            <v>9.1240000000000002E-3</v>
          </cell>
          <cell r="F12">
            <v>5.2700000000000002E-9</v>
          </cell>
          <cell r="H12">
            <v>6.1E-9</v>
          </cell>
          <cell r="M12">
            <v>0.94340000000000002</v>
          </cell>
          <cell r="O12">
            <v>3.0409999999999999E-3</v>
          </cell>
          <cell r="S12">
            <v>539.06739000000005</v>
          </cell>
          <cell r="T12">
            <v>0.40674157303370789</v>
          </cell>
          <cell r="U12">
            <v>5.1034960080525429E-3</v>
          </cell>
        </row>
        <row r="13">
          <cell r="A13" t="str">
            <v>ABELL_3128</v>
          </cell>
          <cell r="C13">
            <v>3.2890000000000003E-2</v>
          </cell>
          <cell r="E13">
            <v>2.6979999999999999E-3</v>
          </cell>
          <cell r="F13">
            <v>1.3599999999999999E-8</v>
          </cell>
          <cell r="H13">
            <v>2.1200000000000001E-8</v>
          </cell>
          <cell r="M13">
            <v>0.98470000000000002</v>
          </cell>
          <cell r="O13">
            <v>1.188E-2</v>
          </cell>
          <cell r="S13">
            <v>356.16656999999998</v>
          </cell>
          <cell r="T13">
            <v>0.41432903714935565</v>
          </cell>
          <cell r="U13">
            <v>1.7154127823505002E-2</v>
          </cell>
        </row>
        <row r="14">
          <cell r="A14" t="str">
            <v>ABELL_S1150</v>
          </cell>
          <cell r="C14">
            <v>1.9970000000000002E-2</v>
          </cell>
          <cell r="E14">
            <v>5.5729999999999998E-3</v>
          </cell>
          <cell r="F14">
            <v>5.6400000000000002E-8</v>
          </cell>
          <cell r="H14">
            <v>1.2800000000000001E-7</v>
          </cell>
          <cell r="M14">
            <v>0.95130000000000003</v>
          </cell>
          <cell r="O14">
            <v>3.3980000000000003E-2</v>
          </cell>
          <cell r="S14">
            <v>446.75776000000002</v>
          </cell>
          <cell r="T14" t="str">
            <v>-</v>
          </cell>
          <cell r="U14" t="str">
            <v>-</v>
          </cell>
        </row>
        <row r="15">
          <cell r="A15" t="str">
            <v>MACS_J0308.9+2645</v>
          </cell>
          <cell r="C15">
            <v>1.329E-2</v>
          </cell>
          <cell r="E15">
            <v>3.6519999999999999E-3</v>
          </cell>
          <cell r="F15">
            <v>3.5700000000000002E-8</v>
          </cell>
          <cell r="H15">
            <v>1.96E-8</v>
          </cell>
          <cell r="M15">
            <v>0.94710000000000005</v>
          </cell>
          <cell r="O15">
            <v>2.9170000000000001E-2</v>
          </cell>
          <cell r="S15">
            <v>540.63282000000004</v>
          </cell>
          <cell r="T15">
            <v>0.52428163333893463</v>
          </cell>
          <cell r="U15">
            <v>1.034467809192152E-2</v>
          </cell>
        </row>
        <row r="16">
          <cell r="A16" t="str">
            <v>ABELL_0399</v>
          </cell>
          <cell r="C16">
            <v>4.8829999999999998E-2</v>
          </cell>
          <cell r="E16">
            <v>2.892E-3</v>
          </cell>
          <cell r="F16">
            <v>2.1500000000000001E-7</v>
          </cell>
          <cell r="H16">
            <v>2.0199999999999999E-8</v>
          </cell>
          <cell r="M16">
            <v>0.91269999999999996</v>
          </cell>
          <cell r="O16">
            <v>2.4130000000000002E-3</v>
          </cell>
          <cell r="S16">
            <v>520.25210000000004</v>
          </cell>
          <cell r="T16">
            <v>0.29533508541392905</v>
          </cell>
          <cell r="U16">
            <v>3.2715360740739664E-3</v>
          </cell>
        </row>
        <row r="17">
          <cell r="A17" t="str">
            <v>SPT-CL_J0509-5342</v>
          </cell>
          <cell r="C17">
            <v>1.7330000000000002E-2</v>
          </cell>
          <cell r="E17">
            <v>4.398E-3</v>
          </cell>
          <cell r="F17">
            <v>6.0299999999999999E-7</v>
          </cell>
          <cell r="H17">
            <v>2.8999999999999998E-7</v>
          </cell>
          <cell r="M17">
            <v>0.87380000000000002</v>
          </cell>
          <cell r="O17">
            <v>1.677E-2</v>
          </cell>
          <cell r="S17">
            <v>505.75175999999999</v>
          </cell>
          <cell r="T17" t="str">
            <v>-</v>
          </cell>
          <cell r="U17" t="str">
            <v>-</v>
          </cell>
        </row>
        <row r="18">
          <cell r="A18" t="str">
            <v>ABELL_2443</v>
          </cell>
          <cell r="C18">
            <v>3.3759999999999998E-2</v>
          </cell>
          <cell r="E18">
            <v>5.6129999999999999E-3</v>
          </cell>
          <cell r="F18">
            <v>4.1300000000000001E-7</v>
          </cell>
          <cell r="H18">
            <v>7.3199999999999994E-8</v>
          </cell>
          <cell r="M18">
            <v>0.86080000000000001</v>
          </cell>
          <cell r="O18">
            <v>5.816E-3</v>
          </cell>
          <cell r="S18">
            <v>454.87608999999998</v>
          </cell>
          <cell r="T18">
            <v>0.51597027887677305</v>
          </cell>
          <cell r="U18">
            <v>1.0130791466817802E-2</v>
          </cell>
        </row>
        <row r="19">
          <cell r="A19" t="str">
            <v>Cygnus_A</v>
          </cell>
          <cell r="C19">
            <v>3.6659999999999998E-2</v>
          </cell>
          <cell r="E19">
            <v>2.5389999999999999E-4</v>
          </cell>
          <cell r="F19">
            <v>2.7300000000000002E-7</v>
          </cell>
          <cell r="H19">
            <v>8.0100000000000003E-9</v>
          </cell>
          <cell r="M19">
            <v>0.83560000000000001</v>
          </cell>
          <cell r="O19">
            <v>1.366E-3</v>
          </cell>
          <cell r="S19">
            <v>529.72136</v>
          </cell>
          <cell r="T19" t="str">
            <v>-</v>
          </cell>
          <cell r="U19" t="str">
            <v>-</v>
          </cell>
        </row>
        <row r="20">
          <cell r="A20" t="str">
            <v>ABELL_1835</v>
          </cell>
          <cell r="C20">
            <v>1.83E-2</v>
          </cell>
          <cell r="E20">
            <v>4.7169999999999997E-4</v>
          </cell>
          <cell r="F20">
            <v>5.6999999999999998E-9</v>
          </cell>
          <cell r="H20">
            <v>2.69E-9</v>
          </cell>
          <cell r="M20">
            <v>0.92400000000000004</v>
          </cell>
          <cell r="O20">
            <v>4.1130000000000003E-3</v>
          </cell>
          <cell r="S20">
            <v>589.66723000000002</v>
          </cell>
          <cell r="T20">
            <v>0.72172808132147404</v>
          </cell>
          <cell r="U20">
            <v>3.6313184609622078E-3</v>
          </cell>
        </row>
        <row r="21">
          <cell r="A21" t="str">
            <v>RCS_J2150-0442</v>
          </cell>
          <cell r="C21">
            <v>1.559E-2</v>
          </cell>
          <cell r="E21">
            <v>4.3790000000000001E-3</v>
          </cell>
          <cell r="F21">
            <v>1.89E-8</v>
          </cell>
          <cell r="H21">
            <v>9.0400000000000002E-8</v>
          </cell>
          <cell r="M21">
            <v>0.89370000000000005</v>
          </cell>
          <cell r="O21">
            <v>1.6729999999999998E-2</v>
          </cell>
          <cell r="S21">
            <v>320.77823000000001</v>
          </cell>
          <cell r="T21" t="str">
            <v>-</v>
          </cell>
          <cell r="U21" t="str">
            <v>-</v>
          </cell>
        </row>
        <row r="22">
          <cell r="A22" t="str">
            <v>ABELL_2813</v>
          </cell>
          <cell r="C22">
            <v>1.1089999999999999E-2</v>
          </cell>
          <cell r="E22">
            <v>7.6540000000000002E-3</v>
          </cell>
          <cell r="F22">
            <v>2.7100000000000001E-8</v>
          </cell>
          <cell r="H22">
            <v>4.1199999999999998E-8</v>
          </cell>
          <cell r="M22">
            <v>0.90090000000000003</v>
          </cell>
          <cell r="O22">
            <v>9.4540000000000006E-3</v>
          </cell>
          <cell r="S22">
            <v>493.00258000000002</v>
          </cell>
          <cell r="T22">
            <v>0.46250274906531774</v>
          </cell>
          <cell r="U22">
            <v>1.2203183361559913E-2</v>
          </cell>
        </row>
        <row r="23">
          <cell r="A23" t="str">
            <v>ABELL_3880</v>
          </cell>
          <cell r="C23">
            <v>6.8599999999999998E-3</v>
          </cell>
          <cell r="E23">
            <v>9.7759999999999991E-4</v>
          </cell>
          <cell r="F23">
            <v>6.5000000000000003E-9</v>
          </cell>
          <cell r="H23">
            <v>9.3999999999999998E-9</v>
          </cell>
          <cell r="M23">
            <v>0.92789999999999995</v>
          </cell>
          <cell r="O23">
            <v>7.45E-3</v>
          </cell>
          <cell r="S23">
            <v>322.84629000000001</v>
          </cell>
          <cell r="T23">
            <v>0.64327861817401566</v>
          </cell>
          <cell r="U23">
            <v>1.4913160606301703E-2</v>
          </cell>
        </row>
        <row r="24">
          <cell r="A24" t="str">
            <v>ABELL_0586</v>
          </cell>
          <cell r="C24">
            <v>5.5519999999999996E-3</v>
          </cell>
          <cell r="E24">
            <v>2.1069999999999999E-3</v>
          </cell>
          <cell r="F24">
            <v>4.0000000000000001E-8</v>
          </cell>
          <cell r="H24">
            <v>1.7999999999999999E-8</v>
          </cell>
          <cell r="M24">
            <v>0.94159999999999999</v>
          </cell>
          <cell r="O24">
            <v>8.5850000000000006E-3</v>
          </cell>
          <cell r="S24">
            <v>460.3605</v>
          </cell>
          <cell r="T24">
            <v>0.63676656817222455</v>
          </cell>
          <cell r="U24">
            <v>9.5006894519508323E-3</v>
          </cell>
        </row>
        <row r="25">
          <cell r="A25" t="str">
            <v>ABELL_S0780</v>
          </cell>
          <cell r="C25">
            <v>2.8930000000000001E-2</v>
          </cell>
          <cell r="E25">
            <v>9.5719999999999996E-4</v>
          </cell>
          <cell r="F25">
            <v>2.14E-8</v>
          </cell>
          <cell r="H25">
            <v>1.3799999999999999E-8</v>
          </cell>
          <cell r="M25">
            <v>0.95069999999999999</v>
          </cell>
          <cell r="O25">
            <v>6.0359999999999997E-3</v>
          </cell>
          <cell r="S25">
            <v>496.95506999999998</v>
          </cell>
          <cell r="T25">
            <v>0.65354135710747885</v>
          </cell>
          <cell r="U25">
            <v>5.0370882344901282E-3</v>
          </cell>
        </row>
        <row r="26">
          <cell r="A26" t="str">
            <v>MCXC_J1524.2-3154</v>
          </cell>
          <cell r="C26">
            <v>1.975E-2</v>
          </cell>
          <cell r="E26">
            <v>3.65E-3</v>
          </cell>
          <cell r="F26">
            <v>4.4400000000000001E-8</v>
          </cell>
          <cell r="H26">
            <v>1.14E-8</v>
          </cell>
          <cell r="M26">
            <v>0.87849999999999995</v>
          </cell>
          <cell r="O26">
            <v>4.2059999999999997E-3</v>
          </cell>
          <cell r="S26">
            <v>401.43637999999999</v>
          </cell>
          <cell r="T26">
            <v>0.75141110065851369</v>
          </cell>
          <cell r="U26">
            <v>3.387637968058476E-3</v>
          </cell>
        </row>
        <row r="27">
          <cell r="A27" t="str">
            <v>ACT-CL_J0235-5121</v>
          </cell>
          <cell r="C27">
            <v>7.0639999999999994E-2</v>
          </cell>
          <cell r="E27">
            <v>9.8160000000000001E-3</v>
          </cell>
          <cell r="F27">
            <v>5.6699999999999998E-8</v>
          </cell>
          <cell r="H27">
            <v>1.5099999999999999E-7</v>
          </cell>
          <cell r="M27">
            <v>0.88619999999999999</v>
          </cell>
          <cell r="O27">
            <v>1.9699999999999999E-2</v>
          </cell>
          <cell r="S27">
            <v>465.26179999999999</v>
          </cell>
          <cell r="T27" t="str">
            <v>-</v>
          </cell>
          <cell r="U27" t="str">
            <v>-</v>
          </cell>
        </row>
        <row r="28">
          <cell r="A28" t="str">
            <v>ABELL_0562</v>
          </cell>
          <cell r="C28">
            <v>3.5900000000000001E-2</v>
          </cell>
          <cell r="E28">
            <v>7.254E-3</v>
          </cell>
          <cell r="F28">
            <v>2.0400000000000001E-8</v>
          </cell>
          <cell r="H28">
            <v>2.14E-8</v>
          </cell>
          <cell r="M28">
            <v>0.96150000000000002</v>
          </cell>
          <cell r="O28">
            <v>5.6699999999999997E-3</v>
          </cell>
          <cell r="S28">
            <v>344.85649999999998</v>
          </cell>
          <cell r="T28">
            <v>0.37803522321689781</v>
          </cell>
          <cell r="U28">
            <v>1.6467851189599824E-2</v>
          </cell>
        </row>
        <row r="29">
          <cell r="A29" t="str">
            <v>SDSS-C4_3072</v>
          </cell>
          <cell r="C29">
            <v>2.7369999999999998E-2</v>
          </cell>
          <cell r="E29">
            <v>2.2790000000000002E-3</v>
          </cell>
          <cell r="F29">
            <v>1E-8</v>
          </cell>
          <cell r="H29">
            <v>4.6299999999999999E-9</v>
          </cell>
          <cell r="M29">
            <v>0.90800000000000003</v>
          </cell>
          <cell r="O29">
            <v>4.2469999999999999E-3</v>
          </cell>
          <cell r="S29">
            <v>508.62709999999998</v>
          </cell>
          <cell r="T29">
            <v>0.73032782384273243</v>
          </cell>
          <cell r="U29">
            <v>4.3524363826135861E-3</v>
          </cell>
        </row>
        <row r="30">
          <cell r="A30" t="str">
            <v>NGC_3551</v>
          </cell>
          <cell r="C30">
            <v>0.30830000000000002</v>
          </cell>
          <cell r="E30">
            <v>3.0130000000000001E-3</v>
          </cell>
          <cell r="F30">
            <v>8.5600000000000002E-9</v>
          </cell>
          <cell r="H30">
            <v>4.1599999999999997E-9</v>
          </cell>
          <cell r="M30">
            <v>0.93869999999999998</v>
          </cell>
          <cell r="O30">
            <v>4.3540000000000002E-3</v>
          </cell>
          <cell r="S30">
            <v>252.50754000000001</v>
          </cell>
          <cell r="T30">
            <v>0.63046010483401282</v>
          </cell>
          <cell r="U30">
            <v>2.2476733850681427E-2</v>
          </cell>
        </row>
        <row r="31">
          <cell r="A31" t="str">
            <v>MCXC_J0303.7-7752</v>
          </cell>
          <cell r="C31">
            <v>2.2530000000000001E-2</v>
          </cell>
          <cell r="E31">
            <v>2.3839999999999998E-3</v>
          </cell>
          <cell r="F31">
            <v>6.0300000000000004E-8</v>
          </cell>
          <cell r="H31">
            <v>3.7E-8</v>
          </cell>
          <cell r="M31">
            <v>0.9486</v>
          </cell>
          <cell r="O31">
            <v>8.1630000000000001E-3</v>
          </cell>
          <cell r="S31">
            <v>566.47024999999996</v>
          </cell>
          <cell r="T31">
            <v>0.47679655374975527</v>
          </cell>
          <cell r="U31">
            <v>1.1222995919539118E-2</v>
          </cell>
        </row>
        <row r="32">
          <cell r="A32" t="str">
            <v>XMMU_J0954+1738</v>
          </cell>
          <cell r="C32">
            <v>1.6539999999999999E-2</v>
          </cell>
          <cell r="E32">
            <v>6.7669999999999996E-3</v>
          </cell>
          <cell r="F32">
            <v>3.2000000000000001E-7</v>
          </cell>
          <cell r="H32">
            <v>5.7000000000000005E-7</v>
          </cell>
          <cell r="M32">
            <v>0.93910000000000005</v>
          </cell>
          <cell r="O32">
            <v>2.734E-2</v>
          </cell>
          <cell r="S32">
            <v>293.18311999999997</v>
          </cell>
          <cell r="T32" t="str">
            <v>-</v>
          </cell>
          <cell r="U32" t="str">
            <v>-</v>
          </cell>
        </row>
        <row r="33">
          <cell r="A33" t="str">
            <v>MCXC_J0443.1+0210</v>
          </cell>
          <cell r="C33">
            <v>2.264E-2</v>
          </cell>
          <cell r="E33">
            <v>3.5400000000000002E-3</v>
          </cell>
          <cell r="F33">
            <v>1.8300000000000001E-9</v>
          </cell>
          <cell r="H33">
            <v>2.73E-8</v>
          </cell>
          <cell r="M33">
            <v>0.93659999999999999</v>
          </cell>
          <cell r="O33">
            <v>1.3939999999999999E-2</v>
          </cell>
          <cell r="S33">
            <v>362.09476000000001</v>
          </cell>
          <cell r="T33" t="str">
            <v>-</v>
          </cell>
          <cell r="U33" t="str">
            <v>-</v>
          </cell>
        </row>
        <row r="34">
          <cell r="A34" t="str">
            <v>ABELL_2415</v>
          </cell>
          <cell r="C34">
            <v>2.5409999999999999E-2</v>
          </cell>
          <cell r="E34">
            <v>2.5990000000000002E-3</v>
          </cell>
          <cell r="F34">
            <v>2.48E-8</v>
          </cell>
          <cell r="H34">
            <v>4.0100000000000002E-8</v>
          </cell>
          <cell r="M34">
            <v>0.98640000000000005</v>
          </cell>
          <cell r="O34">
            <v>1.4239999999999999E-2</v>
          </cell>
          <cell r="S34">
            <v>314.56268</v>
          </cell>
          <cell r="T34">
            <v>0.53277942180742088</v>
          </cell>
          <cell r="U34">
            <v>2.0122994511619707E-2</v>
          </cell>
        </row>
        <row r="35">
          <cell r="A35" t="str">
            <v>Hercules_A</v>
          </cell>
          <cell r="C35">
            <v>3.168E-2</v>
          </cell>
          <cell r="E35">
            <v>2.2339999999999999E-3</v>
          </cell>
          <cell r="F35">
            <v>2.4699999999999999E-9</v>
          </cell>
          <cell r="H35">
            <v>2.9899999999999998E-9</v>
          </cell>
          <cell r="M35">
            <v>0.90280000000000005</v>
          </cell>
          <cell r="O35">
            <v>3.248E-3</v>
          </cell>
          <cell r="S35">
            <v>361.13404000000003</v>
          </cell>
          <cell r="T35">
            <v>0.58435555555555552</v>
          </cell>
          <cell r="U35">
            <v>5.6048259435767245E-3</v>
          </cell>
        </row>
        <row r="36">
          <cell r="A36" t="str">
            <v>ABELL_2219</v>
          </cell>
          <cell r="C36">
            <v>2.9739999999999999E-2</v>
          </cell>
          <cell r="E36">
            <v>1.369E-3</v>
          </cell>
          <cell r="F36">
            <v>2.9099999999999999E-8</v>
          </cell>
          <cell r="H36">
            <v>5.7900000000000001E-9</v>
          </cell>
          <cell r="M36">
            <v>0.83299999999999996</v>
          </cell>
          <cell r="O36">
            <v>1.5989999999999999E-3</v>
          </cell>
          <cell r="S36">
            <v>624.56269999999995</v>
          </cell>
          <cell r="T36">
            <v>0.44319425860600897</v>
          </cell>
          <cell r="U36">
            <v>2.6548535498975637E-3</v>
          </cell>
        </row>
        <row r="37">
          <cell r="A37" t="str">
            <v>ABELL_0550</v>
          </cell>
          <cell r="C37">
            <v>5.8020000000000002E-2</v>
          </cell>
          <cell r="E37">
            <v>4.1070000000000004E-3</v>
          </cell>
          <cell r="F37">
            <v>5.8299999999999999E-8</v>
          </cell>
          <cell r="H37">
            <v>3.7800000000000001E-8</v>
          </cell>
          <cell r="M37">
            <v>0.88249999999999995</v>
          </cell>
          <cell r="O37">
            <v>8.1989999999999997E-3</v>
          </cell>
          <cell r="S37">
            <v>460.62880000000001</v>
          </cell>
          <cell r="T37">
            <v>0.41715976331360949</v>
          </cell>
          <cell r="U37">
            <v>1.2849902404356083E-2</v>
          </cell>
        </row>
        <row r="38">
          <cell r="A38" t="str">
            <v>MCXC_J2311.5+0338</v>
          </cell>
          <cell r="C38">
            <v>5.6049999999999997E-3</v>
          </cell>
          <cell r="E38">
            <v>1.554E-3</v>
          </cell>
          <cell r="F38">
            <v>3.32E-8</v>
          </cell>
          <cell r="H38">
            <v>2.5600000000000001E-8</v>
          </cell>
          <cell r="M38">
            <v>0.90369999999999995</v>
          </cell>
          <cell r="O38">
            <v>7.3330000000000001E-3</v>
          </cell>
          <cell r="S38">
            <v>528.96469999999999</v>
          </cell>
          <cell r="T38">
            <v>0.49978485370051634</v>
          </cell>
          <cell r="U38">
            <v>1.4789046846547717E-2</v>
          </cell>
        </row>
        <row r="39">
          <cell r="A39" t="str">
            <v>CIZA_J1804.4+1002</v>
          </cell>
          <cell r="C39">
            <v>8.1360000000000002E-2</v>
          </cell>
          <cell r="E39">
            <v>1.9840000000000001E-3</v>
          </cell>
          <cell r="F39">
            <v>7.3499999999999996E-9</v>
          </cell>
          <cell r="H39">
            <v>1.3200000000000001E-8</v>
          </cell>
          <cell r="M39">
            <v>0.85319999999999996</v>
          </cell>
          <cell r="O39">
            <v>9.9290000000000003E-3</v>
          </cell>
          <cell r="S39">
            <v>491.82905</v>
          </cell>
          <cell r="T39">
            <v>0.50069204152249136</v>
          </cell>
          <cell r="U39">
            <v>1.0696428755109766E-2</v>
          </cell>
        </row>
        <row r="40">
          <cell r="A40" t="str">
            <v>MCXC_J1215.4-3900</v>
          </cell>
          <cell r="C40">
            <v>2.794E-2</v>
          </cell>
          <cell r="E40">
            <v>5.6699999999999997E-3</v>
          </cell>
          <cell r="F40">
            <v>2.1899999999999999E-7</v>
          </cell>
          <cell r="H40">
            <v>1.17E-7</v>
          </cell>
          <cell r="M40">
            <v>0.94620000000000004</v>
          </cell>
          <cell r="O40">
            <v>9.0600000000000003E-3</v>
          </cell>
          <cell r="S40">
            <v>451.45717999999999</v>
          </cell>
          <cell r="T40">
            <v>0.28218111002921126</v>
          </cell>
          <cell r="U40">
            <v>1.6275563396811101E-2</v>
          </cell>
        </row>
        <row r="41">
          <cell r="A41" t="str">
            <v>SPT-CL_J0304-4401</v>
          </cell>
          <cell r="C41">
            <v>9.5939999999999998E-2</v>
          </cell>
          <cell r="E41">
            <v>1.289E-2</v>
          </cell>
          <cell r="F41">
            <v>4.2100000000000003E-6</v>
          </cell>
          <cell r="H41">
            <v>1.9199999999999998E-6</v>
          </cell>
          <cell r="M41">
            <v>0.89600000000000002</v>
          </cell>
          <cell r="O41">
            <v>7.2050000000000003E-2</v>
          </cell>
          <cell r="S41">
            <v>422.93472000000003</v>
          </cell>
          <cell r="T41" t="str">
            <v>-</v>
          </cell>
          <cell r="U41" t="str">
            <v>-</v>
          </cell>
        </row>
        <row r="42">
          <cell r="A42" t="str">
            <v>PLCKESZ_G286.58-31.25</v>
          </cell>
          <cell r="C42">
            <v>2.46E-2</v>
          </cell>
          <cell r="E42">
            <v>6.5799999999999999E-3</v>
          </cell>
          <cell r="F42">
            <v>2.92E-8</v>
          </cell>
          <cell r="H42">
            <v>4.9000000000000002E-8</v>
          </cell>
          <cell r="M42">
            <v>0.83779999999999999</v>
          </cell>
          <cell r="O42">
            <v>8.6770000000000007E-3</v>
          </cell>
          <cell r="S42">
            <v>481.16046999999998</v>
          </cell>
          <cell r="T42">
            <v>0.38839606808918725</v>
          </cell>
          <cell r="U42">
            <v>1.5757430119890708E-2</v>
          </cell>
        </row>
        <row r="43">
          <cell r="A43" t="str">
            <v>ZwCl_0848.5+3341</v>
          </cell>
          <cell r="C43">
            <v>2.529E-2</v>
          </cell>
          <cell r="E43">
            <v>6.1409999999999998E-3</v>
          </cell>
          <cell r="F43">
            <v>4.1399999999999997E-7</v>
          </cell>
          <cell r="H43">
            <v>3.1800000000000002E-7</v>
          </cell>
          <cell r="M43">
            <v>0.84499999999999997</v>
          </cell>
          <cell r="O43">
            <v>1.968E-2</v>
          </cell>
          <cell r="S43">
            <v>452.37423000000001</v>
          </cell>
          <cell r="T43" t="str">
            <v>-</v>
          </cell>
          <cell r="U43" t="str">
            <v>-</v>
          </cell>
        </row>
        <row r="44">
          <cell r="A44" t="str">
            <v>MCXC_J2218.6-3853</v>
          </cell>
          <cell r="C44">
            <v>1.487E-2</v>
          </cell>
          <cell r="E44">
            <v>3.418E-3</v>
          </cell>
          <cell r="F44">
            <v>4.5699999999999999E-8</v>
          </cell>
          <cell r="H44">
            <v>2.77E-8</v>
          </cell>
          <cell r="M44">
            <v>0.79479999999999995</v>
          </cell>
          <cell r="O44">
            <v>8.1309999999999993E-3</v>
          </cell>
          <cell r="S44">
            <v>448.65291000000002</v>
          </cell>
          <cell r="T44">
            <v>0.50802970126057678</v>
          </cell>
          <cell r="U44">
            <v>1.1799984186476445E-2</v>
          </cell>
        </row>
        <row r="45">
          <cell r="A45" t="str">
            <v>ABELL_2550</v>
          </cell>
          <cell r="C45">
            <v>4.5900000000000003E-2</v>
          </cell>
          <cell r="E45">
            <v>3.2339999999999999E-3</v>
          </cell>
          <cell r="F45">
            <v>7.3099999999999998E-9</v>
          </cell>
          <cell r="H45">
            <v>1.7800000000000001E-8</v>
          </cell>
          <cell r="M45">
            <v>0.9869</v>
          </cell>
          <cell r="O45">
            <v>8.7379999999999992E-3</v>
          </cell>
          <cell r="S45">
            <v>244.46659</v>
          </cell>
          <cell r="T45">
            <v>0.6296081997024302</v>
          </cell>
          <cell r="U45">
            <v>1.8913735982689195E-2</v>
          </cell>
        </row>
        <row r="46">
          <cell r="A46" t="str">
            <v>MACS_J1720.2+3536</v>
          </cell>
          <cell r="C46">
            <v>2.903E-2</v>
          </cell>
          <cell r="E46">
            <v>2.3240000000000001E-3</v>
          </cell>
          <cell r="F46">
            <v>4.0800000000000001E-8</v>
          </cell>
          <cell r="H46">
            <v>3.0799999999999998E-8</v>
          </cell>
          <cell r="M46">
            <v>0.92979999999999996</v>
          </cell>
          <cell r="O46">
            <v>4.845E-2</v>
          </cell>
          <cell r="S46">
            <v>481.48475000000002</v>
          </cell>
          <cell r="T46">
            <v>0.6333333333333333</v>
          </cell>
          <cell r="U46">
            <v>9.2241689514613728E-3</v>
          </cell>
        </row>
        <row r="47">
          <cell r="A47" t="str">
            <v>CXOU_J052215-481816</v>
          </cell>
          <cell r="C47">
            <v>6.198E-2</v>
          </cell>
          <cell r="E47">
            <v>6.3330000000000001E-3</v>
          </cell>
          <cell r="F47">
            <v>7.61E-8</v>
          </cell>
          <cell r="H47">
            <v>2.4900000000000002E-7</v>
          </cell>
          <cell r="M47">
            <v>0.76570000000000005</v>
          </cell>
          <cell r="O47">
            <v>2.1669999999999998E-2</v>
          </cell>
          <cell r="S47">
            <v>422.47730000000001</v>
          </cell>
          <cell r="T47" t="str">
            <v>-</v>
          </cell>
          <cell r="U47" t="str">
            <v>-</v>
          </cell>
        </row>
        <row r="48">
          <cell r="A48" t="str">
            <v>MCXC_J0439.0+0520</v>
          </cell>
          <cell r="C48">
            <v>4.1369999999999997E-2</v>
          </cell>
          <cell r="E48">
            <v>2.042E-3</v>
          </cell>
          <cell r="F48">
            <v>6.3700000000000001E-9</v>
          </cell>
          <cell r="H48">
            <v>1.55E-8</v>
          </cell>
          <cell r="M48">
            <v>0.95799999999999996</v>
          </cell>
          <cell r="O48">
            <v>2.4559999999999998E-2</v>
          </cell>
          <cell r="S48">
            <v>392.53068000000002</v>
          </cell>
          <cell r="T48">
            <v>0.73371686870762276</v>
          </cell>
          <cell r="U48">
            <v>1.3002569314832815E-2</v>
          </cell>
        </row>
        <row r="49">
          <cell r="A49" t="str">
            <v>ABELL_2457</v>
          </cell>
          <cell r="C49">
            <v>2.716E-2</v>
          </cell>
          <cell r="E49">
            <v>4.156E-3</v>
          </cell>
          <cell r="F49">
            <v>1.14E-7</v>
          </cell>
          <cell r="H49">
            <v>6.1200000000000005E-8</v>
          </cell>
          <cell r="M49">
            <v>0.90110000000000001</v>
          </cell>
          <cell r="O49">
            <v>7.5040000000000003E-3</v>
          </cell>
          <cell r="S49">
            <v>354.14422999999999</v>
          </cell>
          <cell r="T49">
            <v>0.36251072698295944</v>
          </cell>
          <cell r="U49">
            <v>2.0641927821712935E-2</v>
          </cell>
        </row>
        <row r="50">
          <cell r="A50" t="str">
            <v>2MFGC_06756</v>
          </cell>
          <cell r="C50">
            <v>5.8549999999999998E-2</v>
          </cell>
          <cell r="E50">
            <v>8.2220000000000004E-4</v>
          </cell>
          <cell r="F50">
            <v>3.6399999999999998E-10</v>
          </cell>
          <cell r="H50">
            <v>2.9499999999999999E-9</v>
          </cell>
          <cell r="M50">
            <v>0.83840000000000003</v>
          </cell>
          <cell r="O50">
            <v>4.5409999999999999E-3</v>
          </cell>
          <cell r="S50">
            <v>393.65629000000001</v>
          </cell>
          <cell r="T50">
            <v>0.70428280081577166</v>
          </cell>
          <cell r="U50">
            <v>5.5772918488681822E-3</v>
          </cell>
        </row>
        <row r="51">
          <cell r="A51" t="str">
            <v>WHL_J121218.5+273255</v>
          </cell>
          <cell r="C51">
            <v>1.7350000000000001E-2</v>
          </cell>
          <cell r="E51">
            <v>5.7800000000000004E-3</v>
          </cell>
          <cell r="F51">
            <v>8.9500000000000001E-8</v>
          </cell>
          <cell r="H51">
            <v>1.3899999999999999E-7</v>
          </cell>
          <cell r="M51">
            <v>0.91049999999999998</v>
          </cell>
          <cell r="O51">
            <v>2.2100000000000002E-2</v>
          </cell>
          <cell r="S51">
            <v>506.54162000000002</v>
          </cell>
          <cell r="T51" t="str">
            <v>-</v>
          </cell>
          <cell r="U51" t="str">
            <v>-</v>
          </cell>
        </row>
        <row r="52">
          <cell r="A52" t="str">
            <v>ABELL_0907</v>
          </cell>
          <cell r="C52">
            <v>2.077E-2</v>
          </cell>
          <cell r="E52">
            <v>9.4620000000000001E-4</v>
          </cell>
          <cell r="F52">
            <v>8.0800000000000002E-9</v>
          </cell>
          <cell r="H52">
            <v>4.0400000000000001E-9</v>
          </cell>
          <cell r="M52">
            <v>0.83679999999999999</v>
          </cell>
          <cell r="O52">
            <v>2.9250000000000001E-3</v>
          </cell>
          <cell r="S52">
            <v>460.06475</v>
          </cell>
          <cell r="T52">
            <v>0.67134731603270525</v>
          </cell>
          <cell r="U52">
            <v>5.757216456448601E-3</v>
          </cell>
        </row>
        <row r="53">
          <cell r="A53" t="str">
            <v>ZwCl_1006.1+1201</v>
          </cell>
          <cell r="C53">
            <v>5.4579999999999997E-2</v>
          </cell>
          <cell r="E53">
            <v>5.6779999999999999E-3</v>
          </cell>
          <cell r="F53">
            <v>2.91E-7</v>
          </cell>
          <cell r="H53">
            <v>6.5699999999999999E-8</v>
          </cell>
          <cell r="M53">
            <v>0.91390000000000005</v>
          </cell>
          <cell r="O53">
            <v>6.1890000000000001E-3</v>
          </cell>
          <cell r="S53">
            <v>445.40996999999999</v>
          </cell>
          <cell r="T53">
            <v>0.42287055667337359</v>
          </cell>
          <cell r="U53">
            <v>9.9572161458461438E-3</v>
          </cell>
        </row>
        <row r="54">
          <cell r="A54" t="str">
            <v>UGCl_398</v>
          </cell>
          <cell r="C54">
            <v>4.2360000000000002E-2</v>
          </cell>
          <cell r="E54">
            <v>8.6009999999999993E-3</v>
          </cell>
          <cell r="F54">
            <v>2.2499999999999999E-7</v>
          </cell>
          <cell r="H54">
            <v>1.6999999999999999E-7</v>
          </cell>
          <cell r="M54">
            <v>0.95509999999999995</v>
          </cell>
          <cell r="O54">
            <v>1.3339999999999999E-2</v>
          </cell>
          <cell r="S54">
            <v>323.71206999999998</v>
          </cell>
          <cell r="T54" t="str">
            <v>-</v>
          </cell>
          <cell r="U54" t="str">
            <v>-</v>
          </cell>
        </row>
        <row r="55">
          <cell r="A55" t="str">
            <v>ABELL_3921</v>
          </cell>
          <cell r="C55">
            <v>1.746E-2</v>
          </cell>
          <cell r="E55">
            <v>2.5860000000000002E-3</v>
          </cell>
          <cell r="F55">
            <v>8.79E-8</v>
          </cell>
          <cell r="H55">
            <v>2.0899999999999999E-8</v>
          </cell>
          <cell r="M55">
            <v>0.84150000000000003</v>
          </cell>
          <cell r="O55">
            <v>3.8539999999999998E-3</v>
          </cell>
          <cell r="S55">
            <v>475.98482000000001</v>
          </cell>
          <cell r="T55">
            <v>0.47394713106223546</v>
          </cell>
          <cell r="U55">
            <v>6.8377220396888729E-3</v>
          </cell>
        </row>
        <row r="56">
          <cell r="A56" t="str">
            <v>SPT-CL_J0546-5345</v>
          </cell>
          <cell r="C56">
            <v>2.0570000000000001E-2</v>
          </cell>
          <cell r="E56">
            <v>6.4060000000000002E-3</v>
          </cell>
          <cell r="F56">
            <v>1.9299999999999999E-7</v>
          </cell>
          <cell r="H56">
            <v>4.7800000000000002E-7</v>
          </cell>
          <cell r="M56">
            <v>0.93230000000000002</v>
          </cell>
          <cell r="O56">
            <v>2.2120000000000001E-2</v>
          </cell>
          <cell r="S56">
            <v>282.18106</v>
          </cell>
          <cell r="T56" t="str">
            <v>-</v>
          </cell>
          <cell r="U56" t="str">
            <v>-</v>
          </cell>
        </row>
        <row r="57">
          <cell r="A57" t="str">
            <v>ABELL_0520</v>
          </cell>
          <cell r="C57">
            <v>0.12609999999999999</v>
          </cell>
          <cell r="E57">
            <v>3.3080000000000002E-3</v>
          </cell>
          <cell r="F57">
            <v>1.2499999999999999E-7</v>
          </cell>
          <cell r="H57">
            <v>1.2100000000000001E-8</v>
          </cell>
          <cell r="M57">
            <v>0.9264</v>
          </cell>
          <cell r="O57">
            <v>1.3470000000000001E-3</v>
          </cell>
          <cell r="S57">
            <v>536.23416999999995</v>
          </cell>
          <cell r="T57" t="str">
            <v>-</v>
          </cell>
          <cell r="U57" t="str">
            <v>-</v>
          </cell>
        </row>
        <row r="58">
          <cell r="A58" t="str">
            <v>MACS_J0712.3+5931</v>
          </cell>
          <cell r="C58">
            <v>1.6289999999999999E-2</v>
          </cell>
          <cell r="E58">
            <v>3.3400000000000001E-3</v>
          </cell>
          <cell r="F58">
            <v>9.5900000000000005E-8</v>
          </cell>
          <cell r="H58">
            <v>1.08E-7</v>
          </cell>
          <cell r="M58">
            <v>0.87749999999999995</v>
          </cell>
          <cell r="O58">
            <v>1.6650000000000002E-2</v>
          </cell>
          <cell r="S58">
            <v>398.52692000000002</v>
          </cell>
          <cell r="T58">
            <v>0.56634328358208952</v>
          </cell>
          <cell r="U58">
            <v>2.1852550580732082E-2</v>
          </cell>
        </row>
        <row r="59">
          <cell r="A59" t="str">
            <v>NSCS_J122648+215157</v>
          </cell>
          <cell r="C59">
            <v>0.29970000000000002</v>
          </cell>
          <cell r="E59">
            <v>7.0749999999999997E-3</v>
          </cell>
          <cell r="F59">
            <v>8.7700000000000003E-7</v>
          </cell>
          <cell r="H59">
            <v>3.7099999999999997E-7</v>
          </cell>
          <cell r="M59">
            <v>0.90880000000000005</v>
          </cell>
          <cell r="O59">
            <v>1.319E-2</v>
          </cell>
          <cell r="S59">
            <v>345.16305</v>
          </cell>
          <cell r="T59">
            <v>0.53463134375997445</v>
          </cell>
          <cell r="U59">
            <v>1.4435923696283371E-2</v>
          </cell>
        </row>
        <row r="60">
          <cell r="A60" t="str">
            <v>WHL_J135716.8+623249</v>
          </cell>
          <cell r="C60">
            <v>4.9189999999999998E-2</v>
          </cell>
          <cell r="E60">
            <v>1.1259999999999999E-2</v>
          </cell>
          <cell r="F60">
            <v>4.9900000000000001E-7</v>
          </cell>
          <cell r="H60">
            <v>5.5899999999999996E-7</v>
          </cell>
          <cell r="M60">
            <v>0.95930000000000004</v>
          </cell>
          <cell r="O60">
            <v>2.349E-2</v>
          </cell>
          <cell r="S60">
            <v>329.71803999999997</v>
          </cell>
          <cell r="T60" t="str">
            <v>-</v>
          </cell>
          <cell r="U60" t="str">
            <v>-</v>
          </cell>
        </row>
        <row r="61">
          <cell r="A61" t="str">
            <v>MCXC_J2003.5-2323</v>
          </cell>
          <cell r="C61">
            <v>0.1636</v>
          </cell>
          <cell r="E61">
            <v>6.8199999999999997E-3</v>
          </cell>
          <cell r="F61">
            <v>1.2800000000000001E-7</v>
          </cell>
          <cell r="H61">
            <v>1.17E-7</v>
          </cell>
          <cell r="M61">
            <v>0.91279999999999994</v>
          </cell>
          <cell r="O61">
            <v>6.0210000000000003E-3</v>
          </cell>
          <cell r="S61">
            <v>533.21900000000005</v>
          </cell>
          <cell r="T61">
            <v>0.24171476278630805</v>
          </cell>
          <cell r="U61">
            <v>7.24963590209338E-3</v>
          </cell>
        </row>
        <row r="62">
          <cell r="A62" t="str">
            <v>ABELL_0611</v>
          </cell>
          <cell r="C62">
            <v>3.0689999999999999E-2</v>
          </cell>
          <cell r="E62">
            <v>3.5850000000000001E-3</v>
          </cell>
          <cell r="F62">
            <v>8.5999999999999993E-9</v>
          </cell>
          <cell r="H62">
            <v>1.14E-8</v>
          </cell>
          <cell r="M62">
            <v>0.93359999999999999</v>
          </cell>
          <cell r="O62">
            <v>7.4640000000000001E-3</v>
          </cell>
          <cell r="S62">
            <v>510.28226000000001</v>
          </cell>
          <cell r="T62">
            <v>0.61072834645669283</v>
          </cell>
          <cell r="U62">
            <v>8.2083767240202464E-3</v>
          </cell>
        </row>
        <row r="63">
          <cell r="A63" t="str">
            <v>ABELL_2125</v>
          </cell>
          <cell r="C63">
            <v>2.9839999999999998E-2</v>
          </cell>
          <cell r="E63">
            <v>6.894E-3</v>
          </cell>
          <cell r="F63">
            <v>2.7599999999999998E-7</v>
          </cell>
          <cell r="H63">
            <v>2.3200000000000001E-7</v>
          </cell>
          <cell r="M63">
            <v>0.92869999999999997</v>
          </cell>
          <cell r="O63">
            <v>1.159E-2</v>
          </cell>
          <cell r="S63">
            <v>313.38594999999998</v>
          </cell>
          <cell r="T63">
            <v>0.305852417302799</v>
          </cell>
          <cell r="U63">
            <v>2.6104757978456489E-2</v>
          </cell>
        </row>
        <row r="64">
          <cell r="A64" t="str">
            <v>NSC_J125947+312215</v>
          </cell>
          <cell r="C64">
            <v>3.7960000000000001E-2</v>
          </cell>
          <cell r="E64">
            <v>8.1069999999999996E-3</v>
          </cell>
          <cell r="F64">
            <v>1.08E-6</v>
          </cell>
          <cell r="H64">
            <v>6.8500000000000001E-7</v>
          </cell>
          <cell r="M64">
            <v>0.96330000000000005</v>
          </cell>
          <cell r="O64">
            <v>3.492E-2</v>
          </cell>
          <cell r="S64">
            <v>177.07393999999999</v>
          </cell>
          <cell r="T64" t="str">
            <v>-</v>
          </cell>
          <cell r="U64" t="str">
            <v>-</v>
          </cell>
        </row>
        <row r="65">
          <cell r="A65" t="str">
            <v>RX_J0848.8+4455</v>
          </cell>
          <cell r="C65">
            <v>5.0369999999999998E-2</v>
          </cell>
          <cell r="E65">
            <v>1.618E-2</v>
          </cell>
          <cell r="F65">
            <v>3.17E-9</v>
          </cell>
          <cell r="H65">
            <v>4.4900000000000001E-7</v>
          </cell>
          <cell r="M65">
            <v>0.91149999999999998</v>
          </cell>
          <cell r="O65">
            <v>2.7720000000000002E-2</v>
          </cell>
          <cell r="S65">
            <v>197.25707</v>
          </cell>
          <cell r="T65" t="str">
            <v>-</v>
          </cell>
          <cell r="U65" t="str">
            <v>-</v>
          </cell>
        </row>
        <row r="66">
          <cell r="A66" t="str">
            <v>ABELL_2465</v>
          </cell>
          <cell r="C66">
            <v>7.0879999999999999E-2</v>
          </cell>
          <cell r="E66">
            <v>8.0490000000000006E-3</v>
          </cell>
          <cell r="F66">
            <v>1.6500000000000001E-6</v>
          </cell>
          <cell r="H66">
            <v>7.4000000000000001E-7</v>
          </cell>
          <cell r="M66">
            <v>0.88539999999999996</v>
          </cell>
          <cell r="O66">
            <v>1.9050000000000001E-2</v>
          </cell>
          <cell r="S66">
            <v>293.60980000000001</v>
          </cell>
          <cell r="T66" t="str">
            <v>-</v>
          </cell>
          <cell r="U66" t="str">
            <v>-</v>
          </cell>
        </row>
        <row r="67">
          <cell r="A67" t="str">
            <v>SPT-CL_J0559-5249</v>
          </cell>
          <cell r="C67">
            <v>0.10829999999999999</v>
          </cell>
          <cell r="E67">
            <v>8.7899999999999992E-3</v>
          </cell>
          <cell r="F67">
            <v>1.05E-7</v>
          </cell>
          <cell r="H67">
            <v>1.55E-7</v>
          </cell>
          <cell r="M67">
            <v>0.90269999999999995</v>
          </cell>
          <cell r="O67">
            <v>5.2240000000000002E-2</v>
          </cell>
          <cell r="S67">
            <v>318.85604000000001</v>
          </cell>
          <cell r="T67" t="str">
            <v>-</v>
          </cell>
          <cell r="U67" t="str">
            <v>-</v>
          </cell>
        </row>
        <row r="68">
          <cell r="A68" t="str">
            <v>ABELL_3399</v>
          </cell>
          <cell r="C68">
            <v>8.8389999999999996E-2</v>
          </cell>
          <cell r="E68">
            <v>4.4229999999999998E-3</v>
          </cell>
          <cell r="F68">
            <v>6.92E-7</v>
          </cell>
          <cell r="H68">
            <v>1.54E-7</v>
          </cell>
          <cell r="M68">
            <v>0.79379999999999995</v>
          </cell>
          <cell r="O68">
            <v>8.071E-3</v>
          </cell>
          <cell r="S68">
            <v>490.66647999999998</v>
          </cell>
          <cell r="T68">
            <v>0.39928516721981105</v>
          </cell>
          <cell r="U68">
            <v>9.6386040938875109E-3</v>
          </cell>
        </row>
        <row r="69">
          <cell r="A69" t="str">
            <v>ABELL_1914</v>
          </cell>
          <cell r="C69">
            <v>5.2200000000000003E-2</v>
          </cell>
          <cell r="E69">
            <v>3.1459999999999999E-3</v>
          </cell>
          <cell r="F69">
            <v>4.9199999999999997E-8</v>
          </cell>
          <cell r="H69">
            <v>1.44E-8</v>
          </cell>
          <cell r="M69">
            <v>0.9194</v>
          </cell>
          <cell r="O69">
            <v>5.7239999999999999E-3</v>
          </cell>
          <cell r="S69">
            <v>560.83299</v>
          </cell>
          <cell r="T69">
            <v>0.57527333894028598</v>
          </cell>
          <cell r="U69">
            <v>5.430352979916825E-3</v>
          </cell>
        </row>
        <row r="70">
          <cell r="A70" t="str">
            <v>WHL_J114224.8+583205</v>
          </cell>
          <cell r="C70">
            <v>9.0329999999999994E-2</v>
          </cell>
          <cell r="E70">
            <v>6.7450000000000001E-3</v>
          </cell>
          <cell r="F70">
            <v>2.1500000000000001E-7</v>
          </cell>
          <cell r="H70">
            <v>1.04E-7</v>
          </cell>
          <cell r="M70">
            <v>0.89959999999999996</v>
          </cell>
          <cell r="O70">
            <v>6.8999999999999999E-3</v>
          </cell>
          <cell r="S70">
            <v>538.13972999999999</v>
          </cell>
          <cell r="T70">
            <v>0.27324848790322581</v>
          </cell>
          <cell r="U70">
            <v>9.0167232472322164E-3</v>
          </cell>
        </row>
        <row r="71">
          <cell r="A71" t="str">
            <v>ABELL_3444</v>
          </cell>
          <cell r="C71">
            <v>4.3889999999999998E-2</v>
          </cell>
          <cell r="E71">
            <v>1.8680000000000001E-3</v>
          </cell>
          <cell r="F71">
            <v>3.99E-8</v>
          </cell>
          <cell r="H71">
            <v>1.89E-8</v>
          </cell>
          <cell r="M71">
            <v>0.84519999999999995</v>
          </cell>
          <cell r="O71">
            <v>4.7720000000000002E-3</v>
          </cell>
          <cell r="S71">
            <v>495.66392999999999</v>
          </cell>
          <cell r="T71">
            <v>0.67810331534309942</v>
          </cell>
          <cell r="U71">
            <v>4.8688730006693935E-3</v>
          </cell>
        </row>
        <row r="72">
          <cell r="A72" t="str">
            <v>3C_294</v>
          </cell>
          <cell r="C72">
            <v>5.1520000000000003E-2</v>
          </cell>
          <cell r="E72">
            <v>4.4060000000000002E-3</v>
          </cell>
          <cell r="F72">
            <v>8.9500000000000001E-8</v>
          </cell>
          <cell r="H72">
            <v>6.9599999999999999E-7</v>
          </cell>
          <cell r="M72">
            <v>0.94989999999999997</v>
          </cell>
          <cell r="O72">
            <v>2.879E-2</v>
          </cell>
          <cell r="S72">
            <v>213.72794999999999</v>
          </cell>
          <cell r="T72" t="str">
            <v>-</v>
          </cell>
          <cell r="U72" t="str">
            <v>-</v>
          </cell>
        </row>
        <row r="73">
          <cell r="A73" t="str">
            <v>ABELL_S1101</v>
          </cell>
          <cell r="C73">
            <v>1.9640000000000001E-2</v>
          </cell>
          <cell r="E73">
            <v>3.6679999999999998E-3</v>
          </cell>
          <cell r="F73">
            <v>1.16E-8</v>
          </cell>
          <cell r="H73">
            <v>2.7099999999999999E-9</v>
          </cell>
          <cell r="M73">
            <v>0.90010000000000001</v>
          </cell>
          <cell r="O73">
            <v>2.4060000000000002E-3</v>
          </cell>
          <cell r="S73">
            <v>318.02424000000002</v>
          </cell>
          <cell r="T73">
            <v>0.77880069669071916</v>
          </cell>
          <cell r="U73">
            <v>3.8795941035276445E-3</v>
          </cell>
        </row>
        <row r="74">
          <cell r="A74" t="str">
            <v>ABELL_3074</v>
          </cell>
          <cell r="C74">
            <v>0.21249999999999999</v>
          </cell>
          <cell r="E74">
            <v>1.448E-2</v>
          </cell>
          <cell r="F74">
            <v>7.6599999999999998E-8</v>
          </cell>
          <cell r="H74">
            <v>7.61E-8</v>
          </cell>
          <cell r="M74">
            <v>0.94430000000000003</v>
          </cell>
          <cell r="O74">
            <v>4.0189999999999997E-2</v>
          </cell>
          <cell r="S74">
            <v>327.90746999999999</v>
          </cell>
          <cell r="T74" t="str">
            <v>-</v>
          </cell>
          <cell r="U74" t="str">
            <v>-</v>
          </cell>
        </row>
        <row r="75">
          <cell r="A75" t="str">
            <v>MACS_J2135-0102</v>
          </cell>
          <cell r="C75">
            <v>2.0559999999999998E-2</v>
          </cell>
          <cell r="E75">
            <v>4.4279999999999996E-3</v>
          </cell>
          <cell r="F75">
            <v>3.1300000000000001E-7</v>
          </cell>
          <cell r="H75">
            <v>1.36E-7</v>
          </cell>
          <cell r="M75">
            <v>0.92969999999999997</v>
          </cell>
          <cell r="O75">
            <v>1.09E-2</v>
          </cell>
          <cell r="S75">
            <v>498.45826</v>
          </cell>
          <cell r="T75" t="str">
            <v>-</v>
          </cell>
          <cell r="U75" t="str">
            <v>-</v>
          </cell>
        </row>
        <row r="76">
          <cell r="A76" t="str">
            <v>PLCKESZ_G167.65+17.64</v>
          </cell>
          <cell r="C76">
            <v>2.2589999999999999E-2</v>
          </cell>
          <cell r="E76">
            <v>3.1480000000000002E-3</v>
          </cell>
          <cell r="F76">
            <v>2.0100000000000001E-7</v>
          </cell>
          <cell r="H76">
            <v>9.3699999999999999E-8</v>
          </cell>
          <cell r="M76">
            <v>0.84219999999999995</v>
          </cell>
          <cell r="O76">
            <v>8.8909999999999996E-3</v>
          </cell>
          <cell r="S76">
            <v>462.29246000000001</v>
          </cell>
          <cell r="T76">
            <v>0.42697828923953018</v>
          </cell>
          <cell r="U76">
            <v>1.2813174308220801E-2</v>
          </cell>
        </row>
        <row r="77">
          <cell r="A77" t="str">
            <v>ABELL_0122</v>
          </cell>
          <cell r="C77">
            <v>8.4930000000000005E-3</v>
          </cell>
          <cell r="E77">
            <v>4.1200000000000004E-3</v>
          </cell>
          <cell r="F77">
            <v>6.0899999999999996E-8</v>
          </cell>
          <cell r="H77">
            <v>1.1000000000000001E-7</v>
          </cell>
          <cell r="M77">
            <v>0.90480000000000005</v>
          </cell>
          <cell r="O77">
            <v>5.6469999999999999E-2</v>
          </cell>
          <cell r="S77">
            <v>408.13828999999998</v>
          </cell>
          <cell r="T77" t="str">
            <v>-</v>
          </cell>
          <cell r="U77" t="str">
            <v>-</v>
          </cell>
        </row>
        <row r="78">
          <cell r="A78" t="str">
            <v>SPT-CL_J0000-5748</v>
          </cell>
          <cell r="C78">
            <v>0.1603</v>
          </cell>
          <cell r="E78">
            <v>1.4959999999999999E-2</v>
          </cell>
          <cell r="F78">
            <v>2.41E-7</v>
          </cell>
          <cell r="H78">
            <v>3.7599999999999998E-7</v>
          </cell>
          <cell r="M78">
            <v>0.89359999999999995</v>
          </cell>
          <cell r="O78">
            <v>6.0019999999999997E-2</v>
          </cell>
          <cell r="S78">
            <v>399.50403</v>
          </cell>
          <cell r="T78" t="str">
            <v>-</v>
          </cell>
          <cell r="U78" t="str">
            <v>-</v>
          </cell>
        </row>
        <row r="79">
          <cell r="A79" t="str">
            <v>ABELL_0370</v>
          </cell>
          <cell r="C79">
            <v>3.9129999999999998E-2</v>
          </cell>
          <cell r="E79">
            <v>4.9880000000000002E-3</v>
          </cell>
          <cell r="F79">
            <v>1.0700000000000001E-7</v>
          </cell>
          <cell r="H79">
            <v>4.73E-8</v>
          </cell>
          <cell r="M79">
            <v>0.82089999999999996</v>
          </cell>
          <cell r="O79">
            <v>5.6930000000000001E-2</v>
          </cell>
          <cell r="S79">
            <v>496.64053999999999</v>
          </cell>
          <cell r="T79">
            <v>0.35890383557533628</v>
          </cell>
          <cell r="U79">
            <v>8.4957458818189276E-3</v>
          </cell>
        </row>
        <row r="80">
          <cell r="A80" t="str">
            <v>MACS_J0111.5+0855</v>
          </cell>
          <cell r="C80">
            <v>2.639E-2</v>
          </cell>
          <cell r="E80">
            <v>4.0969999999999999E-3</v>
          </cell>
          <cell r="F80">
            <v>6.0100000000000002E-8</v>
          </cell>
          <cell r="H80">
            <v>1.9500000000000001E-7</v>
          </cell>
          <cell r="M80">
            <v>0.98619999999999997</v>
          </cell>
          <cell r="O80">
            <v>4.0890000000000003E-2</v>
          </cell>
          <cell r="S80">
            <v>342.99919999999997</v>
          </cell>
          <cell r="T80" t="str">
            <v>-</v>
          </cell>
          <cell r="U80" t="str">
            <v>-</v>
          </cell>
        </row>
        <row r="81">
          <cell r="A81" t="str">
            <v>Bullet_Cluster</v>
          </cell>
          <cell r="C81">
            <v>3.696E-2</v>
          </cell>
          <cell r="E81">
            <v>3.9969999999999997E-3</v>
          </cell>
          <cell r="F81">
            <v>8.5199999999999995E-9</v>
          </cell>
          <cell r="H81">
            <v>2.5500000000000001E-9</v>
          </cell>
          <cell r="M81">
            <v>0.90580000000000005</v>
          </cell>
          <cell r="O81">
            <v>1.3140000000000001E-3</v>
          </cell>
          <cell r="S81">
            <v>632.00935000000004</v>
          </cell>
          <cell r="T81">
            <v>0.35745007680491553</v>
          </cell>
          <cell r="U81">
            <v>2.206224926315723E-3</v>
          </cell>
        </row>
        <row r="82">
          <cell r="A82" t="str">
            <v>3C_028</v>
          </cell>
          <cell r="C82">
            <v>7.7960000000000002E-2</v>
          </cell>
          <cell r="E82">
            <v>7.9770000000000004E-4</v>
          </cell>
          <cell r="F82">
            <v>1.0499999999999999E-6</v>
          </cell>
          <cell r="H82">
            <v>4.8E-8</v>
          </cell>
          <cell r="M82">
            <v>0.93369999999999997</v>
          </cell>
          <cell r="O82">
            <v>2.4659999999999999E-3</v>
          </cell>
          <cell r="S82">
            <v>492.28365000000002</v>
          </cell>
          <cell r="T82">
            <v>0.50447078394676648</v>
          </cell>
          <cell r="U82">
            <v>4.4870919378101693E-3</v>
          </cell>
        </row>
        <row r="83">
          <cell r="A83" t="str">
            <v>ABELL_2104</v>
          </cell>
          <cell r="C83">
            <v>8.9060000000000007E-3</v>
          </cell>
          <cell r="E83">
            <v>1.6590000000000001E-3</v>
          </cell>
          <cell r="F83">
            <v>3.72E-7</v>
          </cell>
          <cell r="H83">
            <v>3.5000000000000002E-8</v>
          </cell>
          <cell r="M83">
            <v>0.95530000000000004</v>
          </cell>
          <cell r="O83">
            <v>3.9979999999999998E-3</v>
          </cell>
          <cell r="S83">
            <v>512.55394000000001</v>
          </cell>
          <cell r="T83">
            <v>0.49494850416871017</v>
          </cell>
          <cell r="U83">
            <v>4.7250634811774623E-3</v>
          </cell>
        </row>
        <row r="84">
          <cell r="A84" t="str">
            <v>SPT-CL_J2359-5009</v>
          </cell>
          <cell r="C84">
            <v>5.5300000000000002E-2</v>
          </cell>
          <cell r="E84">
            <v>1.3350000000000001E-2</v>
          </cell>
          <cell r="F84">
            <v>6.4099999999999998E-8</v>
          </cell>
          <cell r="H84">
            <v>3.58E-7</v>
          </cell>
          <cell r="M84">
            <v>0.90500000000000003</v>
          </cell>
          <cell r="O84">
            <v>1.917E-2</v>
          </cell>
          <cell r="S84">
            <v>270.29363000000001</v>
          </cell>
          <cell r="T84" t="str">
            <v>-</v>
          </cell>
          <cell r="U84" t="str">
            <v>-</v>
          </cell>
        </row>
        <row r="85">
          <cell r="A85" t="str">
            <v>ABELL_3562</v>
          </cell>
          <cell r="C85">
            <v>1.409E-2</v>
          </cell>
          <cell r="E85">
            <v>1.836E-3</v>
          </cell>
          <cell r="F85">
            <v>7.61E-7</v>
          </cell>
          <cell r="H85">
            <v>6.1099999999999998E-8</v>
          </cell>
          <cell r="M85">
            <v>0.88749999999999996</v>
          </cell>
          <cell r="O85">
            <v>3.7789999999999998E-3</v>
          </cell>
          <cell r="S85">
            <v>433.89449000000002</v>
          </cell>
          <cell r="T85">
            <v>0.44866071428571425</v>
          </cell>
          <cell r="U85">
            <v>7.9445567854816972E-3</v>
          </cell>
        </row>
        <row r="86">
          <cell r="A86" t="str">
            <v>400d_J0405-4100</v>
          </cell>
          <cell r="C86">
            <v>4.7820000000000001E-2</v>
          </cell>
          <cell r="E86">
            <v>8.8940000000000009E-3</v>
          </cell>
          <cell r="F86">
            <v>1.31E-7</v>
          </cell>
          <cell r="H86">
            <v>2.1799999999999999E-7</v>
          </cell>
          <cell r="M86">
            <v>0.87</v>
          </cell>
          <cell r="O86">
            <v>1.8370000000000001E-2</v>
          </cell>
          <cell r="S86">
            <v>318.11354</v>
          </cell>
          <cell r="T86" t="str">
            <v>-</v>
          </cell>
          <cell r="U86" t="str">
            <v>-</v>
          </cell>
        </row>
        <row r="87">
          <cell r="A87" t="str">
            <v>ABELL_0539</v>
          </cell>
          <cell r="C87">
            <v>1.3480000000000001E-2</v>
          </cell>
          <cell r="E87">
            <v>6.0340000000000003E-4</v>
          </cell>
          <cell r="F87">
            <v>2.6099999999999999E-8</v>
          </cell>
          <cell r="H87">
            <v>7.5900000000000005E-9</v>
          </cell>
          <cell r="M87">
            <v>0.95620000000000005</v>
          </cell>
          <cell r="O87">
            <v>2.4710000000000001E-3</v>
          </cell>
          <cell r="S87">
            <v>332.81538999999998</v>
          </cell>
          <cell r="T87">
            <v>0.41328056693203258</v>
          </cell>
          <cell r="U87">
            <v>9.4590080943641082E-3</v>
          </cell>
        </row>
        <row r="88">
          <cell r="A88" t="str">
            <v>ZwCl_0949.6+5207</v>
          </cell>
          <cell r="C88">
            <v>2.8299999999999999E-2</v>
          </cell>
          <cell r="E88">
            <v>6.2049999999999996E-4</v>
          </cell>
          <cell r="F88">
            <v>2.0399999999999999E-10</v>
          </cell>
          <cell r="H88">
            <v>1.6999999999999999E-9</v>
          </cell>
          <cell r="M88">
            <v>0.89139999999999997</v>
          </cell>
          <cell r="O88">
            <v>3.7260000000000001E-3</v>
          </cell>
          <cell r="S88">
            <v>441.43662999999998</v>
          </cell>
          <cell r="T88">
            <v>0.69406890536415178</v>
          </cell>
          <cell r="U88">
            <v>5.5920456967761311E-3</v>
          </cell>
        </row>
        <row r="89">
          <cell r="A89" t="str">
            <v>ABELL_0963</v>
          </cell>
          <cell r="C89">
            <v>2.027E-2</v>
          </cell>
          <cell r="E89">
            <v>1.134E-3</v>
          </cell>
          <cell r="F89">
            <v>2.33E-8</v>
          </cell>
          <cell r="H89">
            <v>1.24E-8</v>
          </cell>
          <cell r="M89">
            <v>0.93979999999999997</v>
          </cell>
          <cell r="O89">
            <v>2.5559999999999999E-2</v>
          </cell>
          <cell r="S89">
            <v>479.32053000000002</v>
          </cell>
          <cell r="T89">
            <v>0.57871835443037978</v>
          </cell>
          <cell r="U89">
            <v>5.7416796892477357E-3</v>
          </cell>
        </row>
        <row r="90">
          <cell r="A90" t="str">
            <v>ABELL_3158</v>
          </cell>
          <cell r="C90">
            <v>1.941E-2</v>
          </cell>
          <cell r="E90">
            <v>3.0000000000000001E-3</v>
          </cell>
          <cell r="F90">
            <v>4.7199999999999999E-8</v>
          </cell>
          <cell r="H90">
            <v>7.5200000000000005E-9</v>
          </cell>
          <cell r="M90">
            <v>0.89580000000000004</v>
          </cell>
          <cell r="O90">
            <v>1.944E-3</v>
          </cell>
          <cell r="S90">
            <v>436.38423999999998</v>
          </cell>
          <cell r="T90">
            <v>0.38242351529694063</v>
          </cell>
          <cell r="U90">
            <v>3.475710662791134E-3</v>
          </cell>
        </row>
        <row r="91">
          <cell r="A91" t="str">
            <v>WHL_J131505.2+514902</v>
          </cell>
          <cell r="C91">
            <v>0.02</v>
          </cell>
          <cell r="E91">
            <v>4.9459999999999999E-3</v>
          </cell>
          <cell r="F91">
            <v>1.2200000000000001E-7</v>
          </cell>
          <cell r="H91">
            <v>5.99E-8</v>
          </cell>
          <cell r="M91">
            <v>0.87139999999999995</v>
          </cell>
          <cell r="O91">
            <v>8.3040000000000006E-3</v>
          </cell>
          <cell r="S91">
            <v>508.37696999999997</v>
          </cell>
          <cell r="T91">
            <v>0.44555444555444562</v>
          </cell>
          <cell r="U91">
            <v>1.1655147515032473E-2</v>
          </cell>
        </row>
        <row r="92">
          <cell r="A92" t="str">
            <v>ABELL_3364</v>
          </cell>
          <cell r="C92">
            <v>3.9879999999999999E-2</v>
          </cell>
          <cell r="E92">
            <v>4.1269999999999996E-3</v>
          </cell>
          <cell r="F92">
            <v>7.3300000000000001E-8</v>
          </cell>
          <cell r="H92">
            <v>2.9499999999999999E-8</v>
          </cell>
          <cell r="M92">
            <v>0.94969999999999999</v>
          </cell>
          <cell r="O92">
            <v>6.7520000000000002E-3</v>
          </cell>
          <cell r="S92">
            <v>518.58816000000002</v>
          </cell>
          <cell r="T92">
            <v>0.51723013371018589</v>
          </cell>
          <cell r="U92">
            <v>9.497180223551574E-3</v>
          </cell>
        </row>
        <row r="93">
          <cell r="A93" t="str">
            <v>SC_1120-1202</v>
          </cell>
          <cell r="C93">
            <v>2.9579999999999999E-2</v>
          </cell>
          <cell r="E93">
            <v>9.2610000000000001E-3</v>
          </cell>
          <cell r="F93">
            <v>1.0300000000000001E-6</v>
          </cell>
          <cell r="H93">
            <v>8.2399999999999997E-7</v>
          </cell>
          <cell r="M93">
            <v>0.9355</v>
          </cell>
          <cell r="O93">
            <v>5.6680000000000001E-2</v>
          </cell>
          <cell r="S93">
            <v>259.84321</v>
          </cell>
          <cell r="T93" t="str">
            <v>-</v>
          </cell>
          <cell r="U93" t="str">
            <v>-</v>
          </cell>
        </row>
        <row r="94">
          <cell r="A94" t="str">
            <v>MACS_J1829.0+6913</v>
          </cell>
          <cell r="C94">
            <v>3.637E-2</v>
          </cell>
          <cell r="E94">
            <v>2.4870000000000001E-3</v>
          </cell>
          <cell r="F94">
            <v>4.9700000000000002E-8</v>
          </cell>
          <cell r="H94">
            <v>4.5200000000000001E-8</v>
          </cell>
          <cell r="M94">
            <v>0.92430000000000001</v>
          </cell>
          <cell r="O94">
            <v>4.904E-2</v>
          </cell>
          <cell r="S94">
            <v>359.64695999999998</v>
          </cell>
          <cell r="T94">
            <v>0.63400221593007511</v>
          </cell>
          <cell r="U94">
            <v>1.7696652570083446E-2</v>
          </cell>
        </row>
        <row r="95">
          <cell r="A95" t="str">
            <v>ABELL_3653</v>
          </cell>
          <cell r="C95">
            <v>0.2218</v>
          </cell>
          <cell r="E95">
            <v>4.5570000000000003E-3</v>
          </cell>
          <cell r="F95">
            <v>9.9299999999999996E-8</v>
          </cell>
          <cell r="H95">
            <v>4.7699999999999997E-8</v>
          </cell>
          <cell r="M95">
            <v>0.96120000000000005</v>
          </cell>
          <cell r="O95">
            <v>5.4089999999999997E-3</v>
          </cell>
          <cell r="S95">
            <v>415.11741000000001</v>
          </cell>
          <cell r="T95">
            <v>0.29307440800554835</v>
          </cell>
          <cell r="U95">
            <v>1.3246911499051252E-2</v>
          </cell>
        </row>
        <row r="96">
          <cell r="A96" t="str">
            <v>Abell_222</v>
          </cell>
          <cell r="C96">
            <v>3.7249999999999998E-2</v>
          </cell>
          <cell r="E96">
            <v>4.3220000000000003E-3</v>
          </cell>
          <cell r="F96">
            <v>9.3600000000000008E-9</v>
          </cell>
          <cell r="H96">
            <v>3.2399999999999999E-8</v>
          </cell>
          <cell r="M96">
            <v>0.88919999999999999</v>
          </cell>
          <cell r="O96">
            <v>5.534E-2</v>
          </cell>
          <cell r="S96">
            <v>367.98565000000002</v>
          </cell>
          <cell r="T96">
            <v>0.35221930520788813</v>
          </cell>
          <cell r="U96">
            <v>1.5832018330992903E-2</v>
          </cell>
        </row>
        <row r="97">
          <cell r="A97" t="str">
            <v>ABELL_0598</v>
          </cell>
          <cell r="C97">
            <v>2.3060000000000001E-2</v>
          </cell>
          <cell r="E97">
            <v>2.9380000000000001E-3</v>
          </cell>
          <cell r="F97">
            <v>1.4100000000000001E-9</v>
          </cell>
          <cell r="H97">
            <v>1.3200000000000001E-8</v>
          </cell>
          <cell r="M97">
            <v>0.95479999999999998</v>
          </cell>
          <cell r="O97">
            <v>1.132E-2</v>
          </cell>
          <cell r="S97">
            <v>400.28339</v>
          </cell>
          <cell r="T97">
            <v>0.66878980891719741</v>
          </cell>
          <cell r="U97">
            <v>1.2584205237361682E-2</v>
          </cell>
        </row>
        <row r="98">
          <cell r="A98" t="str">
            <v>400d_J1641+4001</v>
          </cell>
          <cell r="C98">
            <v>2.5870000000000001E-2</v>
          </cell>
          <cell r="E98">
            <v>6.6369999999999997E-3</v>
          </cell>
          <cell r="F98">
            <v>1.98E-7</v>
          </cell>
          <cell r="H98">
            <v>3.0899999999999997E-7</v>
          </cell>
          <cell r="M98">
            <v>0.94120000000000004</v>
          </cell>
          <cell r="O98">
            <v>3.3300000000000003E-2</v>
          </cell>
          <cell r="S98">
            <v>315.21980000000002</v>
          </cell>
          <cell r="T98" t="str">
            <v>-</v>
          </cell>
          <cell r="U98" t="str">
            <v>-</v>
          </cell>
        </row>
        <row r="99">
          <cell r="A99" t="str">
            <v>ABELL_2345</v>
          </cell>
          <cell r="C99">
            <v>9.0969999999999995E-2</v>
          </cell>
          <cell r="E99">
            <v>1.2579999999999999E-2</v>
          </cell>
          <cell r="F99">
            <v>1.3799999999999999E-6</v>
          </cell>
          <cell r="H99">
            <v>4.2599999999999998E-7</v>
          </cell>
          <cell r="M99">
            <v>0.84530000000000005</v>
          </cell>
          <cell r="O99">
            <v>1.072E-2</v>
          </cell>
          <cell r="S99">
            <v>451.32722999999999</v>
          </cell>
          <cell r="T99">
            <v>0.25725617450874344</v>
          </cell>
          <cell r="U99">
            <v>1.4617047837692274E-2</v>
          </cell>
        </row>
        <row r="100">
          <cell r="A100" t="str">
            <v>MCXC_J0142.0+2131</v>
          </cell>
          <cell r="C100">
            <v>2.1329999999999998E-2</v>
          </cell>
          <cell r="E100">
            <v>2.7569999999999999E-3</v>
          </cell>
          <cell r="F100">
            <v>3.1699999999999999E-7</v>
          </cell>
          <cell r="H100">
            <v>1.3199999999999999E-7</v>
          </cell>
          <cell r="M100">
            <v>0.91649999999999998</v>
          </cell>
          <cell r="O100">
            <v>6.3009999999999997E-2</v>
          </cell>
          <cell r="S100">
            <v>478.33434999999997</v>
          </cell>
          <cell r="T100" t="str">
            <v>-</v>
          </cell>
          <cell r="U100" t="str">
            <v>-</v>
          </cell>
        </row>
        <row r="101">
          <cell r="A101" t="str">
            <v>SDSS-C4_3062</v>
          </cell>
          <cell r="C101">
            <v>2.632E-2</v>
          </cell>
          <cell r="E101">
            <v>3.8430000000000001E-3</v>
          </cell>
          <cell r="F101">
            <v>6.7399999999999995E-8</v>
          </cell>
          <cell r="H101">
            <v>6.6899999999999997E-8</v>
          </cell>
          <cell r="M101">
            <v>0.93910000000000005</v>
          </cell>
          <cell r="O101">
            <v>1.0359999999999999E-2</v>
          </cell>
          <cell r="S101">
            <v>412.08389</v>
          </cell>
          <cell r="T101">
            <v>0.56537753222836096</v>
          </cell>
          <cell r="U101">
            <v>5.4306025123872358E-2</v>
          </cell>
        </row>
        <row r="102">
          <cell r="A102" t="str">
            <v>2MASSi_J0913454+405628</v>
          </cell>
          <cell r="C102">
            <v>7.3929999999999996E-2</v>
          </cell>
          <cell r="E102">
            <v>5.424E-3</v>
          </cell>
          <cell r="F102">
            <v>8.7399999999999992E-9</v>
          </cell>
          <cell r="H102">
            <v>1.9000000000000001E-8</v>
          </cell>
          <cell r="M102">
            <v>0.93379999999999996</v>
          </cell>
          <cell r="O102">
            <v>9.2759999999999995E-3</v>
          </cell>
          <cell r="S102">
            <v>399.66257000000002</v>
          </cell>
          <cell r="T102">
            <v>0.78872405756353814</v>
          </cell>
          <cell r="U102">
            <v>7.5467888126812153E-3</v>
          </cell>
        </row>
        <row r="103">
          <cell r="A103" t="str">
            <v>WARP_J1415.1+3612</v>
          </cell>
          <cell r="C103">
            <v>0.1024</v>
          </cell>
          <cell r="E103">
            <v>1.227E-2</v>
          </cell>
          <cell r="F103">
            <v>3.5400000000000002E-7</v>
          </cell>
          <cell r="H103">
            <v>3.1100000000000002E-7</v>
          </cell>
          <cell r="M103">
            <v>0.95</v>
          </cell>
          <cell r="O103">
            <v>9.7310000000000001E-3</v>
          </cell>
          <cell r="S103">
            <v>246.76430999999999</v>
          </cell>
          <cell r="T103" t="str">
            <v>-</v>
          </cell>
          <cell r="U103" t="str">
            <v>-</v>
          </cell>
        </row>
        <row r="104">
          <cell r="A104" t="str">
            <v>IC_1880_GROUP</v>
          </cell>
          <cell r="C104">
            <v>3.1009999999999999E-2</v>
          </cell>
          <cell r="E104">
            <v>4.2319999999999997E-3</v>
          </cell>
          <cell r="F104">
            <v>2.6300000000000001E-7</v>
          </cell>
          <cell r="H104">
            <v>1.24E-7</v>
          </cell>
          <cell r="M104">
            <v>0.92930000000000001</v>
          </cell>
          <cell r="O104">
            <v>1.285E-2</v>
          </cell>
          <cell r="S104">
            <v>305.06875000000002</v>
          </cell>
          <cell r="T104" t="str">
            <v>-</v>
          </cell>
          <cell r="U104" t="str">
            <v>-</v>
          </cell>
        </row>
        <row r="105">
          <cell r="A105" t="str">
            <v>ABELL_1423</v>
          </cell>
          <cell r="C105">
            <v>2.1420000000000002E-2</v>
          </cell>
          <cell r="E105">
            <v>3.9699999999999996E-3</v>
          </cell>
          <cell r="F105">
            <v>7.06E-9</v>
          </cell>
          <cell r="H105">
            <v>1.6199999999999999E-8</v>
          </cell>
          <cell r="M105">
            <v>0.90069999999999995</v>
          </cell>
          <cell r="O105">
            <v>7.6439999999999998E-3</v>
          </cell>
          <cell r="S105">
            <v>445.30302999999998</v>
          </cell>
          <cell r="T105">
            <v>0.53430353430353428</v>
          </cell>
          <cell r="U105">
            <v>1.1175970288911331E-2</v>
          </cell>
        </row>
        <row r="106">
          <cell r="A106" t="str">
            <v>ABELL_0578</v>
          </cell>
          <cell r="C106">
            <v>5.7119999999999997E-2</v>
          </cell>
          <cell r="E106">
            <v>5.1409999999999997E-3</v>
          </cell>
          <cell r="F106">
            <v>3.4900000000000001E-7</v>
          </cell>
          <cell r="H106">
            <v>1.14E-7</v>
          </cell>
          <cell r="M106">
            <v>0.94569999999999999</v>
          </cell>
          <cell r="O106">
            <v>7.6049999999999998E-3</v>
          </cell>
          <cell r="S106">
            <v>314.13481000000002</v>
          </cell>
          <cell r="T106">
            <v>0.3555147768978173</v>
          </cell>
          <cell r="U106">
            <v>3.9693515839931671E-2</v>
          </cell>
        </row>
        <row r="107">
          <cell r="A107" t="str">
            <v>ABELL_0402</v>
          </cell>
          <cell r="C107">
            <v>3.6179999999999997E-2</v>
          </cell>
          <cell r="E107">
            <v>2.395E-3</v>
          </cell>
          <cell r="F107">
            <v>1.98E-7</v>
          </cell>
          <cell r="H107">
            <v>9.0600000000000004E-8</v>
          </cell>
          <cell r="M107">
            <v>0.92490000000000006</v>
          </cell>
          <cell r="O107">
            <v>5.0610000000000002E-2</v>
          </cell>
          <cell r="S107">
            <v>481.89562000000001</v>
          </cell>
          <cell r="T107">
            <v>0.60983715520106352</v>
          </cell>
          <cell r="U107">
            <v>1.4666993190916043E-2</v>
          </cell>
        </row>
        <row r="108">
          <cell r="A108" t="str">
            <v>ABELL_3809</v>
          </cell>
          <cell r="C108">
            <v>1.3679999999999999E-2</v>
          </cell>
          <cell r="E108">
            <v>2.1559999999999999E-3</v>
          </cell>
          <cell r="F108">
            <v>4.6800000000000002E-8</v>
          </cell>
          <cell r="H108">
            <v>4.3399999999999998E-8</v>
          </cell>
          <cell r="M108">
            <v>0.89529999999999998</v>
          </cell>
          <cell r="O108">
            <v>7.8450000000000006E-2</v>
          </cell>
          <cell r="S108">
            <v>321.01022</v>
          </cell>
          <cell r="T108">
            <v>0.49146524648368151</v>
          </cell>
          <cell r="U108">
            <v>1.9568938111423104E-2</v>
          </cell>
        </row>
        <row r="109">
          <cell r="A109" t="str">
            <v>MACS_J1621.3+3810</v>
          </cell>
          <cell r="C109">
            <v>9.604E-2</v>
          </cell>
          <cell r="E109">
            <v>4.0039999999999997E-3</v>
          </cell>
          <cell r="F109">
            <v>3.5600000000000001E-8</v>
          </cell>
          <cell r="H109">
            <v>3.0699999999999997E-8</v>
          </cell>
          <cell r="M109">
            <v>0.94689999999999996</v>
          </cell>
          <cell r="O109">
            <v>7.4149999999999997E-3</v>
          </cell>
          <cell r="S109">
            <v>430.52499999999998</v>
          </cell>
          <cell r="T109">
            <v>0.64702855672755333</v>
          </cell>
          <cell r="U109">
            <v>1.1016138043665741E-2</v>
          </cell>
        </row>
        <row r="110">
          <cell r="A110" t="str">
            <v>IC_1365</v>
          </cell>
          <cell r="C110">
            <v>0.32719999999999999</v>
          </cell>
          <cell r="E110">
            <v>4.274E-3</v>
          </cell>
          <cell r="F110">
            <v>4.9599999999999999E-7</v>
          </cell>
          <cell r="H110">
            <v>9.5999999999999999E-8</v>
          </cell>
          <cell r="M110">
            <v>0.94950000000000001</v>
          </cell>
          <cell r="O110">
            <v>7.0190000000000001E-3</v>
          </cell>
          <cell r="S110">
            <v>400.60640000000001</v>
          </cell>
          <cell r="T110">
            <v>0.42131400577142469</v>
          </cell>
          <cell r="U110">
            <v>1.3893729378720389E-2</v>
          </cell>
        </row>
        <row r="111">
          <cell r="A111" t="str">
            <v>ABELL_1650</v>
          </cell>
          <cell r="C111">
            <v>1.687E-2</v>
          </cell>
          <cell r="E111">
            <v>2.8370000000000001E-4</v>
          </cell>
          <cell r="F111">
            <v>7.0100000000000004E-9</v>
          </cell>
          <cell r="H111">
            <v>1.4200000000000001E-9</v>
          </cell>
          <cell r="M111">
            <v>0.89080000000000004</v>
          </cell>
          <cell r="O111">
            <v>1.5039999999999999E-3</v>
          </cell>
          <cell r="S111">
            <v>468.25898999999998</v>
          </cell>
          <cell r="T111">
            <v>0.61231510147918811</v>
          </cell>
          <cell r="U111">
            <v>2.4494887648763676E-3</v>
          </cell>
        </row>
        <row r="112">
          <cell r="A112" t="str">
            <v>SPT-CL_J0438-5419</v>
          </cell>
          <cell r="C112">
            <v>5.2940000000000001E-2</v>
          </cell>
          <cell r="E112">
            <v>3.6960000000000001E-3</v>
          </cell>
          <cell r="F112">
            <v>2.77E-8</v>
          </cell>
          <cell r="H112">
            <v>4.2200000000000001E-8</v>
          </cell>
          <cell r="M112">
            <v>0.86680000000000001</v>
          </cell>
          <cell r="O112">
            <v>1.158E-2</v>
          </cell>
          <cell r="S112">
            <v>527.31484999999998</v>
          </cell>
          <cell r="T112" t="str">
            <v>-</v>
          </cell>
          <cell r="U112" t="str">
            <v>-</v>
          </cell>
        </row>
        <row r="113">
          <cell r="A113" t="str">
            <v>MACS_J2229.8-2756</v>
          </cell>
          <cell r="C113">
            <v>5.7979999999999997E-2</v>
          </cell>
          <cell r="E113">
            <v>8.9099999999999995E-3</v>
          </cell>
          <cell r="F113">
            <v>7.7200000000000006E-9</v>
          </cell>
          <cell r="H113">
            <v>1.81E-8</v>
          </cell>
          <cell r="M113">
            <v>0.89300000000000002</v>
          </cell>
          <cell r="O113">
            <v>1.18E-2</v>
          </cell>
          <cell r="S113">
            <v>414.74723</v>
          </cell>
          <cell r="T113">
            <v>0.74503893494096962</v>
          </cell>
          <cell r="U113">
            <v>1.0971998258820193E-2</v>
          </cell>
        </row>
        <row r="114">
          <cell r="A114" t="str">
            <v>ABELL_1836</v>
          </cell>
          <cell r="C114">
            <v>5.4149999999999997E-2</v>
          </cell>
          <cell r="E114">
            <v>5.7070000000000003E-3</v>
          </cell>
          <cell r="F114">
            <v>4.8300000000000002E-8</v>
          </cell>
          <cell r="H114">
            <v>3.8199999999999998E-8</v>
          </cell>
          <cell r="M114">
            <v>0.97289999999999999</v>
          </cell>
          <cell r="O114">
            <v>4.7489999999999997E-3</v>
          </cell>
          <cell r="S114">
            <v>237.33385999999999</v>
          </cell>
          <cell r="T114" t="str">
            <v>-</v>
          </cell>
          <cell r="U114" t="str">
            <v>-</v>
          </cell>
        </row>
        <row r="115">
          <cell r="A115" t="str">
            <v>ABELL_0098N</v>
          </cell>
          <cell r="C115">
            <v>1.4019999999999999E-2</v>
          </cell>
          <cell r="E115">
            <v>1.8979999999999999E-3</v>
          </cell>
          <cell r="F115">
            <v>4.95E-8</v>
          </cell>
          <cell r="H115">
            <v>4.5499999999999997E-8</v>
          </cell>
          <cell r="M115">
            <v>0.9345</v>
          </cell>
          <cell r="O115">
            <v>8.3300000000000006E-3</v>
          </cell>
          <cell r="S115">
            <v>364.31076999999999</v>
          </cell>
          <cell r="T115">
            <v>0.55329385640266471</v>
          </cell>
          <cell r="U115">
            <v>2.6856350878093769E-2</v>
          </cell>
        </row>
        <row r="116">
          <cell r="A116" t="str">
            <v>ABELL_0744</v>
          </cell>
          <cell r="C116">
            <v>2.9430000000000001E-2</v>
          </cell>
          <cell r="E116">
            <v>7.45E-3</v>
          </cell>
          <cell r="F116">
            <v>8.7800000000000005E-8</v>
          </cell>
          <cell r="H116">
            <v>4.8699999999999999E-8</v>
          </cell>
          <cell r="M116">
            <v>0.98529999999999995</v>
          </cell>
          <cell r="O116">
            <v>1.35E-2</v>
          </cell>
          <cell r="S116">
            <v>292.58161999999999</v>
          </cell>
          <cell r="T116">
            <v>0.54771505376344098</v>
          </cell>
          <cell r="U116">
            <v>2.9512192628363628E-2</v>
          </cell>
        </row>
        <row r="117">
          <cell r="A117" t="str">
            <v>FBQS_J074417.4+375317</v>
          </cell>
          <cell r="C117">
            <v>3.1199999999999999E-2</v>
          </cell>
          <cell r="E117">
            <v>6.7070000000000003E-3</v>
          </cell>
          <cell r="F117">
            <v>1.14E-7</v>
          </cell>
          <cell r="H117">
            <v>1.08E-7</v>
          </cell>
          <cell r="M117">
            <v>0.90849999999999997</v>
          </cell>
          <cell r="O117">
            <v>1.056E-2</v>
          </cell>
          <cell r="S117">
            <v>308.45708000000002</v>
          </cell>
          <cell r="T117" t="str">
            <v>-</v>
          </cell>
          <cell r="U117" t="str">
            <v>-</v>
          </cell>
        </row>
        <row r="118">
          <cell r="A118" t="str">
            <v>400d_J2247+0337</v>
          </cell>
          <cell r="C118">
            <v>2.7980000000000001E-2</v>
          </cell>
          <cell r="E118">
            <v>8.5030000000000001E-3</v>
          </cell>
          <cell r="F118">
            <v>2.4200000000000002E-7</v>
          </cell>
          <cell r="H118">
            <v>3.3299999999999998E-7</v>
          </cell>
          <cell r="M118">
            <v>0.94840000000000002</v>
          </cell>
          <cell r="O118">
            <v>2.7830000000000001E-2</v>
          </cell>
          <cell r="S118">
            <v>272.95073000000002</v>
          </cell>
          <cell r="T118" t="str">
            <v>-</v>
          </cell>
          <cell r="U118" t="str">
            <v>-</v>
          </cell>
        </row>
        <row r="119">
          <cell r="A119" t="str">
            <v>MCXC_J1852.1+5711</v>
          </cell>
          <cell r="C119">
            <v>1.7569999999999999E-2</v>
          </cell>
          <cell r="E119">
            <v>2.0089999999999999E-3</v>
          </cell>
          <cell r="F119">
            <v>4.2699999999999999E-8</v>
          </cell>
          <cell r="H119">
            <v>3.5000000000000002E-8</v>
          </cell>
          <cell r="M119">
            <v>0.90310000000000001</v>
          </cell>
          <cell r="O119">
            <v>8.8830000000000003E-3</v>
          </cell>
          <cell r="S119">
            <v>389.99248</v>
          </cell>
          <cell r="T119">
            <v>0.61329588014981273</v>
          </cell>
          <cell r="U119">
            <v>1.5192045637511481E-2</v>
          </cell>
        </row>
        <row r="120">
          <cell r="A120" t="str">
            <v>ABELL_S0295</v>
          </cell>
          <cell r="C120">
            <v>0.17299999999999999</v>
          </cell>
          <cell r="E120">
            <v>5.254E-3</v>
          </cell>
          <cell r="F120">
            <v>7.6399999999999996E-8</v>
          </cell>
          <cell r="H120">
            <v>6.2400000000000003E-8</v>
          </cell>
          <cell r="M120">
            <v>0.92779999999999996</v>
          </cell>
          <cell r="O120">
            <v>8.9829999999999997E-3</v>
          </cell>
          <cell r="S120">
            <v>472.91487000000001</v>
          </cell>
          <cell r="T120">
            <v>0.36176661615068195</v>
          </cell>
          <cell r="U120">
            <v>1.402677725027252E-2</v>
          </cell>
        </row>
        <row r="121">
          <cell r="A121" t="str">
            <v>MCXC_J1558.3-1410</v>
          </cell>
          <cell r="C121">
            <v>1.094E-2</v>
          </cell>
          <cell r="E121">
            <v>4.3560000000000002E-4</v>
          </cell>
          <cell r="F121">
            <v>1.5900000000000001E-7</v>
          </cell>
          <cell r="H121">
            <v>1.51E-8</v>
          </cell>
          <cell r="M121">
            <v>0.86319999999999997</v>
          </cell>
          <cell r="O121">
            <v>3.212E-3</v>
          </cell>
          <cell r="S121">
            <v>439.78005000000002</v>
          </cell>
          <cell r="T121">
            <v>0.66564899620686457</v>
          </cell>
          <cell r="U121">
            <v>3.0495016107160017E-3</v>
          </cell>
        </row>
        <row r="122">
          <cell r="A122" t="str">
            <v>400d_J0956+4107</v>
          </cell>
          <cell r="C122">
            <v>5.8450000000000002E-2</v>
          </cell>
          <cell r="E122">
            <v>1.4080000000000001E-2</v>
          </cell>
          <cell r="F122">
            <v>7.0500000000000003E-8</v>
          </cell>
          <cell r="H122">
            <v>3.4900000000000001E-7</v>
          </cell>
          <cell r="M122">
            <v>0.8196</v>
          </cell>
          <cell r="O122">
            <v>1.9E-2</v>
          </cell>
          <cell r="S122">
            <v>305.34282000000002</v>
          </cell>
          <cell r="T122" t="str">
            <v>-</v>
          </cell>
          <cell r="U122" t="str">
            <v>-</v>
          </cell>
        </row>
        <row r="123">
          <cell r="A123" t="str">
            <v>WHL_J091834.3+295318</v>
          </cell>
          <cell r="C123">
            <v>0.1331</v>
          </cell>
          <cell r="E123">
            <v>0.20419999999999999</v>
          </cell>
          <cell r="F123">
            <v>1.13E-6</v>
          </cell>
          <cell r="H123">
            <v>1.99E-6</v>
          </cell>
          <cell r="M123">
            <v>0.90239999999999998</v>
          </cell>
          <cell r="O123">
            <v>8.48E-2</v>
          </cell>
          <cell r="S123">
            <v>239.57297</v>
          </cell>
          <cell r="T123" t="str">
            <v>-</v>
          </cell>
          <cell r="U123" t="str">
            <v>-</v>
          </cell>
        </row>
        <row r="124">
          <cell r="A124" t="str">
            <v>ABELL_0781</v>
          </cell>
          <cell r="C124">
            <v>0.14199999999999999</v>
          </cell>
          <cell r="E124">
            <v>9.247E-3</v>
          </cell>
          <cell r="F124">
            <v>3.8500000000000002E-7</v>
          </cell>
          <cell r="H124">
            <v>3.9299999999999999E-7</v>
          </cell>
          <cell r="M124">
            <v>0.91679999999999995</v>
          </cell>
          <cell r="O124">
            <v>1.7069999999999998E-2</v>
          </cell>
          <cell r="S124">
            <v>448.06675999999999</v>
          </cell>
          <cell r="T124" t="str">
            <v>-</v>
          </cell>
          <cell r="U124" t="str">
            <v>-</v>
          </cell>
        </row>
        <row r="125">
          <cell r="A125" t="str">
            <v>ACT-CL_J0346-5438</v>
          </cell>
          <cell r="C125">
            <v>2.8570000000000002E-2</v>
          </cell>
          <cell r="E125">
            <v>7.0159999999999997E-3</v>
          </cell>
          <cell r="F125">
            <v>3.0899999999999997E-7</v>
          </cell>
          <cell r="H125">
            <v>3.0100000000000001E-7</v>
          </cell>
          <cell r="M125">
            <v>0.88939999999999997</v>
          </cell>
          <cell r="O125">
            <v>7.2889999999999996E-2</v>
          </cell>
          <cell r="S125">
            <v>352.13850000000002</v>
          </cell>
          <cell r="T125" t="str">
            <v>-</v>
          </cell>
          <cell r="U125" t="str">
            <v>-</v>
          </cell>
        </row>
        <row r="126">
          <cell r="A126" t="str">
            <v>ABELL_1204</v>
          </cell>
          <cell r="C126">
            <v>3.9890000000000002E-2</v>
          </cell>
          <cell r="E126">
            <v>4.1450000000000002E-3</v>
          </cell>
          <cell r="F126">
            <v>5.3699999999999998E-8</v>
          </cell>
          <cell r="H126">
            <v>2.3800000000000001E-8</v>
          </cell>
          <cell r="M126">
            <v>0.93289999999999995</v>
          </cell>
          <cell r="O126">
            <v>1.0189999999999999E-2</v>
          </cell>
          <cell r="S126">
            <v>387.02659999999997</v>
          </cell>
          <cell r="T126">
            <v>0.80317422147408912</v>
          </cell>
          <cell r="U126">
            <v>8.0049249089688222E-3</v>
          </cell>
        </row>
        <row r="127">
          <cell r="A127" t="str">
            <v>ABELL_2665</v>
          </cell>
          <cell r="C127">
            <v>9.8320000000000005E-3</v>
          </cell>
          <cell r="E127">
            <v>1.9530000000000001E-3</v>
          </cell>
          <cell r="F127">
            <v>4.8E-8</v>
          </cell>
          <cell r="H127">
            <v>3.47E-8</v>
          </cell>
          <cell r="M127">
            <v>0.97299999999999998</v>
          </cell>
          <cell r="O127">
            <v>2.1690000000000001E-2</v>
          </cell>
          <cell r="S127">
            <v>419.34778999999997</v>
          </cell>
          <cell r="T127">
            <v>0.50737302020753683</v>
          </cell>
          <cell r="U127">
            <v>1.4856766053276257E-2</v>
          </cell>
        </row>
        <row r="128">
          <cell r="A128" t="str">
            <v>ABELL_3094</v>
          </cell>
          <cell r="C128">
            <v>6.6100000000000006E-2</v>
          </cell>
          <cell r="E128">
            <v>4.6129999999999999E-3</v>
          </cell>
          <cell r="F128">
            <v>1.9600000000000001E-7</v>
          </cell>
          <cell r="H128">
            <v>7.8499999999999995E-8</v>
          </cell>
          <cell r="M128">
            <v>0.90669999999999995</v>
          </cell>
          <cell r="O128">
            <v>6.4359999999999999E-3</v>
          </cell>
          <cell r="S128">
            <v>325.26434</v>
          </cell>
          <cell r="T128">
            <v>0.35501230012300128</v>
          </cell>
          <cell r="U128">
            <v>1.9729455877391795E-2</v>
          </cell>
        </row>
        <row r="129">
          <cell r="A129" t="str">
            <v>PLCKESZ_G264.41+19.48</v>
          </cell>
          <cell r="C129">
            <v>9.7070000000000004E-3</v>
          </cell>
          <cell r="E129">
            <v>2.346E-3</v>
          </cell>
          <cell r="F129">
            <v>8.2800000000000004E-9</v>
          </cell>
          <cell r="H129">
            <v>2.6300000000000001E-8</v>
          </cell>
          <cell r="M129">
            <v>0.85719999999999996</v>
          </cell>
          <cell r="O129">
            <v>8.4309999999999993E-3</v>
          </cell>
          <cell r="S129">
            <v>496.33685000000003</v>
          </cell>
          <cell r="T129">
            <v>0.4258684863523573</v>
          </cell>
          <cell r="U129">
            <v>1.4108218071850868E-2</v>
          </cell>
        </row>
        <row r="130">
          <cell r="A130" t="str">
            <v>MACS_J1206.2-0847</v>
          </cell>
          <cell r="C130">
            <v>3.9050000000000001E-2</v>
          </cell>
          <cell r="E130">
            <v>3.3570000000000002E-3</v>
          </cell>
          <cell r="F130">
            <v>1.48E-7</v>
          </cell>
          <cell r="H130">
            <v>6.8900000000000002E-8</v>
          </cell>
          <cell r="M130">
            <v>0.91779999999999995</v>
          </cell>
          <cell r="O130">
            <v>9.2580000000000006E-3</v>
          </cell>
          <cell r="S130">
            <v>537.35945000000004</v>
          </cell>
          <cell r="T130">
            <v>0.53053357679042401</v>
          </cell>
          <cell r="U130">
            <v>1.0505519376058294E-2</v>
          </cell>
        </row>
        <row r="131">
          <cell r="A131" t="str">
            <v>ABELL_0383</v>
          </cell>
          <cell r="C131">
            <v>3.3360000000000001E-2</v>
          </cell>
          <cell r="E131">
            <v>2.3909999999999999E-3</v>
          </cell>
          <cell r="F131">
            <v>1.1700000000000001E-8</v>
          </cell>
          <cell r="H131">
            <v>7.54E-9</v>
          </cell>
          <cell r="M131">
            <v>0.97899999999999998</v>
          </cell>
          <cell r="O131">
            <v>7.2630000000000004E-3</v>
          </cell>
          <cell r="S131">
            <v>425.72818999999998</v>
          </cell>
          <cell r="T131">
            <v>0.66027772345002933</v>
          </cell>
          <cell r="U131">
            <v>9.1472475689833854E-3</v>
          </cell>
        </row>
        <row r="132">
          <cell r="A132" t="str">
            <v>ABELL_2069</v>
          </cell>
          <cell r="C132">
            <v>0.21840000000000001</v>
          </cell>
          <cell r="E132">
            <v>1.15E-2</v>
          </cell>
          <cell r="F132">
            <v>1.6199999999999999E-7</v>
          </cell>
          <cell r="H132">
            <v>4.9199999999999997E-8</v>
          </cell>
          <cell r="M132">
            <v>0.88629999999999998</v>
          </cell>
          <cell r="O132">
            <v>4.3169999999999997E-3</v>
          </cell>
          <cell r="S132">
            <v>476.74342999999999</v>
          </cell>
          <cell r="T132">
            <v>0.32019704433497537</v>
          </cell>
          <cell r="U132">
            <v>7.4052667887871525E-3</v>
          </cell>
        </row>
        <row r="133">
          <cell r="A133" t="str">
            <v>400d_J0230+1836</v>
          </cell>
          <cell r="C133">
            <v>4.3819999999999998E-2</v>
          </cell>
          <cell r="E133">
            <v>1.0529999999999999E-2</v>
          </cell>
          <cell r="F133">
            <v>1.88E-6</v>
          </cell>
          <cell r="H133">
            <v>1.5200000000000001E-6</v>
          </cell>
          <cell r="M133">
            <v>0.84660000000000002</v>
          </cell>
          <cell r="O133">
            <v>2.5049999999999999E-2</v>
          </cell>
          <cell r="S133">
            <v>278.44009</v>
          </cell>
          <cell r="T133" t="str">
            <v>-</v>
          </cell>
          <cell r="U133" t="str">
            <v>-</v>
          </cell>
        </row>
        <row r="134">
          <cell r="A134" t="str">
            <v>MCXC_J1234.2+0947</v>
          </cell>
          <cell r="C134">
            <v>9.3590000000000007E-2</v>
          </cell>
          <cell r="E134">
            <v>3.0710000000000001E-2</v>
          </cell>
          <cell r="F134">
            <v>7.8299999999999996E-7</v>
          </cell>
          <cell r="H134">
            <v>4.63E-7</v>
          </cell>
          <cell r="M134">
            <v>0.80720000000000003</v>
          </cell>
          <cell r="O134">
            <v>1.272E-2</v>
          </cell>
          <cell r="S134">
            <v>394.40676999999999</v>
          </cell>
          <cell r="T134">
            <v>0.22288628575982153</v>
          </cell>
          <cell r="U134">
            <v>1.606047818358523E-2</v>
          </cell>
        </row>
        <row r="135">
          <cell r="A135" t="str">
            <v>ABELL_2384</v>
          </cell>
          <cell r="C135">
            <v>3.8789999999999998E-2</v>
          </cell>
          <cell r="E135">
            <v>1.6080000000000001E-3</v>
          </cell>
          <cell r="F135">
            <v>9.2900000000000005E-8</v>
          </cell>
          <cell r="H135">
            <v>2.9300000000000001E-8</v>
          </cell>
          <cell r="M135">
            <v>0.88449999999999995</v>
          </cell>
          <cell r="O135">
            <v>5.437E-3</v>
          </cell>
          <cell r="S135">
            <v>469.47059000000002</v>
          </cell>
          <cell r="T135">
            <v>0.5674358141046475</v>
          </cell>
          <cell r="U135">
            <v>7.4589961626914617E-3</v>
          </cell>
        </row>
        <row r="136">
          <cell r="A136" t="str">
            <v>MCXC_J0425.8-0833</v>
          </cell>
          <cell r="C136">
            <v>3.9179999999999996E-3</v>
          </cell>
          <cell r="E136">
            <v>5.5199999999999997E-4</v>
          </cell>
          <cell r="F136">
            <v>1.1100000000000001E-9</v>
          </cell>
          <cell r="H136">
            <v>3.7399999999999999E-9</v>
          </cell>
          <cell r="M136">
            <v>0.95440000000000003</v>
          </cell>
          <cell r="O136">
            <v>6.2329999999999998E-3</v>
          </cell>
          <cell r="S136">
            <v>351.98189000000002</v>
          </cell>
          <cell r="T136">
            <v>0.66147704590818368</v>
          </cell>
          <cell r="U136">
            <v>1.2903684290844018E-2</v>
          </cell>
        </row>
        <row r="137">
          <cell r="A137" t="str">
            <v>WHL_J092207.6+034558</v>
          </cell>
          <cell r="C137">
            <v>0.1197</v>
          </cell>
          <cell r="E137">
            <v>1.238E-2</v>
          </cell>
          <cell r="F137">
            <v>9.0499999999999996E-8</v>
          </cell>
          <cell r="H137">
            <v>2.8299999999999998E-7</v>
          </cell>
          <cell r="M137">
            <v>0.87560000000000004</v>
          </cell>
          <cell r="O137">
            <v>2.1219999999999999E-2</v>
          </cell>
          <cell r="S137">
            <v>546.74829</v>
          </cell>
          <cell r="T137" t="str">
            <v>-</v>
          </cell>
          <cell r="U137" t="str">
            <v>-</v>
          </cell>
        </row>
        <row r="138">
          <cell r="A138" t="str">
            <v>MACS_J1427.6-2521</v>
          </cell>
          <cell r="C138">
            <v>0.10299999999999999</v>
          </cell>
          <cell r="E138">
            <v>7.149E-3</v>
          </cell>
          <cell r="F138">
            <v>3.2100000000000003E-8</v>
          </cell>
          <cell r="H138">
            <v>7.3000000000000005E-8</v>
          </cell>
          <cell r="M138">
            <v>0.98060000000000003</v>
          </cell>
          <cell r="O138">
            <v>1.3939999999999999E-2</v>
          </cell>
          <cell r="S138">
            <v>371.59330999999997</v>
          </cell>
          <cell r="T138">
            <v>0.69239976062238184</v>
          </cell>
          <cell r="U138">
            <v>1.6201185451438893E-2</v>
          </cell>
        </row>
        <row r="139">
          <cell r="A139" t="str">
            <v>SDSS_J1115+5319_CLUSTER</v>
          </cell>
          <cell r="C139">
            <v>3.6769999999999997E-2</v>
          </cell>
          <cell r="E139">
            <v>4.4939999999999997E-3</v>
          </cell>
          <cell r="F139">
            <v>1.79E-7</v>
          </cell>
          <cell r="H139">
            <v>1.5599999999999999E-7</v>
          </cell>
          <cell r="M139">
            <v>0.94669999999999999</v>
          </cell>
          <cell r="O139">
            <v>1.6830000000000001E-2</v>
          </cell>
          <cell r="S139">
            <v>524.60265000000004</v>
          </cell>
          <cell r="T139" t="str">
            <v>-</v>
          </cell>
          <cell r="U139" t="str">
            <v>-</v>
          </cell>
        </row>
        <row r="140">
          <cell r="A140" t="str">
            <v>WHL_J093820.9+520243</v>
          </cell>
          <cell r="C140">
            <v>9.2780000000000001E-2</v>
          </cell>
          <cell r="E140">
            <v>4.6410000000000002E-3</v>
          </cell>
          <cell r="F140">
            <v>2.9200000000000002E-7</v>
          </cell>
          <cell r="H140">
            <v>1.23E-7</v>
          </cell>
          <cell r="M140">
            <v>0.85970000000000002</v>
          </cell>
          <cell r="O140">
            <v>9.4109999999999992E-3</v>
          </cell>
          <cell r="S140">
            <v>427.14949000000001</v>
          </cell>
          <cell r="T140">
            <v>0.45334731166691628</v>
          </cell>
          <cell r="U140">
            <v>1.6185879685979739E-2</v>
          </cell>
        </row>
        <row r="141">
          <cell r="A141" t="str">
            <v>ABELL_3402</v>
          </cell>
          <cell r="C141">
            <v>0.10009999999999999</v>
          </cell>
          <cell r="E141">
            <v>1.6879999999999999E-2</v>
          </cell>
          <cell r="F141">
            <v>2.81E-8</v>
          </cell>
          <cell r="H141">
            <v>3.9700000000000002E-7</v>
          </cell>
          <cell r="M141">
            <v>0.93359999999999999</v>
          </cell>
          <cell r="O141">
            <v>2.537E-2</v>
          </cell>
          <cell r="S141">
            <v>287.26772</v>
          </cell>
          <cell r="T141" t="str">
            <v>-</v>
          </cell>
          <cell r="U141" t="str">
            <v>-</v>
          </cell>
        </row>
        <row r="142">
          <cell r="A142" t="str">
            <v>ABELL_0119</v>
          </cell>
          <cell r="C142">
            <v>3.2190000000000003E-2</v>
          </cell>
          <cell r="E142">
            <v>2.5049999999999998E-3</v>
          </cell>
          <cell r="F142">
            <v>1.24E-7</v>
          </cell>
          <cell r="H142">
            <v>1.66E-8</v>
          </cell>
          <cell r="M142">
            <v>0.93830000000000002</v>
          </cell>
          <cell r="O142">
            <v>1.91E-3</v>
          </cell>
          <cell r="S142">
            <v>482.29065000000003</v>
          </cell>
          <cell r="T142">
            <v>0.26532381778163144</v>
          </cell>
          <cell r="U142">
            <v>4.2267676302635065E-3</v>
          </cell>
        </row>
        <row r="143">
          <cell r="A143" t="str">
            <v>ABELL_3528B</v>
          </cell>
          <cell r="C143">
            <v>1.9120000000000002E-2</v>
          </cell>
          <cell r="E143">
            <v>1.519E-3</v>
          </cell>
          <cell r="F143">
            <v>4.4400000000000001E-7</v>
          </cell>
          <cell r="H143">
            <v>8.3599999999999994E-8</v>
          </cell>
          <cell r="M143">
            <v>0.9456</v>
          </cell>
          <cell r="O143">
            <v>1.3679999999999999E-2</v>
          </cell>
          <cell r="S143">
            <v>484.822</v>
          </cell>
          <cell r="T143">
            <v>0.53902075307568031</v>
          </cell>
          <cell r="U143">
            <v>1.4440027098108025E-2</v>
          </cell>
        </row>
        <row r="144">
          <cell r="A144" t="str">
            <v>ABELL_2187</v>
          </cell>
          <cell r="C144">
            <v>4.6649999999999997E-2</v>
          </cell>
          <cell r="E144">
            <v>4.9069999999999999E-3</v>
          </cell>
          <cell r="F144">
            <v>1.6499999999999999E-8</v>
          </cell>
          <cell r="H144">
            <v>3.0199999999999999E-8</v>
          </cell>
          <cell r="M144">
            <v>0.88570000000000004</v>
          </cell>
          <cell r="O144">
            <v>9.2689999999999995E-3</v>
          </cell>
          <cell r="S144">
            <v>501.87657000000002</v>
          </cell>
          <cell r="T144">
            <v>0.48000000000000004</v>
          </cell>
          <cell r="U144">
            <v>1.5914409069097683E-2</v>
          </cell>
        </row>
        <row r="145">
          <cell r="A145" t="str">
            <v>ABELL_3695</v>
          </cell>
          <cell r="C145">
            <v>7.8090000000000007E-2</v>
          </cell>
          <cell r="E145">
            <v>9.0869999999999996E-3</v>
          </cell>
          <cell r="F145">
            <v>1.07E-8</v>
          </cell>
          <cell r="H145">
            <v>2.0400000000000001E-8</v>
          </cell>
          <cell r="M145">
            <v>0.92259999999999998</v>
          </cell>
          <cell r="O145">
            <v>6.9309999999999997E-3</v>
          </cell>
          <cell r="S145">
            <v>499.89177999999998</v>
          </cell>
          <cell r="T145">
            <v>0.26820540347110394</v>
          </cell>
          <cell r="U145">
            <v>8.6847514558959955E-3</v>
          </cell>
        </row>
        <row r="146">
          <cell r="A146" t="str">
            <v>MACS_J1931.8-2635</v>
          </cell>
          <cell r="C146">
            <v>3.8969999999999998E-2</v>
          </cell>
          <cell r="E146">
            <v>7.9659999999999996E-4</v>
          </cell>
          <cell r="F146">
            <v>7.2799999999999997E-9</v>
          </cell>
          <cell r="H146">
            <v>5.62E-9</v>
          </cell>
          <cell r="M146">
            <v>0.82830000000000004</v>
          </cell>
          <cell r="O146">
            <v>4.849E-3</v>
          </cell>
          <cell r="S146">
            <v>484.17525999999998</v>
          </cell>
          <cell r="T146">
            <v>0.74406438631790739</v>
          </cell>
          <cell r="U146">
            <v>3.3502359166885775E-3</v>
          </cell>
        </row>
        <row r="147">
          <cell r="A147" t="str">
            <v>ABELL_0267</v>
          </cell>
          <cell r="C147">
            <v>2.878E-2</v>
          </cell>
          <cell r="E147">
            <v>3.7090000000000001E-3</v>
          </cell>
          <cell r="F147">
            <v>6.7999999999999997E-9</v>
          </cell>
          <cell r="H147">
            <v>1.7500000000000001E-8</v>
          </cell>
          <cell r="M147">
            <v>0.86040000000000005</v>
          </cell>
          <cell r="O147">
            <v>9.9740000000000002E-3</v>
          </cell>
          <cell r="S147">
            <v>510.80651</v>
          </cell>
          <cell r="T147">
            <v>0.54193548387096768</v>
          </cell>
          <cell r="U147">
            <v>1.0382339361736152E-2</v>
          </cell>
        </row>
        <row r="148">
          <cell r="A148" t="str">
            <v>ABELL_2163</v>
          </cell>
          <cell r="C148">
            <v>5.6529999999999997E-2</v>
          </cell>
          <cell r="E148">
            <v>6.0289999999999996E-3</v>
          </cell>
          <cell r="F148">
            <v>3.3000000000000002E-7</v>
          </cell>
          <cell r="H148">
            <v>2.1900000000000001E-8</v>
          </cell>
          <cell r="M148">
            <v>0.91159999999999997</v>
          </cell>
          <cell r="O148">
            <v>2.0349999999999999E-3</v>
          </cell>
          <cell r="S148">
            <v>707.31759999999997</v>
          </cell>
          <cell r="T148">
            <v>0.49391647484380136</v>
          </cell>
          <cell r="U148">
            <v>2.6353767453224717E-3</v>
          </cell>
        </row>
        <row r="149">
          <cell r="A149" t="str">
            <v>MCXC_J0528.2-2942</v>
          </cell>
          <cell r="C149">
            <v>1.367E-2</v>
          </cell>
          <cell r="E149">
            <v>2.5240000000000002E-3</v>
          </cell>
          <cell r="F149">
            <v>2.9200000000000002E-7</v>
          </cell>
          <cell r="H149">
            <v>1.1300000000000001E-7</v>
          </cell>
          <cell r="M149">
            <v>0.90810000000000002</v>
          </cell>
          <cell r="O149">
            <v>1.008E-2</v>
          </cell>
          <cell r="S149">
            <v>392.54901999999998</v>
          </cell>
          <cell r="T149">
            <v>0.40984544934172867</v>
          </cell>
          <cell r="U149">
            <v>1.830887426856672E-2</v>
          </cell>
        </row>
        <row r="150">
          <cell r="A150" t="str">
            <v>MCXC_J1750.2+3504</v>
          </cell>
          <cell r="C150">
            <v>2.3859999999999999E-2</v>
          </cell>
          <cell r="E150">
            <v>2.8509999999999998E-3</v>
          </cell>
          <cell r="F150">
            <v>4.3100000000000002E-8</v>
          </cell>
          <cell r="H150">
            <v>3.4599999999999999E-8</v>
          </cell>
          <cell r="M150">
            <v>0.90700000000000003</v>
          </cell>
          <cell r="O150">
            <v>5.0799999999999998E-2</v>
          </cell>
          <cell r="S150">
            <v>395.71321</v>
          </cell>
          <cell r="T150">
            <v>0.67851373182552499</v>
          </cell>
          <cell r="U150">
            <v>1.2889851980771709E-2</v>
          </cell>
        </row>
        <row r="151">
          <cell r="A151" t="str">
            <v>SPT-CL_J0615-5746</v>
          </cell>
          <cell r="C151">
            <v>2.8379999999999999E-2</v>
          </cell>
          <cell r="E151">
            <v>7.2119999999999997E-3</v>
          </cell>
          <cell r="F151">
            <v>1.7499999999999999E-7</v>
          </cell>
          <cell r="H151">
            <v>8.8399999999999997E-8</v>
          </cell>
          <cell r="M151">
            <v>0.87280000000000002</v>
          </cell>
          <cell r="O151">
            <v>8.1849999999999996E-3</v>
          </cell>
          <cell r="S151">
            <v>400.98646000000002</v>
          </cell>
          <cell r="T151">
            <v>0.5175861766511709</v>
          </cell>
          <cell r="U151">
            <v>1.4392610821375246E-2</v>
          </cell>
        </row>
        <row r="152">
          <cell r="A152" t="str">
            <v>_HB89__1821+643</v>
          </cell>
          <cell r="C152">
            <v>2.264E-2</v>
          </cell>
          <cell r="E152">
            <v>5.486E-4</v>
          </cell>
          <cell r="F152">
            <v>2.4599999999999999E-8</v>
          </cell>
          <cell r="H152">
            <v>7.3499999999999996E-9</v>
          </cell>
          <cell r="M152">
            <v>0.92430000000000001</v>
          </cell>
          <cell r="O152">
            <v>3.1459999999999999E-3</v>
          </cell>
          <cell r="S152">
            <v>570.74216000000001</v>
          </cell>
          <cell r="T152" t="str">
            <v>-</v>
          </cell>
          <cell r="U152" t="str">
            <v>-</v>
          </cell>
        </row>
        <row r="153">
          <cell r="A153" t="str">
            <v>SPT-CL_J0102-4915</v>
          </cell>
          <cell r="C153">
            <v>0.12989999999999999</v>
          </cell>
          <cell r="E153">
            <v>1.732E-3</v>
          </cell>
          <cell r="F153">
            <v>8.8199999999999998E-7</v>
          </cell>
          <cell r="H153">
            <v>8.9000000000000003E-8</v>
          </cell>
          <cell r="M153">
            <v>0.85440000000000005</v>
          </cell>
          <cell r="O153">
            <v>3.5639999999999999E-3</v>
          </cell>
          <cell r="S153">
            <v>482.28438999999997</v>
          </cell>
          <cell r="T153">
            <v>0.43234012483806389</v>
          </cell>
          <cell r="U153">
            <v>6.5635291812962647E-3</v>
          </cell>
        </row>
        <row r="154">
          <cell r="A154" t="str">
            <v>MCXC_J0439.0+0715</v>
          </cell>
          <cell r="C154">
            <v>2.768E-2</v>
          </cell>
          <cell r="E154">
            <v>2.14E-3</v>
          </cell>
          <cell r="F154">
            <v>6.9899999999999997E-8</v>
          </cell>
          <cell r="H154">
            <v>3.7499999999999998E-8</v>
          </cell>
          <cell r="M154">
            <v>0.89319999999999999</v>
          </cell>
          <cell r="O154">
            <v>1.6129999999999999E-2</v>
          </cell>
          <cell r="S154">
            <v>459.13936000000001</v>
          </cell>
          <cell r="T154">
            <v>0.55384378370050835</v>
          </cell>
          <cell r="U154">
            <v>1.0137284710437223E-2</v>
          </cell>
        </row>
        <row r="155">
          <cell r="A155" t="str">
            <v>Cl_0016+16</v>
          </cell>
          <cell r="C155">
            <v>2.0910000000000002E-2</v>
          </cell>
          <cell r="E155">
            <v>3.882E-3</v>
          </cell>
          <cell r="F155">
            <v>6.5E-8</v>
          </cell>
          <cell r="H155">
            <v>4.2599999999999998E-8</v>
          </cell>
          <cell r="M155">
            <v>0.88670000000000004</v>
          </cell>
          <cell r="O155">
            <v>6.9430000000000004E-3</v>
          </cell>
          <cell r="S155">
            <v>496.25923</v>
          </cell>
          <cell r="T155">
            <v>0.38749831483395497</v>
          </cell>
          <cell r="U155">
            <v>9.1047715224646421E-3</v>
          </cell>
        </row>
        <row r="156">
          <cell r="A156" t="str">
            <v>SPT-CLJ2135-5726</v>
          </cell>
          <cell r="C156">
            <v>3.7150000000000002E-2</v>
          </cell>
          <cell r="E156">
            <v>6.6049999999999998E-3</v>
          </cell>
          <cell r="F156">
            <v>3.7499999999999998E-8</v>
          </cell>
          <cell r="H156">
            <v>1.0700000000000001E-7</v>
          </cell>
          <cell r="M156">
            <v>0.98970000000000002</v>
          </cell>
          <cell r="O156">
            <v>3.1419999999999997E-2</v>
          </cell>
          <cell r="S156">
            <v>421.30759999999998</v>
          </cell>
          <cell r="T156" t="str">
            <v>-</v>
          </cell>
          <cell r="U156" t="str">
            <v>-</v>
          </cell>
        </row>
        <row r="157">
          <cell r="A157" t="str">
            <v>NGC_0777</v>
          </cell>
          <cell r="C157">
            <v>5.7559999999999998E-3</v>
          </cell>
          <cell r="E157">
            <v>2.3140000000000001E-3</v>
          </cell>
          <cell r="F157">
            <v>5.17E-8</v>
          </cell>
          <cell r="H157">
            <v>5.9599999999999998E-8</v>
          </cell>
          <cell r="M157">
            <v>0.96089999999999998</v>
          </cell>
          <cell r="O157">
            <v>3.1739999999999997E-2</v>
          </cell>
          <cell r="S157">
            <v>147.48084</v>
          </cell>
          <cell r="T157" t="str">
            <v>-</v>
          </cell>
          <cell r="U157" t="str">
            <v>-</v>
          </cell>
        </row>
        <row r="158">
          <cell r="A158" t="str">
            <v>ABELL_2355</v>
          </cell>
          <cell r="C158">
            <v>5.0259999999999999E-2</v>
          </cell>
          <cell r="E158">
            <v>6.7229999999999998E-3</v>
          </cell>
          <cell r="F158">
            <v>1.7599999999999999E-7</v>
          </cell>
          <cell r="H158">
            <v>7.5899999999999998E-8</v>
          </cell>
          <cell r="M158">
            <v>0.8458</v>
          </cell>
          <cell r="O158">
            <v>7.8340000000000007E-3</v>
          </cell>
          <cell r="S158">
            <v>527.62343999999996</v>
          </cell>
          <cell r="T158" t="str">
            <v>-</v>
          </cell>
          <cell r="U158" t="str">
            <v>-</v>
          </cell>
        </row>
        <row r="159">
          <cell r="A159" t="str">
            <v>SpARCS_J161314+564930</v>
          </cell>
          <cell r="C159">
            <v>5.1240000000000001E-2</v>
          </cell>
          <cell r="E159">
            <v>1.208E-2</v>
          </cell>
          <cell r="F159">
            <v>3.4700000000000002E-7</v>
          </cell>
          <cell r="H159">
            <v>4.5999999999999999E-7</v>
          </cell>
          <cell r="M159">
            <v>0.99170000000000003</v>
          </cell>
          <cell r="O159">
            <v>3.041E-2</v>
          </cell>
          <cell r="S159">
            <v>329.14150000000001</v>
          </cell>
          <cell r="T159" t="str">
            <v>-</v>
          </cell>
          <cell r="U159" t="str">
            <v>-</v>
          </cell>
        </row>
        <row r="160">
          <cell r="A160" t="str">
            <v>ABELL_3739</v>
          </cell>
          <cell r="C160">
            <v>1.9300000000000001E-2</v>
          </cell>
          <cell r="E160">
            <v>3.7109999999999999E-3</v>
          </cell>
          <cell r="F160">
            <v>3.2999999999999998E-8</v>
          </cell>
          <cell r="H160">
            <v>5.2800000000000003E-8</v>
          </cell>
          <cell r="M160">
            <v>0.94450000000000001</v>
          </cell>
          <cell r="O160">
            <v>1.0659999999999999E-2</v>
          </cell>
          <cell r="S160">
            <v>460.96465999999998</v>
          </cell>
          <cell r="T160">
            <v>0.43602635228848818</v>
          </cell>
          <cell r="U160">
            <v>1.6839195527440114E-2</v>
          </cell>
        </row>
        <row r="161">
          <cell r="A161" t="str">
            <v>ABELL_2151</v>
          </cell>
          <cell r="C161">
            <v>7.0060000000000001E-3</v>
          </cell>
          <cell r="E161">
            <v>1.4040000000000001E-3</v>
          </cell>
          <cell r="F161">
            <v>8.0200000000000001E-7</v>
          </cell>
          <cell r="H161">
            <v>7.4900000000000002E-8</v>
          </cell>
          <cell r="M161">
            <v>0.97509999999999997</v>
          </cell>
          <cell r="O161">
            <v>7.1630000000000001E-3</v>
          </cell>
          <cell r="S161">
            <v>326.81238999999999</v>
          </cell>
          <cell r="T161">
            <v>0.61588999236058062</v>
          </cell>
          <cell r="U161">
            <v>2.6770099108813523E-2</v>
          </cell>
        </row>
        <row r="162">
          <cell r="A162" t="str">
            <v>ABELL_0665</v>
          </cell>
          <cell r="C162">
            <v>9.3649999999999997E-2</v>
          </cell>
          <cell r="E162">
            <v>1.1609999999999999E-3</v>
          </cell>
          <cell r="F162">
            <v>2.4200000000000002E-7</v>
          </cell>
          <cell r="H162">
            <v>2.66E-8</v>
          </cell>
          <cell r="M162">
            <v>0.9304</v>
          </cell>
          <cell r="O162">
            <v>2.4750000000000002E-3</v>
          </cell>
          <cell r="S162">
            <v>553.21613000000002</v>
          </cell>
          <cell r="T162">
            <v>0.46845865116842228</v>
          </cell>
          <cell r="U162">
            <v>4.2652839616534348E-3</v>
          </cell>
        </row>
        <row r="163">
          <cell r="A163" t="str">
            <v>400d_J1202+5751</v>
          </cell>
          <cell r="C163">
            <v>6.0589999999999998E-2</v>
          </cell>
          <cell r="E163">
            <v>1.456E-2</v>
          </cell>
          <cell r="F163">
            <v>5.2900000000000004E-7</v>
          </cell>
          <cell r="H163">
            <v>1.33E-6</v>
          </cell>
          <cell r="M163">
            <v>0.89670000000000005</v>
          </cell>
          <cell r="O163">
            <v>6.8110000000000004E-2</v>
          </cell>
          <cell r="S163">
            <v>251.48544000000001</v>
          </cell>
          <cell r="T163" t="str">
            <v>-</v>
          </cell>
          <cell r="U163" t="str">
            <v>-</v>
          </cell>
        </row>
        <row r="164">
          <cell r="A164" t="str">
            <v>400d_J0720+7108</v>
          </cell>
          <cell r="C164">
            <v>5.6419999999999998E-2</v>
          </cell>
          <cell r="E164">
            <v>7.6940000000000003E-3</v>
          </cell>
          <cell r="F164">
            <v>2.8600000000000001E-8</v>
          </cell>
          <cell r="H164">
            <v>1.01E-7</v>
          </cell>
          <cell r="M164">
            <v>0.97770000000000001</v>
          </cell>
          <cell r="O164">
            <v>1.6910000000000001E-2</v>
          </cell>
          <cell r="S164">
            <v>279.88449000000003</v>
          </cell>
          <cell r="T164" t="str">
            <v>-</v>
          </cell>
          <cell r="U164" t="str">
            <v>-</v>
          </cell>
        </row>
        <row r="165">
          <cell r="A165" t="str">
            <v>ABELL_2744</v>
          </cell>
          <cell r="C165">
            <v>5.2940000000000001E-2</v>
          </cell>
          <cell r="E165">
            <v>3.2200000000000002E-3</v>
          </cell>
          <cell r="F165">
            <v>2.3099999999999999E-7</v>
          </cell>
          <cell r="H165">
            <v>3.3500000000000002E-8</v>
          </cell>
          <cell r="M165">
            <v>0.96189999999999998</v>
          </cell>
          <cell r="O165">
            <v>1.77E-2</v>
          </cell>
          <cell r="S165">
            <v>568.37554</v>
          </cell>
          <cell r="T165">
            <v>0.32881125996269289</v>
          </cell>
          <cell r="U165">
            <v>5.0467593548991583E-3</v>
          </cell>
        </row>
        <row r="166">
          <cell r="A166" t="str">
            <v>PLCKESZ_G304.84-41.42</v>
          </cell>
          <cell r="C166">
            <v>5.7790000000000001E-2</v>
          </cell>
          <cell r="E166">
            <v>8.2070000000000008E-3</v>
          </cell>
          <cell r="F166">
            <v>7.6000000000000003E-7</v>
          </cell>
          <cell r="H166">
            <v>2.6E-7</v>
          </cell>
          <cell r="M166">
            <v>0.94589999999999996</v>
          </cell>
          <cell r="O166">
            <v>1.6049999999999998E-2</v>
          </cell>
          <cell r="S166">
            <v>490.36401999999998</v>
          </cell>
          <cell r="T166">
            <v>0.43639517981900883</v>
          </cell>
          <cell r="U166">
            <v>1.2368292466867986E-2</v>
          </cell>
        </row>
        <row r="167">
          <cell r="A167" t="str">
            <v>SDSS_+137.3+11.0+0.18</v>
          </cell>
          <cell r="C167">
            <v>1.025E-2</v>
          </cell>
          <cell r="E167">
            <v>1.343E-3</v>
          </cell>
          <cell r="F167">
            <v>1.68E-9</v>
          </cell>
          <cell r="H167">
            <v>6.9699999999999997E-9</v>
          </cell>
          <cell r="M167">
            <v>0.89970000000000006</v>
          </cell>
          <cell r="O167">
            <v>7.241E-3</v>
          </cell>
          <cell r="S167">
            <v>423.02769999999998</v>
          </cell>
          <cell r="T167">
            <v>0.55223342939481268</v>
          </cell>
          <cell r="U167">
            <v>1.0042242411940887E-2</v>
          </cell>
        </row>
        <row r="168">
          <cell r="A168" t="str">
            <v>ABELL_2204</v>
          </cell>
          <cell r="C168">
            <v>2.4760000000000001E-2</v>
          </cell>
          <cell r="E168">
            <v>4.4329999999999999E-4</v>
          </cell>
          <cell r="F168">
            <v>1.74E-8</v>
          </cell>
          <cell r="H168">
            <v>3.5400000000000002E-9</v>
          </cell>
          <cell r="M168">
            <v>0.91320000000000001</v>
          </cell>
          <cell r="O168">
            <v>2.7520000000000001E-3</v>
          </cell>
          <cell r="S168">
            <v>593.91575</v>
          </cell>
          <cell r="T168">
            <v>0.79357119574756163</v>
          </cell>
          <cell r="U168">
            <v>1.6547091129317593E-3</v>
          </cell>
        </row>
        <row r="169">
          <cell r="A169" t="str">
            <v>ABELL_3126</v>
          </cell>
          <cell r="C169">
            <v>2.63E-2</v>
          </cell>
          <cell r="E169">
            <v>5.4120000000000001E-3</v>
          </cell>
          <cell r="F169">
            <v>1.2299999999999999E-8</v>
          </cell>
          <cell r="H169">
            <v>1.5700000000000002E-8</v>
          </cell>
          <cell r="M169">
            <v>0.97740000000000005</v>
          </cell>
          <cell r="O169">
            <v>1.9009999999999999E-2</v>
          </cell>
          <cell r="S169">
            <v>430.27323000000001</v>
          </cell>
          <cell r="T169">
            <v>0.53498286383014293</v>
          </cell>
          <cell r="U169">
            <v>1.1708486973161876E-2</v>
          </cell>
        </row>
        <row r="170">
          <cell r="A170" t="str">
            <v>400d_J0237-5224</v>
          </cell>
          <cell r="C170">
            <v>5.1139999999999998E-2</v>
          </cell>
          <cell r="E170">
            <v>1.1560000000000001E-2</v>
          </cell>
          <cell r="F170">
            <v>1.96E-8</v>
          </cell>
          <cell r="H170">
            <v>1.67E-7</v>
          </cell>
          <cell r="M170">
            <v>0.91239999999999999</v>
          </cell>
          <cell r="O170">
            <v>1.8239999999999999E-2</v>
          </cell>
          <cell r="S170">
            <v>322.30824000000001</v>
          </cell>
          <cell r="T170" t="str">
            <v>-</v>
          </cell>
          <cell r="U170" t="str">
            <v>-</v>
          </cell>
        </row>
        <row r="171">
          <cell r="A171" t="str">
            <v>ABELL_2107</v>
          </cell>
          <cell r="C171">
            <v>8.5229999999999993E-3</v>
          </cell>
          <cell r="E171">
            <v>9.5149999999999998E-4</v>
          </cell>
          <cell r="F171">
            <v>8.9099999999999997E-8</v>
          </cell>
          <cell r="H171">
            <v>1.48E-8</v>
          </cell>
          <cell r="M171">
            <v>0.9667</v>
          </cell>
          <cell r="O171">
            <v>2.2620000000000001E-2</v>
          </cell>
          <cell r="S171">
            <v>390.44421999999997</v>
          </cell>
          <cell r="T171">
            <v>0.50439514441188782</v>
          </cell>
          <cell r="U171">
            <v>7.264534506537368E-3</v>
          </cell>
        </row>
        <row r="172">
          <cell r="A172" t="str">
            <v>ABELL_0644</v>
          </cell>
          <cell r="C172">
            <v>2.827E-2</v>
          </cell>
          <cell r="E172">
            <v>1.085E-3</v>
          </cell>
          <cell r="F172">
            <v>9.1600000000000006E-9</v>
          </cell>
          <cell r="H172">
            <v>3.36E-9</v>
          </cell>
          <cell r="M172">
            <v>0.85929999999999995</v>
          </cell>
          <cell r="O172">
            <v>2.5820000000000001E-3</v>
          </cell>
          <cell r="S172">
            <v>519.12696000000005</v>
          </cell>
          <cell r="T172">
            <v>0.6207461328480437</v>
          </cell>
          <cell r="U172">
            <v>3.3297428621934656E-3</v>
          </cell>
        </row>
        <row r="173">
          <cell r="A173" t="str">
            <v>ABELL_2537</v>
          </cell>
          <cell r="C173">
            <v>2.1340000000000001E-2</v>
          </cell>
          <cell r="E173">
            <v>6.1079999999999997E-3</v>
          </cell>
          <cell r="F173">
            <v>1.1800000000000001E-9</v>
          </cell>
          <cell r="H173">
            <v>6.6299999999999996E-9</v>
          </cell>
          <cell r="M173">
            <v>0.93969999999999998</v>
          </cell>
          <cell r="O173">
            <v>5.96E-3</v>
          </cell>
          <cell r="S173">
            <v>467.70001999999999</v>
          </cell>
          <cell r="T173">
            <v>0.54227769110764434</v>
          </cell>
          <cell r="U173">
            <v>8.1582272935026064E-3</v>
          </cell>
        </row>
        <row r="174">
          <cell r="A174" t="str">
            <v>ABELL_1831</v>
          </cell>
          <cell r="C174">
            <v>2.0240000000000001E-2</v>
          </cell>
          <cell r="E174">
            <v>2.9729999999999999E-3</v>
          </cell>
          <cell r="F174">
            <v>8.4999999999999994E-8</v>
          </cell>
          <cell r="H174">
            <v>4.4999999999999999E-8</v>
          </cell>
          <cell r="M174">
            <v>0.92359999999999998</v>
          </cell>
          <cell r="O174">
            <v>8.0199999999999994E-3</v>
          </cell>
          <cell r="S174">
            <v>375.54714999999999</v>
          </cell>
          <cell r="T174">
            <v>0.44145658263305315</v>
          </cell>
          <cell r="U174">
            <v>1.5224772029281101E-2</v>
          </cell>
        </row>
        <row r="175">
          <cell r="A175" t="str">
            <v>ACT-CL_J0616-5227</v>
          </cell>
          <cell r="C175">
            <v>1.6920000000000001E-2</v>
          </cell>
          <cell r="E175">
            <v>7.319E-3</v>
          </cell>
          <cell r="F175">
            <v>2.16E-7</v>
          </cell>
          <cell r="H175">
            <v>2.9700000000000003E-7</v>
          </cell>
          <cell r="M175">
            <v>0.90690000000000004</v>
          </cell>
          <cell r="O175">
            <v>1.9570000000000001E-2</v>
          </cell>
          <cell r="S175">
            <v>390.92093</v>
          </cell>
          <cell r="T175" t="str">
            <v>-</v>
          </cell>
          <cell r="U175" t="str">
            <v>-</v>
          </cell>
        </row>
        <row r="176">
          <cell r="A176" t="str">
            <v>ABELL_0209</v>
          </cell>
          <cell r="C176">
            <v>2.2360000000000001E-2</v>
          </cell>
          <cell r="E176">
            <v>2.0179999999999998E-3</v>
          </cell>
          <cell r="F176">
            <v>2.9000000000000002E-8</v>
          </cell>
          <cell r="H176">
            <v>2.4699999999999999E-8</v>
          </cell>
          <cell r="M176">
            <v>0.88880000000000003</v>
          </cell>
          <cell r="O176">
            <v>7.0990000000000003E-3</v>
          </cell>
          <cell r="S176">
            <v>553.69843000000003</v>
          </cell>
          <cell r="T176">
            <v>0.42963885429638854</v>
          </cell>
          <cell r="U176">
            <v>9.9041380521271722E-3</v>
          </cell>
        </row>
        <row r="177">
          <cell r="A177" t="str">
            <v>ABELL_3322</v>
          </cell>
          <cell r="C177">
            <v>1.3899999999999999E-2</v>
          </cell>
          <cell r="E177">
            <v>3.9449999999999997E-3</v>
          </cell>
          <cell r="F177">
            <v>8.5199999999999995E-9</v>
          </cell>
          <cell r="H177">
            <v>2.1699999999999999E-8</v>
          </cell>
          <cell r="M177">
            <v>0.88680000000000003</v>
          </cell>
          <cell r="O177">
            <v>1.0410000000000001E-2</v>
          </cell>
          <cell r="S177">
            <v>505.38661999999999</v>
          </cell>
          <cell r="T177">
            <v>0.52018317503392131</v>
          </cell>
          <cell r="U177">
            <v>1.2281209740667539E-2</v>
          </cell>
        </row>
        <row r="178">
          <cell r="A178" t="str">
            <v>LCDCS_0829</v>
          </cell>
          <cell r="C178">
            <v>6.7820000000000005E-2</v>
          </cell>
          <cell r="E178">
            <v>1.6800000000000001E-3</v>
          </cell>
          <cell r="F178">
            <v>5.03E-8</v>
          </cell>
          <cell r="H178">
            <v>8.1799999999999995E-9</v>
          </cell>
          <cell r="M178">
            <v>0.86950000000000005</v>
          </cell>
          <cell r="O178">
            <v>2.7420000000000001E-3</v>
          </cell>
          <cell r="S178">
            <v>643.029</v>
          </cell>
          <cell r="T178">
            <v>0.7668933839766805</v>
          </cell>
          <cell r="U178">
            <v>2.7967361995463484E-3</v>
          </cell>
        </row>
        <row r="179">
          <cell r="A179" t="str">
            <v>MCXC_J0340.8-4542</v>
          </cell>
          <cell r="C179">
            <v>0.1386</v>
          </cell>
          <cell r="E179">
            <v>8.4899999999999993E-3</v>
          </cell>
          <cell r="F179">
            <v>3.7499999999999998E-8</v>
          </cell>
          <cell r="H179">
            <v>8.2500000000000004E-8</v>
          </cell>
          <cell r="M179">
            <v>0.96360000000000001</v>
          </cell>
          <cell r="O179">
            <v>1.423E-2</v>
          </cell>
          <cell r="S179">
            <v>300.37002000000001</v>
          </cell>
          <cell r="T179">
            <v>0.25131810193321619</v>
          </cell>
          <cell r="U179">
            <v>3.4460650614840556E-2</v>
          </cell>
        </row>
        <row r="180">
          <cell r="A180" t="str">
            <v>ZwCl_0857.9+2107</v>
          </cell>
          <cell r="C180">
            <v>3.977E-2</v>
          </cell>
          <cell r="E180">
            <v>5.7109999999999999E-3</v>
          </cell>
          <cell r="F180">
            <v>6.0899999999999996E-8</v>
          </cell>
          <cell r="H180">
            <v>2.7199999999999999E-8</v>
          </cell>
          <cell r="M180">
            <v>0.86470000000000002</v>
          </cell>
          <cell r="O180">
            <v>7.3039999999999997E-3</v>
          </cell>
          <cell r="S180">
            <v>381.81675000000001</v>
          </cell>
          <cell r="T180">
            <v>0.77470988395358142</v>
          </cell>
          <cell r="U180">
            <v>7.3381132658381877E-3</v>
          </cell>
        </row>
        <row r="181">
          <cell r="A181" t="str">
            <v>WHL_J130558.9+263048</v>
          </cell>
          <cell r="C181">
            <v>4.2220000000000001E-2</v>
          </cell>
          <cell r="E181">
            <v>6.2690000000000003E-3</v>
          </cell>
          <cell r="F181">
            <v>4.3900000000000003E-8</v>
          </cell>
          <cell r="H181">
            <v>8.2500000000000004E-8</v>
          </cell>
          <cell r="M181">
            <v>0.82830000000000004</v>
          </cell>
          <cell r="O181">
            <v>1.009E-2</v>
          </cell>
          <cell r="S181">
            <v>469.61318</v>
          </cell>
          <cell r="T181" t="str">
            <v>-</v>
          </cell>
          <cell r="U181" t="str">
            <v>-</v>
          </cell>
        </row>
        <row r="182">
          <cell r="A182" t="str">
            <v>ABELL_0478</v>
          </cell>
          <cell r="C182">
            <v>7.0210000000000003E-3</v>
          </cell>
          <cell r="E182">
            <v>3.4320000000000002E-3</v>
          </cell>
          <cell r="F182">
            <v>5.86E-9</v>
          </cell>
          <cell r="H182">
            <v>9.4699999999999994E-10</v>
          </cell>
          <cell r="M182">
            <v>0.86339999999999995</v>
          </cell>
          <cell r="O182">
            <v>1.738E-3</v>
          </cell>
          <cell r="S182">
            <v>542.21483000000001</v>
          </cell>
          <cell r="T182">
            <v>0.73327213382292933</v>
          </cell>
          <cell r="U182">
            <v>1.6001273546935293E-3</v>
          </cell>
        </row>
        <row r="183">
          <cell r="A183" t="str">
            <v>UGC_05088_GROUP</v>
          </cell>
          <cell r="C183">
            <v>2.2179999999999998E-2</v>
          </cell>
          <cell r="E183">
            <v>3.1740000000000002E-3</v>
          </cell>
          <cell r="F183">
            <v>2.4999999999999999E-7</v>
          </cell>
          <cell r="H183">
            <v>9.9099999999999994E-8</v>
          </cell>
          <cell r="M183">
            <v>0.95040000000000002</v>
          </cell>
          <cell r="O183">
            <v>7.6759999999999997E-3</v>
          </cell>
          <cell r="S183">
            <v>171.06727000000001</v>
          </cell>
          <cell r="T183">
            <v>0.63086139227432347</v>
          </cell>
          <cell r="U183">
            <v>5.5390757615565028E-2</v>
          </cell>
        </row>
        <row r="184">
          <cell r="A184" t="str">
            <v>ESO3060170-A</v>
          </cell>
          <cell r="C184">
            <v>1.06E-2</v>
          </cell>
          <cell r="E184">
            <v>8.6459999999999998E-4</v>
          </cell>
          <cell r="F184">
            <v>3.9599999999999997E-8</v>
          </cell>
          <cell r="H184">
            <v>1.03E-8</v>
          </cell>
          <cell r="M184">
            <v>0.79259999999999997</v>
          </cell>
          <cell r="O184">
            <v>3.3170000000000001E-3</v>
          </cell>
          <cell r="S184">
            <v>326.52976000000001</v>
          </cell>
          <cell r="T184">
            <v>0.58823529411764708</v>
          </cell>
          <cell r="U184">
            <v>1.2792913587849052E-2</v>
          </cell>
        </row>
        <row r="185">
          <cell r="A185" t="str">
            <v>ABELL_2142</v>
          </cell>
          <cell r="C185">
            <v>1.472E-2</v>
          </cell>
          <cell r="E185">
            <v>2.407E-4</v>
          </cell>
          <cell r="F185">
            <v>1.02E-8</v>
          </cell>
          <cell r="H185">
            <v>1.6600000000000001E-9</v>
          </cell>
          <cell r="M185">
            <v>0.86019999999999996</v>
          </cell>
          <cell r="O185">
            <v>1.709E-3</v>
          </cell>
          <cell r="S185">
            <v>565.99806000000001</v>
          </cell>
          <cell r="T185">
            <v>0.69604816301327566</v>
          </cell>
          <cell r="U185">
            <v>2.4353908864089341E-3</v>
          </cell>
        </row>
        <row r="186">
          <cell r="A186" t="str">
            <v>ABELL_0795</v>
          </cell>
          <cell r="C186">
            <v>2.7830000000000001E-2</v>
          </cell>
          <cell r="E186">
            <v>4.8310000000000002E-3</v>
          </cell>
          <cell r="F186">
            <v>1.0099999999999999E-8</v>
          </cell>
          <cell r="H186">
            <v>1.0099999999999999E-8</v>
          </cell>
          <cell r="M186">
            <v>0.89080000000000004</v>
          </cell>
          <cell r="O186">
            <v>5.4050000000000001E-3</v>
          </cell>
          <cell r="S186">
            <v>429.84688999999997</v>
          </cell>
          <cell r="T186">
            <v>0.58196830470102545</v>
          </cell>
          <cell r="U186">
            <v>8.5247308537512341E-3</v>
          </cell>
        </row>
        <row r="187">
          <cell r="A187" t="str">
            <v>WHL_J150407.5-024816</v>
          </cell>
          <cell r="C187">
            <v>3.0079999999999999E-2</v>
          </cell>
          <cell r="E187">
            <v>1.586E-3</v>
          </cell>
          <cell r="F187">
            <v>1.5600000000000001E-8</v>
          </cell>
          <cell r="H187">
            <v>3.7300000000000001E-9</v>
          </cell>
          <cell r="M187">
            <v>0.86850000000000005</v>
          </cell>
          <cell r="O187">
            <v>3.4499999999999999E-3</v>
          </cell>
          <cell r="S187">
            <v>558.59897000000001</v>
          </cell>
          <cell r="T187">
            <v>0.82765199337878415</v>
          </cell>
          <cell r="U187">
            <v>2.3578564844683601E-3</v>
          </cell>
        </row>
        <row r="188">
          <cell r="A188" t="str">
            <v>WHL_J122201.8+270934</v>
          </cell>
          <cell r="C188">
            <v>8.1409999999999996E-2</v>
          </cell>
          <cell r="E188">
            <v>1.14E-2</v>
          </cell>
          <cell r="F188">
            <v>7.4700000000000001E-7</v>
          </cell>
          <cell r="H188">
            <v>8.2999999999999999E-7</v>
          </cell>
          <cell r="M188">
            <v>0.97599999999999998</v>
          </cell>
          <cell r="O188">
            <v>3.7229999999999999E-2</v>
          </cell>
          <cell r="S188">
            <v>297.13994000000002</v>
          </cell>
          <cell r="T188" t="str">
            <v>-</v>
          </cell>
          <cell r="U188" t="str">
            <v>-</v>
          </cell>
        </row>
        <row r="189">
          <cell r="A189" t="str">
            <v>WHL_J224319.8-093530</v>
          </cell>
          <cell r="C189">
            <v>2.4150000000000001E-2</v>
          </cell>
          <cell r="E189">
            <v>5.3819999999999996E-3</v>
          </cell>
          <cell r="F189">
            <v>5.4099999999999999E-7</v>
          </cell>
          <cell r="H189">
            <v>2.8000000000000002E-7</v>
          </cell>
          <cell r="M189">
            <v>0.79510000000000003</v>
          </cell>
          <cell r="O189">
            <v>9.4400000000000005E-3</v>
          </cell>
          <cell r="S189">
            <v>441.66340000000002</v>
          </cell>
          <cell r="T189" t="str">
            <v>-</v>
          </cell>
          <cell r="U189" t="str">
            <v>-</v>
          </cell>
        </row>
        <row r="190">
          <cell r="A190" t="str">
            <v>ABELL_2445</v>
          </cell>
          <cell r="C190">
            <v>1.154E-2</v>
          </cell>
          <cell r="E190">
            <v>5.091E-3</v>
          </cell>
          <cell r="F190">
            <v>9.5200000000000002E-9</v>
          </cell>
          <cell r="H190">
            <v>1.9300000000000001E-8</v>
          </cell>
          <cell r="M190">
            <v>0.85489999999999999</v>
          </cell>
          <cell r="O190">
            <v>7.8869999999999999E-3</v>
          </cell>
          <cell r="S190">
            <v>371.11183</v>
          </cell>
          <cell r="T190">
            <v>0.54636711281070738</v>
          </cell>
          <cell r="U190">
            <v>1.2115082492144229E-2</v>
          </cell>
        </row>
        <row r="191">
          <cell r="A191" t="str">
            <v>MACS_J1532.8+3021</v>
          </cell>
          <cell r="C191">
            <v>7.1540000000000006E-2</v>
          </cell>
          <cell r="E191">
            <v>1.6689999999999999E-3</v>
          </cell>
          <cell r="F191">
            <v>2.3400000000000002E-9</v>
          </cell>
          <cell r="H191">
            <v>4.2000000000000004E-9</v>
          </cell>
          <cell r="M191">
            <v>0.90700000000000003</v>
          </cell>
          <cell r="O191">
            <v>4.7470000000000004E-3</v>
          </cell>
          <cell r="S191">
            <v>475.4821</v>
          </cell>
          <cell r="T191">
            <v>0.78636704119850187</v>
          </cell>
          <cell r="U191">
            <v>2.9167636828832852E-3</v>
          </cell>
        </row>
        <row r="192">
          <cell r="A192" t="str">
            <v>ABELL_1689</v>
          </cell>
          <cell r="C192">
            <v>1.41E-2</v>
          </cell>
          <cell r="E192">
            <v>4.4710000000000003E-4</v>
          </cell>
          <cell r="F192">
            <v>2.7999999999999998E-9</v>
          </cell>
          <cell r="H192">
            <v>1.26E-9</v>
          </cell>
          <cell r="M192">
            <v>0.91110000000000002</v>
          </cell>
          <cell r="O192">
            <v>1.7489999999999999E-3</v>
          </cell>
          <cell r="S192">
            <v>606.89431999999999</v>
          </cell>
          <cell r="T192">
            <v>0.67456189485476514</v>
          </cell>
          <cell r="U192">
            <v>3.1402242653969579E-3</v>
          </cell>
        </row>
        <row r="193">
          <cell r="A193" t="str">
            <v>MACS_J2140.2-2339</v>
          </cell>
          <cell r="C193">
            <v>8.3809999999999996E-2</v>
          </cell>
          <cell r="E193">
            <v>1.2789999999999999E-2</v>
          </cell>
          <cell r="F193">
            <v>5.6599999999999999E-9</v>
          </cell>
          <cell r="H193">
            <v>8.1199999999999993E-9</v>
          </cell>
          <cell r="M193">
            <v>0.95040000000000002</v>
          </cell>
          <cell r="O193">
            <v>6.025E-3</v>
          </cell>
          <cell r="S193">
            <v>433.43392999999998</v>
          </cell>
          <cell r="T193">
            <v>0.79504594486616065</v>
          </cell>
          <cell r="U193">
            <v>5.7131411257928437E-3</v>
          </cell>
        </row>
        <row r="194">
          <cell r="A194" t="str">
            <v>ABELL_2507</v>
          </cell>
          <cell r="C194">
            <v>9.0719999999999995E-2</v>
          </cell>
          <cell r="E194">
            <v>8.0870000000000004E-3</v>
          </cell>
          <cell r="F194">
            <v>2.88E-6</v>
          </cell>
          <cell r="H194">
            <v>5.4199999999999996E-7</v>
          </cell>
          <cell r="M194">
            <v>0.88560000000000005</v>
          </cell>
          <cell r="O194">
            <v>1.158E-2</v>
          </cell>
          <cell r="S194">
            <v>412.08553000000001</v>
          </cell>
          <cell r="T194">
            <v>0.23536804308797127</v>
          </cell>
          <cell r="U194">
            <v>2.1272891213431889E-2</v>
          </cell>
        </row>
        <row r="195">
          <cell r="A195" t="str">
            <v>ABELL_1942_AND_CLUMP</v>
          </cell>
          <cell r="C195">
            <v>1.01E-2</v>
          </cell>
          <cell r="E195">
            <v>4.5329999999999997E-3</v>
          </cell>
          <cell r="F195">
            <v>9.9800000000000002E-7</v>
          </cell>
          <cell r="H195">
            <v>1.8799999999999999E-7</v>
          </cell>
          <cell r="M195">
            <v>0.9093</v>
          </cell>
          <cell r="O195">
            <v>8.7550000000000006E-3</v>
          </cell>
          <cell r="S195">
            <v>416.49414000000002</v>
          </cell>
          <cell r="T195">
            <v>0.40745305589791925</v>
          </cell>
          <cell r="U195">
            <v>1.413018278781049E-2</v>
          </cell>
        </row>
        <row r="196">
          <cell r="A196" t="str">
            <v>Abell_223</v>
          </cell>
          <cell r="C196">
            <v>4.0489999999999998E-2</v>
          </cell>
          <cell r="E196">
            <v>3.6879999999999999E-3</v>
          </cell>
          <cell r="F196">
            <v>5.0500000000000002E-8</v>
          </cell>
          <cell r="H196">
            <v>4.6800000000000002E-8</v>
          </cell>
          <cell r="M196">
            <v>0.87160000000000004</v>
          </cell>
          <cell r="O196">
            <v>1.027E-2</v>
          </cell>
          <cell r="S196">
            <v>419.09874000000002</v>
          </cell>
          <cell r="T196">
            <v>0.48719385753516786</v>
          </cell>
          <cell r="U196">
            <v>1.6008730833774496E-2</v>
          </cell>
        </row>
        <row r="197">
          <cell r="A197" t="str">
            <v>ABELL_0773</v>
          </cell>
          <cell r="C197">
            <v>2.9180000000000001E-2</v>
          </cell>
          <cell r="E197">
            <v>5.8890000000000001E-3</v>
          </cell>
          <cell r="F197">
            <v>6.3899999999999996E-9</v>
          </cell>
          <cell r="H197">
            <v>1.28E-8</v>
          </cell>
          <cell r="M197">
            <v>0.88139999999999996</v>
          </cell>
          <cell r="O197">
            <v>5.4900000000000001E-3</v>
          </cell>
          <cell r="S197">
            <v>525.81614000000002</v>
          </cell>
          <cell r="T197">
            <v>0.49822015334063524</v>
          </cell>
          <cell r="U197">
            <v>8.3008161850951327E-3</v>
          </cell>
        </row>
        <row r="198">
          <cell r="A198" t="str">
            <v>ZwCl_0024.0+1652</v>
          </cell>
          <cell r="C198">
            <v>2.342E-2</v>
          </cell>
          <cell r="E198">
            <v>4.888E-3</v>
          </cell>
          <cell r="F198">
            <v>7.06E-9</v>
          </cell>
          <cell r="H198">
            <v>7.4099999999999995E-8</v>
          </cell>
          <cell r="M198">
            <v>0.95479999999999998</v>
          </cell>
          <cell r="O198">
            <v>1.5140000000000001E-2</v>
          </cell>
          <cell r="S198">
            <v>437.88348000000002</v>
          </cell>
          <cell r="T198" t="str">
            <v>-</v>
          </cell>
          <cell r="U198" t="str">
            <v>-</v>
          </cell>
        </row>
        <row r="199">
          <cell r="A199" t="str">
            <v>WHL_J141623.8+444528</v>
          </cell>
          <cell r="C199">
            <v>8.9599999999999999E-2</v>
          </cell>
          <cell r="E199">
            <v>8.8999999999999999E-3</v>
          </cell>
          <cell r="F199">
            <v>4.0899999999999997E-9</v>
          </cell>
          <cell r="H199">
            <v>1.12E-7</v>
          </cell>
          <cell r="M199">
            <v>0.89429999999999998</v>
          </cell>
          <cell r="O199">
            <v>1.8020000000000001E-2</v>
          </cell>
          <cell r="S199">
            <v>319.15724999999998</v>
          </cell>
          <cell r="T199">
            <v>0.5191225004853427</v>
          </cell>
          <cell r="U199">
            <v>3.4440085310276605E-2</v>
          </cell>
        </row>
        <row r="200">
          <cell r="A200" t="str">
            <v>ABELL_2249</v>
          </cell>
          <cell r="C200">
            <v>0.41549999999999998</v>
          </cell>
          <cell r="E200">
            <v>8.5699999999999995E-3</v>
          </cell>
          <cell r="F200">
            <v>1.9299999999999999E-7</v>
          </cell>
          <cell r="H200">
            <v>1.02E-7</v>
          </cell>
          <cell r="M200">
            <v>0.91900000000000004</v>
          </cell>
          <cell r="O200">
            <v>1.7659999999999999E-2</v>
          </cell>
          <cell r="S200">
            <v>441.03514000000001</v>
          </cell>
          <cell r="T200">
            <v>0.27188476998660116</v>
          </cell>
          <cell r="U200">
            <v>1.0940128258253492E-2</v>
          </cell>
        </row>
        <row r="201">
          <cell r="A201" t="str">
            <v>GMBCG_J029.95560-08.83299</v>
          </cell>
          <cell r="C201">
            <v>4.4220000000000002E-2</v>
          </cell>
          <cell r="E201">
            <v>9.2130000000000007E-3</v>
          </cell>
          <cell r="F201">
            <v>1.2499999999999999E-8</v>
          </cell>
          <cell r="H201">
            <v>1.2499999999999999E-8</v>
          </cell>
          <cell r="M201">
            <v>0.96179999999999999</v>
          </cell>
          <cell r="O201">
            <v>6.4749999999999999E-3</v>
          </cell>
          <cell r="S201">
            <v>539.26590999999996</v>
          </cell>
          <cell r="T201">
            <v>0.70892216831892008</v>
          </cell>
          <cell r="U201">
            <v>6.2247011244389054E-3</v>
          </cell>
        </row>
        <row r="202">
          <cell r="A202" t="str">
            <v>ABELL_S1063</v>
          </cell>
          <cell r="C202">
            <v>5.8659999999999997E-3</v>
          </cell>
          <cell r="E202">
            <v>7.1510000000000002E-3</v>
          </cell>
          <cell r="F202">
            <v>1.7800000000000001E-8</v>
          </cell>
          <cell r="H202">
            <v>1.14E-8</v>
          </cell>
          <cell r="M202">
            <v>0.91849999999999998</v>
          </cell>
          <cell r="O202">
            <v>5.6220000000000003E-3</v>
          </cell>
          <cell r="S202">
            <v>587.35504000000003</v>
          </cell>
          <cell r="T202">
            <v>0.57670950341107408</v>
          </cell>
          <cell r="U202">
            <v>6.0812758516293622E-3</v>
          </cell>
        </row>
        <row r="203">
          <cell r="A203" t="str">
            <v>MACS_J1105.7-1014</v>
          </cell>
          <cell r="C203">
            <v>2.7789999999999999E-2</v>
          </cell>
          <cell r="E203">
            <v>5.3610000000000003E-3</v>
          </cell>
          <cell r="F203">
            <v>7.7400000000000002E-9</v>
          </cell>
          <cell r="H203">
            <v>1.17E-7</v>
          </cell>
          <cell r="M203">
            <v>0.94030000000000002</v>
          </cell>
          <cell r="O203">
            <v>3.2809999999999999E-2</v>
          </cell>
          <cell r="S203">
            <v>530.70844999999997</v>
          </cell>
          <cell r="T203" t="str">
            <v>-</v>
          </cell>
          <cell r="U203" t="str">
            <v>-</v>
          </cell>
        </row>
        <row r="204">
          <cell r="A204" t="str">
            <v>ABELL_0368</v>
          </cell>
          <cell r="C204">
            <v>1.908E-2</v>
          </cell>
          <cell r="E204">
            <v>2.1779999999999998E-3</v>
          </cell>
          <cell r="F204">
            <v>2.4599999999999999E-8</v>
          </cell>
          <cell r="H204">
            <v>3.8600000000000002E-8</v>
          </cell>
          <cell r="M204">
            <v>0.874</v>
          </cell>
          <cell r="O204">
            <v>1.355E-2</v>
          </cell>
          <cell r="S204">
            <v>442.76136000000002</v>
          </cell>
          <cell r="T204" t="str">
            <v>-</v>
          </cell>
          <cell r="U204" t="str">
            <v>-</v>
          </cell>
        </row>
        <row r="205">
          <cell r="A205" t="str">
            <v>ABELL_3140</v>
          </cell>
          <cell r="C205">
            <v>5.0229999999999997E-3</v>
          </cell>
          <cell r="E205">
            <v>8.2950000000000005E-4</v>
          </cell>
          <cell r="F205">
            <v>4.7300000000000001E-7</v>
          </cell>
          <cell r="H205">
            <v>7.2100000000000004E-8</v>
          </cell>
          <cell r="M205">
            <v>0.97589999999999999</v>
          </cell>
          <cell r="O205">
            <v>6.7730000000000004E-3</v>
          </cell>
          <cell r="S205">
            <v>495.70098000000002</v>
          </cell>
          <cell r="T205" t="str">
            <v>-</v>
          </cell>
          <cell r="U205" t="str">
            <v>-</v>
          </cell>
        </row>
        <row r="206">
          <cell r="A206" t="str">
            <v>ABELL_0521</v>
          </cell>
          <cell r="C206">
            <v>7.2160000000000002E-2</v>
          </cell>
          <cell r="E206">
            <v>2.8839999999999998E-3</v>
          </cell>
          <cell r="F206">
            <v>3.0400000000000002E-7</v>
          </cell>
          <cell r="H206">
            <v>4.7799999999999998E-8</v>
          </cell>
          <cell r="M206">
            <v>0.85329999999999995</v>
          </cell>
          <cell r="O206">
            <v>2.7529999999999998E-3</v>
          </cell>
          <cell r="S206">
            <v>481.60631000000001</v>
          </cell>
          <cell r="T206" t="str">
            <v>-</v>
          </cell>
          <cell r="U206" t="str">
            <v>-</v>
          </cell>
        </row>
        <row r="207">
          <cell r="A207" t="str">
            <v>MACS_J0553.4-3342</v>
          </cell>
          <cell r="C207">
            <v>5.5059999999999998E-2</v>
          </cell>
          <cell r="E207">
            <v>4.2529999999999998E-3</v>
          </cell>
          <cell r="F207">
            <v>2.9400000000000001E-7</v>
          </cell>
          <cell r="H207">
            <v>5.3799999999999999E-8</v>
          </cell>
          <cell r="M207">
            <v>0.88939999999999997</v>
          </cell>
          <cell r="O207">
            <v>5.1650000000000003E-3</v>
          </cell>
          <cell r="S207">
            <v>580.20871999999997</v>
          </cell>
          <cell r="T207">
            <v>0.42439774474628394</v>
          </cell>
          <cell r="U207">
            <v>6.436876325530117E-3</v>
          </cell>
        </row>
        <row r="208">
          <cell r="A208" t="str">
            <v>MACS_J2046.0-3430</v>
          </cell>
          <cell r="C208">
            <v>9.2319999999999999E-2</v>
          </cell>
          <cell r="E208">
            <v>7.5310000000000004E-3</v>
          </cell>
          <cell r="F208">
            <v>2.37E-8</v>
          </cell>
          <cell r="H208">
            <v>3.1100000000000001E-8</v>
          </cell>
          <cell r="M208">
            <v>0.96179999999999999</v>
          </cell>
          <cell r="O208">
            <v>1.49E-2</v>
          </cell>
          <cell r="S208">
            <v>395.87428</v>
          </cell>
          <cell r="T208">
            <v>0.73473099751100901</v>
          </cell>
          <cell r="U208">
            <v>1.3238367448796447E-2</v>
          </cell>
        </row>
        <row r="209">
          <cell r="A209" t="str">
            <v>ABELL_1201</v>
          </cell>
          <cell r="C209">
            <v>3.6299999999999999E-2</v>
          </cell>
          <cell r="E209">
            <v>2.1949999999999999E-3</v>
          </cell>
          <cell r="F209">
            <v>4.0999999999999999E-7</v>
          </cell>
          <cell r="H209">
            <v>7.3500000000000003E-8</v>
          </cell>
          <cell r="M209">
            <v>0.79200000000000004</v>
          </cell>
          <cell r="O209">
            <v>4.4209999999999996E-3</v>
          </cell>
          <cell r="S209">
            <v>449.81184999999999</v>
          </cell>
          <cell r="T209">
            <v>0.42405884898312418</v>
          </cell>
          <cell r="U209">
            <v>8.2938615311162374E-3</v>
          </cell>
        </row>
        <row r="210">
          <cell r="A210" t="str">
            <v>NSCS_J145715+222009</v>
          </cell>
          <cell r="C210">
            <v>6.6189999999999999E-2</v>
          </cell>
          <cell r="E210">
            <v>4.1060000000000003E-3</v>
          </cell>
          <cell r="F210">
            <v>3.84E-8</v>
          </cell>
          <cell r="H210">
            <v>1.11E-8</v>
          </cell>
          <cell r="M210">
            <v>0.88919999999999999</v>
          </cell>
          <cell r="O210">
            <v>4.8729999999999997E-3</v>
          </cell>
          <cell r="S210">
            <v>408.33688000000001</v>
          </cell>
          <cell r="T210">
            <v>0.77359790547058016</v>
          </cell>
          <cell r="U210">
            <v>4.427320323280466E-3</v>
          </cell>
        </row>
        <row r="211">
          <cell r="A211" t="str">
            <v>MACS_J0242.6-2132</v>
          </cell>
          <cell r="C211">
            <v>6.1069999999999999E-2</v>
          </cell>
          <cell r="E211">
            <v>5.47E-3</v>
          </cell>
          <cell r="F211">
            <v>1.55E-8</v>
          </cell>
          <cell r="H211">
            <v>4.0100000000000002E-8</v>
          </cell>
          <cell r="M211">
            <v>0.95479999999999998</v>
          </cell>
          <cell r="O211">
            <v>2.1999999999999999E-2</v>
          </cell>
          <cell r="S211">
            <v>401.97676000000001</v>
          </cell>
          <cell r="T211">
            <v>0.78493557978196238</v>
          </cell>
          <cell r="U211">
            <v>1.271310462609437E-2</v>
          </cell>
        </row>
        <row r="212">
          <cell r="A212" t="str">
            <v>ABELL_1736</v>
          </cell>
          <cell r="C212">
            <v>7.9020000000000007E-2</v>
          </cell>
          <cell r="E212">
            <v>8.8419999999999992E-3</v>
          </cell>
          <cell r="F212">
            <v>2.9499999999999998E-7</v>
          </cell>
          <cell r="H212">
            <v>6.73E-8</v>
          </cell>
          <cell r="M212">
            <v>0.91859999999999997</v>
          </cell>
          <cell r="O212">
            <v>4.5779999999999996E-3</v>
          </cell>
          <cell r="S212">
            <v>358.94292000000002</v>
          </cell>
          <cell r="T212">
            <v>0.23850179014045716</v>
          </cell>
          <cell r="U212">
            <v>9.3619944806714005E-3</v>
          </cell>
        </row>
        <row r="213">
          <cell r="A213" t="str">
            <v>MCXC_J2011.3-5725</v>
          </cell>
          <cell r="C213">
            <v>1.8519999999999998E-2</v>
          </cell>
          <cell r="E213">
            <v>4.2690000000000002E-3</v>
          </cell>
          <cell r="F213">
            <v>8.7500000000000006E-9</v>
          </cell>
          <cell r="H213">
            <v>3.1900000000000001E-8</v>
          </cell>
          <cell r="M213">
            <v>0.87560000000000004</v>
          </cell>
          <cell r="O213">
            <v>3.7479999999999999E-2</v>
          </cell>
          <cell r="S213">
            <v>336.79732000000001</v>
          </cell>
          <cell r="T213">
            <v>0.63536347844396479</v>
          </cell>
          <cell r="U213">
            <v>2.1580094933414447E-2</v>
          </cell>
        </row>
        <row r="214">
          <cell r="A214" t="str">
            <v>ABELL_3532</v>
          </cell>
          <cell r="C214">
            <v>2.8389999999999999E-2</v>
          </cell>
          <cell r="E214">
            <v>3.5820000000000001E-3</v>
          </cell>
          <cell r="F214">
            <v>4.0900000000000002E-7</v>
          </cell>
          <cell r="H214">
            <v>8.2899999999999995E-8</v>
          </cell>
          <cell r="M214">
            <v>0.94530000000000003</v>
          </cell>
          <cell r="O214">
            <v>6.5550000000000001E-3</v>
          </cell>
          <cell r="S214">
            <v>444.94394</v>
          </cell>
          <cell r="T214">
            <v>0.3873461208130547</v>
          </cell>
          <cell r="U214">
            <v>1.2741397531317063E-2</v>
          </cell>
        </row>
        <row r="215">
          <cell r="A215" t="str">
            <v>ABELL_0514</v>
          </cell>
          <cell r="C215">
            <v>0.2954</v>
          </cell>
          <cell r="E215">
            <v>5.8409999999999998E-3</v>
          </cell>
          <cell r="F215">
            <v>1.1200000000000001E-6</v>
          </cell>
          <cell r="H215">
            <v>3.3000000000000002E-7</v>
          </cell>
          <cell r="M215">
            <v>0.79410000000000003</v>
          </cell>
          <cell r="O215">
            <v>6.045E-3</v>
          </cell>
          <cell r="S215">
            <v>373.57524000000001</v>
          </cell>
          <cell r="T215">
            <v>0.32621359223300972</v>
          </cell>
          <cell r="U215">
            <v>1.5487681576215481E-2</v>
          </cell>
        </row>
        <row r="216">
          <cell r="A216" t="str">
            <v>SDSS-C4-DR3_3144</v>
          </cell>
          <cell r="C216">
            <v>1.9990000000000001E-2</v>
          </cell>
          <cell r="E216">
            <v>3.258E-3</v>
          </cell>
          <cell r="F216">
            <v>1.7E-8</v>
          </cell>
          <cell r="H216">
            <v>2.36E-8</v>
          </cell>
          <cell r="M216">
            <v>0.99360000000000004</v>
          </cell>
          <cell r="O216">
            <v>8.1949999999999992E-3</v>
          </cell>
          <cell r="S216">
            <v>242.90001000000001</v>
          </cell>
          <cell r="T216">
            <v>0.63527916299990217</v>
          </cell>
          <cell r="U216">
            <v>2.0707508043493212E-2</v>
          </cell>
        </row>
        <row r="217">
          <cell r="A217" t="str">
            <v>ABELL_2667</v>
          </cell>
          <cell r="C217">
            <v>3.134E-2</v>
          </cell>
          <cell r="E217">
            <v>2E-3</v>
          </cell>
          <cell r="F217">
            <v>2.6499999999999999E-8</v>
          </cell>
          <cell r="H217">
            <v>1.77E-8</v>
          </cell>
          <cell r="M217">
            <v>0.88049999999999995</v>
          </cell>
          <cell r="O217">
            <v>7.92E-3</v>
          </cell>
          <cell r="S217">
            <v>533.40665999999999</v>
          </cell>
          <cell r="T217">
            <v>0.65968127490039841</v>
          </cell>
          <cell r="U217">
            <v>8.1729597808466864E-3</v>
          </cell>
        </row>
        <row r="218">
          <cell r="A218" t="str">
            <v>400d_J0340-2840</v>
          </cell>
          <cell r="C218">
            <v>1.46E-2</v>
          </cell>
          <cell r="E218">
            <v>3.9129999999999998E-3</v>
          </cell>
          <cell r="F218">
            <v>1.15E-7</v>
          </cell>
          <cell r="H218">
            <v>1.1899999999999999E-7</v>
          </cell>
          <cell r="M218">
            <v>0.96899999999999997</v>
          </cell>
          <cell r="O218">
            <v>1.5959999999999998E-2</v>
          </cell>
          <cell r="S218">
            <v>425.18337000000002</v>
          </cell>
          <cell r="T218" t="str">
            <v>-</v>
          </cell>
          <cell r="U218" t="str">
            <v>-</v>
          </cell>
        </row>
        <row r="219">
          <cell r="A219" t="str">
            <v>ABELL_2717</v>
          </cell>
          <cell r="C219">
            <v>0.10780000000000001</v>
          </cell>
          <cell r="E219">
            <v>1.6360000000000001E-3</v>
          </cell>
          <cell r="F219">
            <v>1.7E-6</v>
          </cell>
          <cell r="H219">
            <v>9.9699999999999999E-8</v>
          </cell>
          <cell r="M219">
            <v>0.80130000000000001</v>
          </cell>
          <cell r="O219">
            <v>5.7730000000000004E-3</v>
          </cell>
          <cell r="S219">
            <v>306.77014000000003</v>
          </cell>
          <cell r="T219">
            <v>0.57547169811320753</v>
          </cell>
          <cell r="U219">
            <v>1.3236991236708278E-2</v>
          </cell>
        </row>
        <row r="220">
          <cell r="A220" t="str">
            <v>ABELL_3292</v>
          </cell>
          <cell r="C220">
            <v>4.274E-2</v>
          </cell>
          <cell r="E220">
            <v>8.097E-3</v>
          </cell>
          <cell r="F220">
            <v>5.5999999999999999E-8</v>
          </cell>
          <cell r="H220">
            <v>4.9000000000000002E-8</v>
          </cell>
          <cell r="M220">
            <v>0.91910000000000003</v>
          </cell>
          <cell r="O220">
            <v>9.7999999999999997E-3</v>
          </cell>
          <cell r="S220">
            <v>386.34334000000001</v>
          </cell>
          <cell r="T220">
            <v>0.47857981220657275</v>
          </cell>
          <cell r="U220">
            <v>1.6562552863512645E-2</v>
          </cell>
        </row>
        <row r="221">
          <cell r="A221" t="str">
            <v>A1882a</v>
          </cell>
          <cell r="C221">
            <v>4.3950000000000003E-2</v>
          </cell>
          <cell r="E221">
            <v>2.7720000000000002E-3</v>
          </cell>
          <cell r="F221">
            <v>4.0200000000000003E-7</v>
          </cell>
          <cell r="H221">
            <v>1.02E-7</v>
          </cell>
          <cell r="M221">
            <v>0.92020000000000002</v>
          </cell>
          <cell r="O221">
            <v>5.7759999999999999E-3</v>
          </cell>
          <cell r="S221">
            <v>352.92338000000001</v>
          </cell>
          <cell r="T221">
            <v>0.34959666926880045</v>
          </cell>
          <cell r="U221">
            <v>1.9741592257120747E-2</v>
          </cell>
        </row>
        <row r="222">
          <cell r="A222" t="str">
            <v>SDSSCGB_08842</v>
          </cell>
          <cell r="C222">
            <v>1.1679999999999999E-2</v>
          </cell>
          <cell r="E222">
            <v>3.3500000000000001E-3</v>
          </cell>
          <cell r="F222">
            <v>9.4300000000000004E-8</v>
          </cell>
          <cell r="H222">
            <v>1.17E-7</v>
          </cell>
          <cell r="M222">
            <v>0.96650000000000003</v>
          </cell>
          <cell r="O222">
            <v>2.1999999999999999E-2</v>
          </cell>
          <cell r="S222">
            <v>442.70296000000002</v>
          </cell>
          <cell r="T222" t="str">
            <v>-</v>
          </cell>
          <cell r="U222" t="str">
            <v>-</v>
          </cell>
        </row>
        <row r="223">
          <cell r="A223" t="str">
            <v>2MASX_J13312961+1107566</v>
          </cell>
          <cell r="C223">
            <v>2.4469999999999999E-2</v>
          </cell>
          <cell r="E223">
            <v>8.4670000000000006E-3</v>
          </cell>
          <cell r="F223">
            <v>6.4000000000000001E-7</v>
          </cell>
          <cell r="H223">
            <v>4.2500000000000001E-7</v>
          </cell>
          <cell r="M223">
            <v>0.96970000000000001</v>
          </cell>
          <cell r="O223">
            <v>2.7539999999999999E-2</v>
          </cell>
          <cell r="S223">
            <v>144.88353000000001</v>
          </cell>
          <cell r="T223">
            <v>0.72498298162014974</v>
          </cell>
          <cell r="U223">
            <v>0.18062678004434726</v>
          </cell>
        </row>
        <row r="224">
          <cell r="A224" t="str">
            <v>WHL_J015916.9+002932</v>
          </cell>
          <cell r="C224">
            <v>3.7440000000000001E-2</v>
          </cell>
          <cell r="E224">
            <v>5.2610000000000001E-3</v>
          </cell>
          <cell r="F224">
            <v>3.0899999999999999E-8</v>
          </cell>
          <cell r="H224">
            <v>1.74E-7</v>
          </cell>
          <cell r="M224">
            <v>0.97130000000000005</v>
          </cell>
          <cell r="O224">
            <v>3.3700000000000001E-2</v>
          </cell>
          <cell r="S224">
            <v>498.03602000000001</v>
          </cell>
          <cell r="T224" t="str">
            <v>-</v>
          </cell>
          <cell r="U224" t="str">
            <v>-</v>
          </cell>
        </row>
        <row r="225">
          <cell r="A225" t="str">
            <v>CIZA_J2242.8+5301</v>
          </cell>
          <cell r="C225">
            <v>0.16550000000000001</v>
          </cell>
          <cell r="E225">
            <v>4.104E-3</v>
          </cell>
          <cell r="F225">
            <v>6.4700000000000001E-7</v>
          </cell>
          <cell r="H225">
            <v>7.5499999999999994E-8</v>
          </cell>
          <cell r="M225">
            <v>0.81979999999999997</v>
          </cell>
          <cell r="O225">
            <v>2.4780000000000002E-3</v>
          </cell>
          <cell r="S225">
            <v>538.24959999999999</v>
          </cell>
          <cell r="T225">
            <v>0.25129943502824853</v>
          </cell>
          <cell r="U225">
            <v>5.5149018099110237E-3</v>
          </cell>
        </row>
        <row r="226">
          <cell r="A226" t="str">
            <v>ABELL_3343</v>
          </cell>
          <cell r="C226">
            <v>1.047E-2</v>
          </cell>
          <cell r="E226">
            <v>2.1150000000000001E-3</v>
          </cell>
          <cell r="F226">
            <v>5.69E-8</v>
          </cell>
          <cell r="H226">
            <v>3.8500000000000001E-8</v>
          </cell>
          <cell r="M226">
            <v>0.92369999999999997</v>
          </cell>
          <cell r="O226">
            <v>1.1089999999999999E-2</v>
          </cell>
          <cell r="S226">
            <v>479.40487000000002</v>
          </cell>
          <cell r="T226">
            <v>0.53635192343088534</v>
          </cell>
          <cell r="U226">
            <v>1.2451375092975399E-2</v>
          </cell>
        </row>
        <row r="227">
          <cell r="A227" t="str">
            <v>MaxBCG_J016.70077+01.05926</v>
          </cell>
          <cell r="C227">
            <v>5.1409999999999997E-2</v>
          </cell>
          <cell r="E227">
            <v>2.2880000000000001E-3</v>
          </cell>
          <cell r="F227">
            <v>2.07E-8</v>
          </cell>
          <cell r="H227">
            <v>1.4100000000000001E-8</v>
          </cell>
          <cell r="M227">
            <v>0.91479999999999995</v>
          </cell>
          <cell r="O227">
            <v>6.2979999999999998E-3</v>
          </cell>
          <cell r="S227">
            <v>374.21087</v>
          </cell>
          <cell r="T227">
            <v>0.77343829874245984</v>
          </cell>
          <cell r="U227">
            <v>7.6394243504942097E-3</v>
          </cell>
        </row>
        <row r="228">
          <cell r="A228" t="str">
            <v>MCXC_J1958.2-3011</v>
          </cell>
          <cell r="C228">
            <v>2.7529999999999999E-2</v>
          </cell>
          <cell r="E228">
            <v>5.2110000000000004E-3</v>
          </cell>
          <cell r="F228">
            <v>1.9000000000000001E-7</v>
          </cell>
          <cell r="H228">
            <v>1.6E-7</v>
          </cell>
          <cell r="M228">
            <v>0.92500000000000004</v>
          </cell>
          <cell r="O228">
            <v>1.5900000000000001E-2</v>
          </cell>
          <cell r="S228">
            <v>327.08501000000001</v>
          </cell>
          <cell r="T228" t="str">
            <v>-</v>
          </cell>
          <cell r="U228" t="str">
            <v>-</v>
          </cell>
        </row>
        <row r="229">
          <cell r="A229" t="str">
            <v>ABELL_2556</v>
          </cell>
          <cell r="C229">
            <v>1.1089999999999999E-2</v>
          </cell>
          <cell r="E229">
            <v>1.4599999999999999E-3</v>
          </cell>
          <cell r="F229">
            <v>1.6000000000000001E-9</v>
          </cell>
          <cell r="H229">
            <v>3.8300000000000002E-9</v>
          </cell>
          <cell r="M229">
            <v>0.9153</v>
          </cell>
          <cell r="O229">
            <v>5.9829999999999996E-3</v>
          </cell>
          <cell r="S229">
            <v>374.89138000000003</v>
          </cell>
          <cell r="T229">
            <v>0.67569035762788587</v>
          </cell>
          <cell r="U229">
            <v>6.5727071597357026E-3</v>
          </cell>
        </row>
        <row r="230">
          <cell r="A230" t="str">
            <v>ABELL_2111</v>
          </cell>
          <cell r="C230">
            <v>3.4930000000000003E-2</v>
          </cell>
          <cell r="E230">
            <v>6.8690000000000001E-3</v>
          </cell>
          <cell r="F230">
            <v>2.9099999999999999E-8</v>
          </cell>
          <cell r="H230">
            <v>3.7200000000000002E-8</v>
          </cell>
          <cell r="M230">
            <v>0.83320000000000005</v>
          </cell>
          <cell r="O230">
            <v>6.5700000000000003E-3</v>
          </cell>
          <cell r="S230">
            <v>519.68453999999997</v>
          </cell>
          <cell r="T230">
            <v>0.42197624190064797</v>
          </cell>
          <cell r="U230">
            <v>9.1170215629481858E-3</v>
          </cell>
        </row>
        <row r="231">
          <cell r="A231" t="str">
            <v>400d_J0838+1948</v>
          </cell>
          <cell r="C231">
            <v>2.7089999999999999E-2</v>
          </cell>
          <cell r="E231">
            <v>5.8820000000000001E-3</v>
          </cell>
          <cell r="F231">
            <v>2.3200000000000001E-7</v>
          </cell>
          <cell r="H231">
            <v>2.0800000000000001E-7</v>
          </cell>
          <cell r="M231">
            <v>0.94589999999999996</v>
          </cell>
          <cell r="O231">
            <v>2.0469999999999999E-2</v>
          </cell>
          <cell r="S231">
            <v>326.04476</v>
          </cell>
          <cell r="T231" t="str">
            <v>-</v>
          </cell>
          <cell r="U231" t="str">
            <v>-</v>
          </cell>
        </row>
        <row r="232">
          <cell r="A232" t="str">
            <v>SPT-CL_J2331-5051</v>
          </cell>
          <cell r="C232">
            <v>0.107</v>
          </cell>
          <cell r="E232">
            <v>1.2710000000000001E-2</v>
          </cell>
          <cell r="F232">
            <v>1.6299999999999999E-7</v>
          </cell>
          <cell r="H232">
            <v>2.84E-7</v>
          </cell>
          <cell r="M232">
            <v>0.84940000000000004</v>
          </cell>
          <cell r="O232">
            <v>0.1045</v>
          </cell>
          <cell r="S232">
            <v>334.28492</v>
          </cell>
          <cell r="T232" t="str">
            <v>-</v>
          </cell>
          <cell r="U232" t="str">
            <v>-</v>
          </cell>
        </row>
        <row r="233">
          <cell r="A233" t="str">
            <v>MACS_J0647.8+7015</v>
          </cell>
          <cell r="C233">
            <v>6.9360000000000005E-2</v>
          </cell>
          <cell r="E233">
            <v>5.803E-3</v>
          </cell>
          <cell r="F233">
            <v>3.9099999999999999E-8</v>
          </cell>
          <cell r="H233">
            <v>4.9299999999999998E-8</v>
          </cell>
          <cell r="M233">
            <v>0.78849999999999998</v>
          </cell>
          <cell r="O233">
            <v>1.03E-2</v>
          </cell>
          <cell r="S233">
            <v>473.60536999999999</v>
          </cell>
          <cell r="T233" t="str">
            <v>-</v>
          </cell>
          <cell r="U233" t="str">
            <v>-</v>
          </cell>
        </row>
        <row r="234">
          <cell r="A234" t="str">
            <v>MACS_J2214-1359</v>
          </cell>
          <cell r="C234">
            <v>2.324E-2</v>
          </cell>
          <cell r="E234">
            <v>2.5709999999999999E-3</v>
          </cell>
          <cell r="F234">
            <v>1.6299999999999999E-7</v>
          </cell>
          <cell r="H234">
            <v>1.09E-7</v>
          </cell>
          <cell r="M234">
            <v>0.84709999999999996</v>
          </cell>
          <cell r="O234">
            <v>9.5530000000000007E-3</v>
          </cell>
          <cell r="S234">
            <v>469.09615000000002</v>
          </cell>
          <cell r="T234">
            <v>0.47295423023578365</v>
          </cell>
          <cell r="U234">
            <v>1.3400323005215476E-2</v>
          </cell>
        </row>
        <row r="235">
          <cell r="A235" t="str">
            <v>ClG_1137.5+6625</v>
          </cell>
          <cell r="C235">
            <v>7.7619999999999995E-2</v>
          </cell>
          <cell r="E235">
            <v>9.7210000000000005E-3</v>
          </cell>
          <cell r="F235">
            <v>2.2700000000000001E-8</v>
          </cell>
          <cell r="H235">
            <v>9.0800000000000006E-8</v>
          </cell>
          <cell r="M235">
            <v>0.93659999999999999</v>
          </cell>
          <cell r="O235">
            <v>1.3650000000000001E-2</v>
          </cell>
          <cell r="S235">
            <v>286.39487000000003</v>
          </cell>
          <cell r="T235" t="str">
            <v>-</v>
          </cell>
          <cell r="U235" t="str">
            <v>-</v>
          </cell>
        </row>
        <row r="236">
          <cell r="A236" t="str">
            <v>XMMU_J1230.3+1339</v>
          </cell>
          <cell r="C236">
            <v>5.7320000000000003E-2</v>
          </cell>
          <cell r="E236">
            <v>1.2710000000000001E-2</v>
          </cell>
          <cell r="F236">
            <v>6.87E-8</v>
          </cell>
          <cell r="H236">
            <v>2.4999999999999999E-7</v>
          </cell>
          <cell r="M236">
            <v>0.94679999999999997</v>
          </cell>
          <cell r="O236">
            <v>2.845E-2</v>
          </cell>
          <cell r="S236">
            <v>281.79424999999998</v>
          </cell>
          <cell r="T236" t="str">
            <v>-</v>
          </cell>
          <cell r="U236" t="str">
            <v>-</v>
          </cell>
        </row>
        <row r="237">
          <cell r="A237" t="str">
            <v>ABELL_0697</v>
          </cell>
          <cell r="C237">
            <v>4.1729999999999996E-3</v>
          </cell>
          <cell r="E237">
            <v>4.607E-3</v>
          </cell>
          <cell r="F237">
            <v>2.48E-8</v>
          </cell>
          <cell r="H237">
            <v>2.2099999999999999E-8</v>
          </cell>
          <cell r="M237">
            <v>0.85809999999999997</v>
          </cell>
          <cell r="O237">
            <v>6.7600000000000004E-3</v>
          </cell>
          <cell r="S237">
            <v>669.56232</v>
          </cell>
          <cell r="T237">
            <v>0.49116161616161619</v>
          </cell>
          <cell r="U237">
            <v>8.2412023213314298E-3</v>
          </cell>
        </row>
        <row r="238">
          <cell r="A238" t="str">
            <v>ZwCl_0823.2+0425</v>
          </cell>
          <cell r="C238">
            <v>2.5499999999999998E-2</v>
          </cell>
          <cell r="E238">
            <v>6.0429999999999998E-3</v>
          </cell>
          <cell r="F238">
            <v>3.33E-8</v>
          </cell>
          <cell r="H238">
            <v>5.8999999999999999E-8</v>
          </cell>
          <cell r="M238">
            <v>0.92479999999999996</v>
          </cell>
          <cell r="O238">
            <v>1.3169999999999999E-2</v>
          </cell>
          <cell r="S238">
            <v>383.90685000000002</v>
          </cell>
          <cell r="T238">
            <v>0.50840632235981065</v>
          </cell>
          <cell r="U238">
            <v>2.3244660074919165E-2</v>
          </cell>
        </row>
        <row r="239">
          <cell r="A239" t="str">
            <v>MCXC_J2049.9-3216</v>
          </cell>
          <cell r="C239">
            <v>2.7230000000000001E-2</v>
          </cell>
          <cell r="E239">
            <v>3.764E-3</v>
          </cell>
          <cell r="F239">
            <v>1.35E-8</v>
          </cell>
          <cell r="H239">
            <v>3.0400000000000001E-8</v>
          </cell>
          <cell r="M239">
            <v>0.87880000000000003</v>
          </cell>
          <cell r="O239">
            <v>1.0370000000000001E-2</v>
          </cell>
          <cell r="S239">
            <v>470.31256999999999</v>
          </cell>
          <cell r="T239" t="str">
            <v>-</v>
          </cell>
          <cell r="U239" t="str">
            <v>-</v>
          </cell>
        </row>
        <row r="240">
          <cell r="A240" t="str">
            <v>ACT-CL_J0304-4921</v>
          </cell>
          <cell r="C240">
            <v>8.1949999999999995E-2</v>
          </cell>
          <cell r="E240">
            <v>7.6959999999999997E-3</v>
          </cell>
          <cell r="F240">
            <v>6.8E-8</v>
          </cell>
          <cell r="H240">
            <v>1.09E-7</v>
          </cell>
          <cell r="M240">
            <v>0.8528</v>
          </cell>
          <cell r="O240">
            <v>1.5980000000000001E-2</v>
          </cell>
          <cell r="S240">
            <v>411.79458</v>
          </cell>
          <cell r="T240" t="str">
            <v>-</v>
          </cell>
          <cell r="U240" t="str">
            <v>-</v>
          </cell>
        </row>
        <row r="241">
          <cell r="A241" t="str">
            <v>NSC_J174715+451155</v>
          </cell>
          <cell r="C241">
            <v>6.1080000000000002E-2</v>
          </cell>
          <cell r="E241">
            <v>1.2659999999999999E-2</v>
          </cell>
          <cell r="F241">
            <v>3.5199999999999998E-7</v>
          </cell>
          <cell r="H241">
            <v>2.0100000000000001E-7</v>
          </cell>
          <cell r="M241">
            <v>0.89149999999999996</v>
          </cell>
          <cell r="O241">
            <v>9.2599999999999991E-3</v>
          </cell>
          <cell r="S241">
            <v>393.38833</v>
          </cell>
          <cell r="T241">
            <v>0.21084462982273203</v>
          </cell>
          <cell r="U241">
            <v>1.7895362758072741E-2</v>
          </cell>
        </row>
        <row r="242">
          <cell r="A242" t="str">
            <v>400d_J1120+2326</v>
          </cell>
          <cell r="C242">
            <v>0.1128</v>
          </cell>
          <cell r="E242">
            <v>1.405E-2</v>
          </cell>
          <cell r="F242">
            <v>3.6399999999999999E-6</v>
          </cell>
          <cell r="H242">
            <v>1.17E-6</v>
          </cell>
          <cell r="M242">
            <v>0.96350000000000002</v>
          </cell>
          <cell r="O242">
            <v>3.1269999999999999E-2</v>
          </cell>
          <cell r="S242">
            <v>299.15159</v>
          </cell>
          <cell r="T242" t="str">
            <v>-</v>
          </cell>
          <cell r="U242" t="str">
            <v>-</v>
          </cell>
        </row>
        <row r="243">
          <cell r="A243" t="str">
            <v>MCXC_J0352.9+1941</v>
          </cell>
          <cell r="C243">
            <v>2.5839999999999998E-2</v>
          </cell>
          <cell r="E243">
            <v>1.0219999999999999E-3</v>
          </cell>
          <cell r="F243">
            <v>3.2799999999999998E-9</v>
          </cell>
          <cell r="H243">
            <v>4.8399999999999998E-9</v>
          </cell>
          <cell r="M243">
            <v>0.89770000000000005</v>
          </cell>
          <cell r="O243">
            <v>6.0419999999999996E-3</v>
          </cell>
          <cell r="S243">
            <v>349.29232000000002</v>
          </cell>
          <cell r="T243">
            <v>0.7241558982909545</v>
          </cell>
          <cell r="U243">
            <v>9.9581160139431222E-3</v>
          </cell>
        </row>
        <row r="244">
          <cell r="A244" t="str">
            <v>ABELL_3395_SW</v>
          </cell>
          <cell r="C244">
            <v>9.4769999999999993E-2</v>
          </cell>
          <cell r="E244">
            <v>3.1329999999999999E-3</v>
          </cell>
          <cell r="F244">
            <v>2.3300000000000001E-6</v>
          </cell>
          <cell r="H244">
            <v>1.9299999999999999E-7</v>
          </cell>
          <cell r="M244">
            <v>0.8498</v>
          </cell>
          <cell r="O244">
            <v>4.3839999999999999E-3</v>
          </cell>
          <cell r="S244">
            <v>426.88709999999998</v>
          </cell>
          <cell r="T244">
            <v>0.32480626614448793</v>
          </cell>
          <cell r="U244">
            <v>1.1038249748593437E-2</v>
          </cell>
        </row>
        <row r="245">
          <cell r="A245" t="str">
            <v>ABELL_3667</v>
          </cell>
          <cell r="C245">
            <v>2.435E-2</v>
          </cell>
          <cell r="E245">
            <v>1.8420000000000001E-3</v>
          </cell>
          <cell r="F245">
            <v>3.2599999999999998E-7</v>
          </cell>
          <cell r="H245">
            <v>6.5899999999999998E-9</v>
          </cell>
          <cell r="M245">
            <v>0.93100000000000005</v>
          </cell>
          <cell r="O245">
            <v>8.8270000000000004E-4</v>
          </cell>
          <cell r="S245">
            <v>505.38634000000002</v>
          </cell>
          <cell r="T245">
            <v>0.50824679291386676</v>
          </cell>
          <cell r="U245">
            <v>1.569172703046525E-3</v>
          </cell>
        </row>
        <row r="246">
          <cell r="A246" t="str">
            <v>WARP_J1113.0-2615</v>
          </cell>
          <cell r="C246">
            <v>5.7140000000000003E-2</v>
          </cell>
          <cell r="E246">
            <v>1.299E-2</v>
          </cell>
          <cell r="F246">
            <v>7.54E-7</v>
          </cell>
          <cell r="H246">
            <v>6.1500000000000004E-7</v>
          </cell>
          <cell r="M246">
            <v>0.94969999999999999</v>
          </cell>
          <cell r="O246">
            <v>3.6749999999999998E-2</v>
          </cell>
          <cell r="S246">
            <v>265.83677</v>
          </cell>
          <cell r="T246" t="str">
            <v>-</v>
          </cell>
          <cell r="U246" t="str">
            <v>-</v>
          </cell>
        </row>
        <row r="247">
          <cell r="A247" t="str">
            <v>ABELL_1569</v>
          </cell>
          <cell r="C247">
            <v>2.0160000000000001E-2</v>
          </cell>
          <cell r="E247">
            <v>4.4289999999999998E-3</v>
          </cell>
          <cell r="F247">
            <v>4.2100000000000002E-7</v>
          </cell>
          <cell r="H247">
            <v>1.17E-7</v>
          </cell>
          <cell r="M247">
            <v>0.9597</v>
          </cell>
          <cell r="O247">
            <v>1.738E-2</v>
          </cell>
          <cell r="S247">
            <v>281.42043000000001</v>
          </cell>
          <cell r="T247">
            <v>0.34064155980745114</v>
          </cell>
          <cell r="U247">
            <v>2.0568077124228829E-2</v>
          </cell>
        </row>
        <row r="248">
          <cell r="A248" t="str">
            <v>ABELL_1413</v>
          </cell>
          <cell r="C248">
            <v>2.1270000000000001E-2</v>
          </cell>
          <cell r="E248">
            <v>5.4799999999999998E-4</v>
          </cell>
          <cell r="F248">
            <v>6.8200000000000002E-8</v>
          </cell>
          <cell r="H248">
            <v>8.1400000000000004E-9</v>
          </cell>
          <cell r="M248">
            <v>0.86909999999999998</v>
          </cell>
          <cell r="O248">
            <v>2.3440000000000002E-3</v>
          </cell>
          <cell r="S248">
            <v>522.65936999999997</v>
          </cell>
          <cell r="T248">
            <v>0.62924400181077411</v>
          </cell>
          <cell r="U248">
            <v>3.3736794110860173E-3</v>
          </cell>
        </row>
        <row r="249">
          <cell r="A249" t="str">
            <v>RCS_J2327-0204</v>
          </cell>
          <cell r="C249">
            <v>2.5999999999999999E-2</v>
          </cell>
          <cell r="E249">
            <v>2.006E-3</v>
          </cell>
          <cell r="F249">
            <v>1.4699999999999999E-8</v>
          </cell>
          <cell r="H249">
            <v>1.37E-8</v>
          </cell>
          <cell r="M249">
            <v>0.98719999999999997</v>
          </cell>
          <cell r="O249">
            <v>1.1979999999999999E-2</v>
          </cell>
          <cell r="S249">
            <v>580.08937000000003</v>
          </cell>
          <cell r="T249" t="str">
            <v>-</v>
          </cell>
          <cell r="U249" t="str">
            <v>-</v>
          </cell>
        </row>
        <row r="250">
          <cell r="A250" t="str">
            <v>ABELL_1664</v>
          </cell>
          <cell r="C250">
            <v>2.23E-2</v>
          </cell>
          <cell r="E250">
            <v>8.7799999999999998E-4</v>
          </cell>
          <cell r="F250">
            <v>6.5499999999999998E-8</v>
          </cell>
          <cell r="H250">
            <v>1.6400000000000001E-8</v>
          </cell>
          <cell r="M250">
            <v>0.92259999999999998</v>
          </cell>
          <cell r="O250">
            <v>3.6120000000000002E-3</v>
          </cell>
          <cell r="S250">
            <v>427.36342999999999</v>
          </cell>
          <cell r="T250">
            <v>0.64575163398692803</v>
          </cell>
          <cell r="U250">
            <v>6.6571744124099309E-3</v>
          </cell>
        </row>
        <row r="251">
          <cell r="A251" t="str">
            <v>MCXC_J0331.1-2100</v>
          </cell>
          <cell r="C251">
            <v>4.6670000000000003E-2</v>
          </cell>
          <cell r="E251">
            <v>5.9579999999999998E-3</v>
          </cell>
          <cell r="F251">
            <v>4.4400000000000001E-8</v>
          </cell>
          <cell r="H251">
            <v>3.0799999999999998E-8</v>
          </cell>
          <cell r="M251">
            <v>0.90690000000000004</v>
          </cell>
          <cell r="O251">
            <v>9.8029999999999992E-3</v>
          </cell>
          <cell r="S251">
            <v>461.68626999999998</v>
          </cell>
          <cell r="T251">
            <v>0.71528678951466396</v>
          </cell>
          <cell r="U251">
            <v>9.9602082920262278E-3</v>
          </cell>
        </row>
        <row r="252">
          <cell r="A252" t="str">
            <v>a1750ss</v>
          </cell>
          <cell r="C252">
            <v>0.24660000000000001</v>
          </cell>
          <cell r="E252">
            <v>2.0899999999999998E-2</v>
          </cell>
          <cell r="F252">
            <v>5.4799999999999998E-7</v>
          </cell>
          <cell r="H252">
            <v>2.53E-7</v>
          </cell>
          <cell r="M252">
            <v>0.96489999999999998</v>
          </cell>
          <cell r="O252">
            <v>1.891E-2</v>
          </cell>
          <cell r="S252">
            <v>283.96033999999997</v>
          </cell>
          <cell r="T252">
            <v>0.30375000000000002</v>
          </cell>
          <cell r="U252">
            <v>4.8118488971868767E-2</v>
          </cell>
        </row>
        <row r="253">
          <cell r="A253" t="str">
            <v>WARP_J0030.5+2618</v>
          </cell>
          <cell r="C253">
            <v>4.5039999999999997E-2</v>
          </cell>
          <cell r="E253">
            <v>1.5859999999999999E-2</v>
          </cell>
          <cell r="F253">
            <v>4.3100000000000002E-8</v>
          </cell>
          <cell r="H253">
            <v>5.5899999999999996E-7</v>
          </cell>
          <cell r="M253">
            <v>0.92710000000000004</v>
          </cell>
          <cell r="O253">
            <v>4.922E-2</v>
          </cell>
          <cell r="S253">
            <v>257.79262999999997</v>
          </cell>
          <cell r="T253" t="str">
            <v>-</v>
          </cell>
          <cell r="U253" t="str">
            <v>-</v>
          </cell>
        </row>
        <row r="254">
          <cell r="A254" t="str">
            <v>ABELL_1763</v>
          </cell>
          <cell r="C254">
            <v>6.6439999999999999E-2</v>
          </cell>
          <cell r="E254">
            <v>7.77E-3</v>
          </cell>
          <cell r="F254">
            <v>5.7299999999999997E-8</v>
          </cell>
          <cell r="H254">
            <v>4.0000000000000001E-8</v>
          </cell>
          <cell r="M254">
            <v>0.8639</v>
          </cell>
          <cell r="O254">
            <v>6.5919999999999998E-3</v>
          </cell>
          <cell r="S254">
            <v>497.91068000000001</v>
          </cell>
          <cell r="T254">
            <v>0.39702667249672063</v>
          </cell>
          <cell r="U254">
            <v>9.967612246242057E-3</v>
          </cell>
        </row>
        <row r="255">
          <cell r="A255" t="str">
            <v>MACS_J2245.0+2637</v>
          </cell>
          <cell r="C255">
            <v>4.0689999999999997E-2</v>
          </cell>
          <cell r="E255">
            <v>5.6270000000000001E-3</v>
          </cell>
          <cell r="F255">
            <v>8.7499999999999996E-8</v>
          </cell>
          <cell r="H255">
            <v>5.54E-8</v>
          </cell>
          <cell r="M255">
            <v>0.8659</v>
          </cell>
          <cell r="O255">
            <v>1.4749999999999999E-2</v>
          </cell>
          <cell r="S255">
            <v>444.18894</v>
          </cell>
          <cell r="T255">
            <v>0.67533742331288349</v>
          </cell>
          <cell r="U255">
            <v>1.5713022551913258E-2</v>
          </cell>
        </row>
        <row r="256">
          <cell r="A256" t="str">
            <v>MACS_J0257-2325</v>
          </cell>
          <cell r="C256">
            <v>1.285E-2</v>
          </cell>
          <cell r="E256">
            <v>2.2279999999999999E-3</v>
          </cell>
          <cell r="F256">
            <v>2.4E-8</v>
          </cell>
          <cell r="H256">
            <v>3.7599999999999999E-8</v>
          </cell>
          <cell r="M256">
            <v>0.87090000000000001</v>
          </cell>
          <cell r="O256">
            <v>3.2250000000000001E-2</v>
          </cell>
          <cell r="S256">
            <v>492.72784000000001</v>
          </cell>
          <cell r="T256" t="str">
            <v>-</v>
          </cell>
          <cell r="U256" t="str">
            <v>-</v>
          </cell>
        </row>
        <row r="257">
          <cell r="A257" t="str">
            <v>ABELL_2092</v>
          </cell>
          <cell r="C257">
            <v>4.8669999999999998E-2</v>
          </cell>
          <cell r="E257">
            <v>8.2229999999999994E-3</v>
          </cell>
          <cell r="F257">
            <v>1.05E-7</v>
          </cell>
          <cell r="H257">
            <v>1.2599999999999999E-7</v>
          </cell>
          <cell r="M257">
            <v>0.95979999999999999</v>
          </cell>
          <cell r="O257">
            <v>2.622E-2</v>
          </cell>
          <cell r="S257">
            <v>285.49986000000001</v>
          </cell>
          <cell r="T257">
            <v>0.40510346578646694</v>
          </cell>
          <cell r="U257">
            <v>7.244551963727458E-2</v>
          </cell>
        </row>
        <row r="258">
          <cell r="A258" t="str">
            <v>MACS_J1108.9+0906</v>
          </cell>
          <cell r="C258">
            <v>4.1779999999999998E-2</v>
          </cell>
          <cell r="E258">
            <v>6.1720000000000004E-3</v>
          </cell>
          <cell r="F258">
            <v>1.13E-8</v>
          </cell>
          <cell r="H258">
            <v>7.2300000000000006E-8</v>
          </cell>
          <cell r="M258">
            <v>0.91269999999999996</v>
          </cell>
          <cell r="O258">
            <v>1.248E-2</v>
          </cell>
          <cell r="S258">
            <v>412.03404999999998</v>
          </cell>
          <cell r="T258">
            <v>0.42505081300813008</v>
          </cell>
          <cell r="U258">
            <v>1.8256353385938388E-2</v>
          </cell>
        </row>
        <row r="259">
          <cell r="A259" t="str">
            <v>NGC_6269</v>
          </cell>
          <cell r="C259">
            <v>1.959E-2</v>
          </cell>
          <cell r="E259">
            <v>2.117E-3</v>
          </cell>
          <cell r="F259">
            <v>1.29E-7</v>
          </cell>
          <cell r="H259">
            <v>5.2700000000000002E-8</v>
          </cell>
          <cell r="M259">
            <v>0.97919999999999996</v>
          </cell>
          <cell r="O259">
            <v>1.0120000000000001E-2</v>
          </cell>
          <cell r="S259">
            <v>276.16388999999998</v>
          </cell>
          <cell r="T259">
            <v>0.42619697345571816</v>
          </cell>
          <cell r="U259">
            <v>2.131659538815266E-2</v>
          </cell>
        </row>
        <row r="260">
          <cell r="A260" t="str">
            <v>ABELL_2670</v>
          </cell>
          <cell r="C260">
            <v>6.8809999999999996E-2</v>
          </cell>
          <cell r="E260">
            <v>2.8540000000000002E-3</v>
          </cell>
          <cell r="F260">
            <v>2.62E-8</v>
          </cell>
          <cell r="H260">
            <v>1.31E-8</v>
          </cell>
          <cell r="M260">
            <v>0.98640000000000005</v>
          </cell>
          <cell r="O260">
            <v>7.2110000000000004E-3</v>
          </cell>
          <cell r="S260">
            <v>391.15145999999999</v>
          </cell>
          <cell r="T260">
            <v>0.50884198516828294</v>
          </cell>
          <cell r="U260">
            <v>9.7800395783607403E-3</v>
          </cell>
        </row>
        <row r="261">
          <cell r="A261" t="str">
            <v>ABELL_0133</v>
          </cell>
          <cell r="C261">
            <v>1.089E-2</v>
          </cell>
          <cell r="E261">
            <v>2.9179999999999999E-4</v>
          </cell>
          <cell r="F261">
            <v>2.14E-8</v>
          </cell>
          <cell r="H261">
            <v>3.3099999999999999E-9</v>
          </cell>
          <cell r="M261">
            <v>0.90159999999999996</v>
          </cell>
          <cell r="O261">
            <v>1.787E-3</v>
          </cell>
          <cell r="S261">
            <v>402.85374000000002</v>
          </cell>
          <cell r="T261">
            <v>0.72233758528626513</v>
          </cell>
          <cell r="U261">
            <v>3.2389108473989876E-3</v>
          </cell>
        </row>
        <row r="262">
          <cell r="A262" t="str">
            <v>ZwCl_0008.8+5215</v>
          </cell>
          <cell r="C262">
            <v>0.20469999999999999</v>
          </cell>
          <cell r="E262">
            <v>1.0659999999999999E-2</v>
          </cell>
          <cell r="F262">
            <v>3.2399999999999999E-8</v>
          </cell>
          <cell r="H262">
            <v>3.9500000000000003E-8</v>
          </cell>
          <cell r="M262">
            <v>0.87170000000000003</v>
          </cell>
          <cell r="O262">
            <v>7.3740000000000003E-3</v>
          </cell>
          <cell r="S262">
            <v>415.46823000000001</v>
          </cell>
          <cell r="T262">
            <v>0.33352435530085961</v>
          </cell>
          <cell r="U262">
            <v>1.4732614082604118E-2</v>
          </cell>
        </row>
        <row r="263">
          <cell r="A263" t="str">
            <v>ZwCl_0806.5+2822</v>
          </cell>
          <cell r="C263">
            <v>3.4950000000000002E-2</v>
          </cell>
          <cell r="E263">
            <v>7.2439999999999996E-3</v>
          </cell>
          <cell r="F263">
            <v>2.72E-7</v>
          </cell>
          <cell r="H263">
            <v>3.6100000000000002E-7</v>
          </cell>
          <cell r="M263">
            <v>0.91749999999999998</v>
          </cell>
          <cell r="O263">
            <v>2.164E-2</v>
          </cell>
          <cell r="S263">
            <v>524.76329999999996</v>
          </cell>
          <cell r="T263" t="str">
            <v>-</v>
          </cell>
          <cell r="U263" t="str">
            <v>-</v>
          </cell>
        </row>
        <row r="264">
          <cell r="A264" t="str">
            <v>ABELL_2597</v>
          </cell>
          <cell r="C264">
            <v>2.758E-2</v>
          </cell>
          <cell r="E264">
            <v>8.1320000000000003E-4</v>
          </cell>
          <cell r="F264">
            <v>8.9400000000000006E-8</v>
          </cell>
          <cell r="H264">
            <v>4.5800000000000003E-9</v>
          </cell>
          <cell r="M264">
            <v>0.96299999999999997</v>
          </cell>
          <cell r="O264">
            <v>1.9629999999999999E-3</v>
          </cell>
          <cell r="S264">
            <v>408.87067000000002</v>
          </cell>
          <cell r="T264">
            <v>0.82285868198958512</v>
          </cell>
          <cell r="U264">
            <v>2.3161868182390742E-3</v>
          </cell>
        </row>
        <row r="265">
          <cell r="A265" t="str">
            <v>NSC_J084254+292723</v>
          </cell>
          <cell r="C265">
            <v>2.7210000000000002E-2</v>
          </cell>
          <cell r="E265">
            <v>1.738E-3</v>
          </cell>
          <cell r="F265">
            <v>5.4800000000000001E-9</v>
          </cell>
          <cell r="H265">
            <v>9.0200000000000007E-9</v>
          </cell>
          <cell r="M265">
            <v>0.94210000000000005</v>
          </cell>
          <cell r="O265">
            <v>1.4409999999999999E-2</v>
          </cell>
          <cell r="S265">
            <v>472.03505000000001</v>
          </cell>
          <cell r="T265">
            <v>0.70291162071631019</v>
          </cell>
          <cell r="U265">
            <v>9.6381783730496579E-3</v>
          </cell>
        </row>
        <row r="266">
          <cell r="A266" t="str">
            <v>MCXC_J1000.5+4409</v>
          </cell>
          <cell r="C266">
            <v>6.8879999999999997E-2</v>
          </cell>
          <cell r="E266">
            <v>3.725E-3</v>
          </cell>
          <cell r="F266">
            <v>7.1699999999999997E-7</v>
          </cell>
          <cell r="H266">
            <v>1.7499999999999999E-7</v>
          </cell>
          <cell r="M266">
            <v>0.80449999999999999</v>
          </cell>
          <cell r="O266">
            <v>1.112E-2</v>
          </cell>
          <cell r="S266">
            <v>339.90388999999999</v>
          </cell>
          <cell r="T266">
            <v>0.55109961190168177</v>
          </cell>
          <cell r="U266">
            <v>2.1846630546852399E-2</v>
          </cell>
        </row>
        <row r="267">
          <cell r="A267" t="str">
            <v>ABELL_1068</v>
          </cell>
          <cell r="C267">
            <v>2.911E-2</v>
          </cell>
          <cell r="E267">
            <v>8.832E-4</v>
          </cell>
          <cell r="F267">
            <v>1.4E-8</v>
          </cell>
          <cell r="H267">
            <v>7.3399999999999999E-9</v>
          </cell>
          <cell r="M267">
            <v>0.84899999999999998</v>
          </cell>
          <cell r="O267">
            <v>4.9870000000000001E-3</v>
          </cell>
          <cell r="S267">
            <v>424.66631999999998</v>
          </cell>
          <cell r="T267">
            <v>0.73387372013651886</v>
          </cell>
          <cell r="U267">
            <v>5.7052517002147557E-3</v>
          </cell>
        </row>
        <row r="268">
          <cell r="A268" t="str">
            <v>MACS_J1115.8+0129</v>
          </cell>
          <cell r="C268">
            <v>2.5729999999999999E-2</v>
          </cell>
          <cell r="E268">
            <v>2.6099999999999999E-3</v>
          </cell>
          <cell r="F268">
            <v>8.5299999999999993E-9</v>
          </cell>
          <cell r="H268">
            <v>9.2500000000000001E-9</v>
          </cell>
          <cell r="M268">
            <v>0.86080000000000001</v>
          </cell>
          <cell r="O268">
            <v>6.2300000000000003E-3</v>
          </cell>
          <cell r="S268">
            <v>543.14903000000004</v>
          </cell>
          <cell r="T268">
            <v>0.69980609906575009</v>
          </cell>
          <cell r="U268">
            <v>7.6299474098380365E-3</v>
          </cell>
        </row>
        <row r="269">
          <cell r="A269" t="str">
            <v>NSCS_J150117+422152</v>
          </cell>
          <cell r="C269">
            <v>6.515E-2</v>
          </cell>
          <cell r="E269">
            <v>6.5030000000000001E-3</v>
          </cell>
          <cell r="F269">
            <v>3.05E-6</v>
          </cell>
          <cell r="H269">
            <v>6.3900000000000004E-7</v>
          </cell>
          <cell r="M269">
            <v>0.90680000000000005</v>
          </cell>
          <cell r="O269">
            <v>3.8870000000000002E-2</v>
          </cell>
          <cell r="S269">
            <v>437.11899</v>
          </cell>
          <cell r="T269" t="str">
            <v>-</v>
          </cell>
          <cell r="U269" t="str">
            <v>-</v>
          </cell>
        </row>
        <row r="270">
          <cell r="A270" t="str">
            <v>ABELL_2409</v>
          </cell>
          <cell r="C270">
            <v>3.6200000000000003E-2</v>
          </cell>
          <cell r="E270">
            <v>1.9400000000000001E-3</v>
          </cell>
          <cell r="F270">
            <v>2.44E-8</v>
          </cell>
          <cell r="H270">
            <v>2.5300000000000002E-8</v>
          </cell>
          <cell r="M270">
            <v>0.92200000000000004</v>
          </cell>
          <cell r="O270">
            <v>1.3990000000000001E-2</v>
          </cell>
          <cell r="S270">
            <v>456.16962000000001</v>
          </cell>
          <cell r="T270">
            <v>0.46676300578034685</v>
          </cell>
          <cell r="U270">
            <v>1.2171049215345063E-2</v>
          </cell>
        </row>
        <row r="271">
          <cell r="A271" t="str">
            <v>ABELL_S0592</v>
          </cell>
          <cell r="C271">
            <v>1.337E-2</v>
          </cell>
          <cell r="E271">
            <v>1.317E-3</v>
          </cell>
          <cell r="F271">
            <v>6E-9</v>
          </cell>
          <cell r="H271">
            <v>8.8400000000000001E-9</v>
          </cell>
          <cell r="M271">
            <v>0.85670000000000002</v>
          </cell>
          <cell r="O271">
            <v>6.6699999999999997E-3</v>
          </cell>
          <cell r="S271">
            <v>539.48419999999999</v>
          </cell>
          <cell r="T271">
            <v>0.58514692183927519</v>
          </cell>
          <cell r="U271">
            <v>8.1067507814818508E-3</v>
          </cell>
        </row>
        <row r="272">
          <cell r="A272" t="str">
            <v>ABELL_2261</v>
          </cell>
          <cell r="C272">
            <v>1.8579999999999999E-2</v>
          </cell>
          <cell r="E272">
            <v>1.137E-3</v>
          </cell>
          <cell r="F272">
            <v>3.4100000000000001E-8</v>
          </cell>
          <cell r="H272">
            <v>1.7E-8</v>
          </cell>
          <cell r="M272">
            <v>0.93630000000000002</v>
          </cell>
          <cell r="O272">
            <v>6.4609999999999997E-3</v>
          </cell>
          <cell r="S272">
            <v>541.274</v>
          </cell>
          <cell r="T272">
            <v>0.62559829817408263</v>
          </cell>
          <cell r="U272">
            <v>6.9521864762325395E-3</v>
          </cell>
        </row>
        <row r="273">
          <cell r="A273" t="str">
            <v>BLOX_J1056.9-0337.3</v>
          </cell>
          <cell r="C273">
            <v>0.2853</v>
          </cell>
          <cell r="E273">
            <v>1.119E-2</v>
          </cell>
          <cell r="F273">
            <v>2.2500000000000001E-6</v>
          </cell>
          <cell r="H273">
            <v>5.9699999999999996E-7</v>
          </cell>
          <cell r="M273">
            <v>0.82179999999999997</v>
          </cell>
          <cell r="O273">
            <v>0.1072</v>
          </cell>
          <cell r="S273">
            <v>359.96478000000002</v>
          </cell>
          <cell r="T273">
            <v>0.31766231107775234</v>
          </cell>
          <cell r="U273">
            <v>1.7332335419365418E-2</v>
          </cell>
        </row>
        <row r="274">
          <cell r="A274" t="str">
            <v>WHL_J125933.4+600409</v>
          </cell>
          <cell r="C274">
            <v>9.6740000000000007E-2</v>
          </cell>
          <cell r="E274">
            <v>8.0789999999999994E-3</v>
          </cell>
          <cell r="F274">
            <v>2.7000000000000001E-7</v>
          </cell>
          <cell r="H274">
            <v>1.6299999999999999E-7</v>
          </cell>
          <cell r="M274">
            <v>0.88690000000000002</v>
          </cell>
          <cell r="O274">
            <v>8.567E-3</v>
          </cell>
          <cell r="S274">
            <v>450.51468999999997</v>
          </cell>
          <cell r="T274">
            <v>0.19986546708147651</v>
          </cell>
          <cell r="U274">
            <v>1.348269084844831E-2</v>
          </cell>
        </row>
        <row r="275">
          <cell r="A275" t="str">
            <v>MACS_J0358.8-2955</v>
          </cell>
          <cell r="C275">
            <v>5.7959999999999998E-2</v>
          </cell>
          <cell r="E275">
            <v>3.614E-3</v>
          </cell>
          <cell r="F275">
            <v>2.3000000000000001E-8</v>
          </cell>
          <cell r="H275">
            <v>1.7999999999999999E-8</v>
          </cell>
          <cell r="M275">
            <v>0.87239999999999995</v>
          </cell>
          <cell r="O275">
            <v>6.6880000000000004E-3</v>
          </cell>
          <cell r="S275">
            <v>480.94400999999999</v>
          </cell>
          <cell r="T275">
            <v>0.50931025439286648</v>
          </cell>
          <cell r="U275">
            <v>9.8212860349693124E-3</v>
          </cell>
        </row>
        <row r="276">
          <cell r="A276" t="str">
            <v>WHL_J022825.9+003202</v>
          </cell>
          <cell r="C276">
            <v>0.1012</v>
          </cell>
          <cell r="E276">
            <v>2.911E-2</v>
          </cell>
          <cell r="F276">
            <v>1.06E-6</v>
          </cell>
          <cell r="H276">
            <v>1.08E-6</v>
          </cell>
          <cell r="M276">
            <v>0.81679999999999997</v>
          </cell>
          <cell r="O276">
            <v>1.8110000000000001E-2</v>
          </cell>
          <cell r="S276">
            <v>528.19518000000005</v>
          </cell>
          <cell r="T276" t="str">
            <v>-</v>
          </cell>
          <cell r="U276" t="str">
            <v>-</v>
          </cell>
        </row>
        <row r="277">
          <cell r="A277" t="str">
            <v>ABELL_0068</v>
          </cell>
          <cell r="C277">
            <v>2.018E-2</v>
          </cell>
          <cell r="E277">
            <v>3.9899999999999996E-3</v>
          </cell>
          <cell r="F277">
            <v>3.5800000000000003E-8</v>
          </cell>
          <cell r="H277">
            <v>5.4599999999999999E-8</v>
          </cell>
          <cell r="M277">
            <v>0.83589999999999998</v>
          </cell>
          <cell r="O277">
            <v>1.1259999999999999E-2</v>
          </cell>
          <cell r="S277">
            <v>547.11275000000001</v>
          </cell>
          <cell r="T277" t="str">
            <v>-</v>
          </cell>
          <cell r="U277" t="str">
            <v>-</v>
          </cell>
        </row>
        <row r="278">
          <cell r="A278" t="str">
            <v>ABELL_4023</v>
          </cell>
          <cell r="C278">
            <v>0.19489999999999999</v>
          </cell>
          <cell r="E278">
            <v>1.188E-2</v>
          </cell>
          <cell r="F278">
            <v>1.86E-7</v>
          </cell>
          <cell r="H278">
            <v>1.35E-7</v>
          </cell>
          <cell r="M278">
            <v>0.80789999999999995</v>
          </cell>
          <cell r="O278">
            <v>0.1164</v>
          </cell>
          <cell r="S278">
            <v>483.86691000000002</v>
          </cell>
          <cell r="T278" t="str">
            <v>-</v>
          </cell>
          <cell r="U278" t="str">
            <v>-</v>
          </cell>
        </row>
        <row r="279">
          <cell r="A279" t="str">
            <v>MCXC_J0520.7-1328</v>
          </cell>
          <cell r="C279">
            <v>2.7480000000000001E-2</v>
          </cell>
          <cell r="E279">
            <v>6.5129999999999997E-3</v>
          </cell>
          <cell r="F279">
            <v>6.9200000000000001E-9</v>
          </cell>
          <cell r="H279">
            <v>2.3199999999999999E-8</v>
          </cell>
          <cell r="M279">
            <v>0.93559999999999999</v>
          </cell>
          <cell r="O279">
            <v>3.056E-2</v>
          </cell>
          <cell r="S279">
            <v>460.68261000000001</v>
          </cell>
          <cell r="T279" t="str">
            <v>-</v>
          </cell>
          <cell r="U279" t="str">
            <v>-</v>
          </cell>
        </row>
        <row r="280">
          <cell r="A280" t="str">
            <v>ABELL_3330</v>
          </cell>
          <cell r="C280">
            <v>4.2979999999999997E-2</v>
          </cell>
          <cell r="E280">
            <v>6.3709999999999999E-3</v>
          </cell>
          <cell r="F280">
            <v>7.0799999999999999E-8</v>
          </cell>
          <cell r="H280">
            <v>8.4699999999999997E-8</v>
          </cell>
          <cell r="M280">
            <v>0.9345</v>
          </cell>
          <cell r="O280">
            <v>9.2329999999999999E-3</v>
          </cell>
          <cell r="S280">
            <v>354.7133</v>
          </cell>
          <cell r="T280" t="str">
            <v>-</v>
          </cell>
          <cell r="U280" t="str">
            <v>-</v>
          </cell>
        </row>
        <row r="281">
          <cell r="A281" t="str">
            <v>400d_J1206-0744</v>
          </cell>
          <cell r="C281">
            <v>1.8079999999999999E-2</v>
          </cell>
          <cell r="E281">
            <v>4.8190000000000004E-3</v>
          </cell>
          <cell r="F281">
            <v>1.5799999999999999E-8</v>
          </cell>
          <cell r="H281">
            <v>7.0599999999999997E-8</v>
          </cell>
          <cell r="M281">
            <v>0.94520000000000004</v>
          </cell>
          <cell r="O281">
            <v>1.452E-2</v>
          </cell>
          <cell r="S281">
            <v>303.60791</v>
          </cell>
          <cell r="T281" t="str">
            <v>-</v>
          </cell>
          <cell r="U281" t="str">
            <v>-</v>
          </cell>
        </row>
        <row r="282">
          <cell r="A282" t="str">
            <v>SC_1329-313</v>
          </cell>
          <cell r="C282">
            <v>4.598E-2</v>
          </cell>
          <cell r="E282">
            <v>7.9410000000000001E-3</v>
          </cell>
          <cell r="F282">
            <v>2.1799999999999999E-7</v>
          </cell>
          <cell r="H282">
            <v>7.4600000000000006E-8</v>
          </cell>
          <cell r="M282">
            <v>0.91149999999999998</v>
          </cell>
          <cell r="O282">
            <v>4.0399999999999998E-2</v>
          </cell>
          <cell r="S282">
            <v>373.14940000000001</v>
          </cell>
          <cell r="T282">
            <v>0.34209268991877689</v>
          </cell>
          <cell r="U282">
            <v>1.9959373388011861E-2</v>
          </cell>
        </row>
        <row r="283">
          <cell r="A283" t="str">
            <v>ABELL_3911</v>
          </cell>
          <cell r="C283">
            <v>1.6039999999999999E-2</v>
          </cell>
          <cell r="E283">
            <v>1.2160000000000001E-2</v>
          </cell>
          <cell r="F283">
            <v>7.8300000000000006E-8</v>
          </cell>
          <cell r="H283">
            <v>6.1599999999999996E-8</v>
          </cell>
          <cell r="M283">
            <v>0.80369999999999997</v>
          </cell>
          <cell r="O283">
            <v>6.8120000000000003E-3</v>
          </cell>
          <cell r="S283">
            <v>499.55302</v>
          </cell>
          <cell r="T283">
            <v>0.28911715221818829</v>
          </cell>
          <cell r="U283">
            <v>9.1162263198639303E-3</v>
          </cell>
        </row>
        <row r="284">
          <cell r="A284" t="str">
            <v>MCXC_J0819.6+6336</v>
          </cell>
          <cell r="C284">
            <v>3.3840000000000002E-2</v>
          </cell>
          <cell r="E284">
            <v>6.117E-3</v>
          </cell>
          <cell r="F284">
            <v>2.59E-8</v>
          </cell>
          <cell r="H284">
            <v>3.8799999999999997E-8</v>
          </cell>
          <cell r="M284">
            <v>0.97960000000000003</v>
          </cell>
          <cell r="O284">
            <v>1.8350000000000002E-2</v>
          </cell>
          <cell r="S284">
            <v>345.15390000000002</v>
          </cell>
          <cell r="T284">
            <v>0.51255107997664917</v>
          </cell>
          <cell r="U284">
            <v>2.1138434703194386E-2</v>
          </cell>
        </row>
        <row r="285">
          <cell r="A285" t="str">
            <v>MCXC_J2031.8-4037</v>
          </cell>
          <cell r="C285">
            <v>5.8479999999999997E-2</v>
          </cell>
          <cell r="E285">
            <v>7.6519999999999999E-3</v>
          </cell>
          <cell r="F285">
            <v>6.2399999999999998E-7</v>
          </cell>
          <cell r="H285">
            <v>2.4600000000000001E-7</v>
          </cell>
          <cell r="M285">
            <v>0.9345</v>
          </cell>
          <cell r="O285">
            <v>3.3419999999999998E-2</v>
          </cell>
          <cell r="S285">
            <v>443.07632000000001</v>
          </cell>
          <cell r="T285" t="str">
            <v>-</v>
          </cell>
          <cell r="U285" t="str">
            <v>-</v>
          </cell>
        </row>
        <row r="286">
          <cell r="A286" t="str">
            <v>400d_J0245+0936</v>
          </cell>
          <cell r="C286">
            <v>2.981E-2</v>
          </cell>
          <cell r="E286">
            <v>8.9200000000000008E-3</v>
          </cell>
          <cell r="F286">
            <v>1.5900000000000001E-7</v>
          </cell>
          <cell r="H286">
            <v>2.6399999999999998E-7</v>
          </cell>
          <cell r="M286">
            <v>0.95960000000000001</v>
          </cell>
          <cell r="O286">
            <v>3.3340000000000002E-2</v>
          </cell>
          <cell r="S286">
            <v>349.55385000000001</v>
          </cell>
          <cell r="T286" t="str">
            <v>-</v>
          </cell>
          <cell r="U286" t="str">
            <v>-</v>
          </cell>
        </row>
        <row r="287">
          <cell r="A287" t="str">
            <v>NSCS_J121831+401236</v>
          </cell>
          <cell r="C287">
            <v>5.876E-2</v>
          </cell>
          <cell r="E287">
            <v>6.4479999999999997E-3</v>
          </cell>
          <cell r="F287">
            <v>8.3799999999999996E-8</v>
          </cell>
          <cell r="H287">
            <v>9.2900000000000005E-8</v>
          </cell>
          <cell r="M287">
            <v>0.91859999999999997</v>
          </cell>
          <cell r="O287">
            <v>1.389E-2</v>
          </cell>
          <cell r="S287">
            <v>427.34158000000002</v>
          </cell>
          <cell r="T287" t="str">
            <v>-</v>
          </cell>
          <cell r="U287" t="str">
            <v>-</v>
          </cell>
        </row>
        <row r="288">
          <cell r="A288" t="str">
            <v>ABELL_1446</v>
          </cell>
          <cell r="C288">
            <v>4.1579999999999999E-2</v>
          </cell>
          <cell r="E288">
            <v>5.8459999999999996E-3</v>
          </cell>
          <cell r="F288">
            <v>1.5599999999999999E-7</v>
          </cell>
          <cell r="H288">
            <v>3.8600000000000002E-8</v>
          </cell>
          <cell r="M288">
            <v>0.97660000000000002</v>
          </cell>
          <cell r="O288">
            <v>4.7210000000000004E-3</v>
          </cell>
          <cell r="S288">
            <v>353.09857</v>
          </cell>
          <cell r="T288">
            <v>0.35450043693562483</v>
          </cell>
          <cell r="U288">
            <v>9.4142105705136165E-3</v>
          </cell>
        </row>
        <row r="289">
          <cell r="A289" t="str">
            <v>ZwCl_0735.7+7421</v>
          </cell>
          <cell r="C289">
            <v>4.6710000000000002E-2</v>
          </cell>
          <cell r="E289">
            <v>2.8809999999999999E-3</v>
          </cell>
          <cell r="F289">
            <v>8.0299999999999998E-9</v>
          </cell>
          <cell r="H289">
            <v>4.1299999999999996E-9</v>
          </cell>
          <cell r="M289">
            <v>0.85929999999999995</v>
          </cell>
          <cell r="O289">
            <v>2.0929999999999998E-3</v>
          </cell>
          <cell r="S289">
            <v>471.12319000000002</v>
          </cell>
          <cell r="T289">
            <v>0.57155217165599592</v>
          </cell>
          <cell r="U289">
            <v>3.2196171806557596E-3</v>
          </cell>
        </row>
        <row r="290">
          <cell r="A290" t="str">
            <v>MCXC_J1010.5-1239</v>
          </cell>
          <cell r="C290">
            <v>9.4909999999999994E-2</v>
          </cell>
          <cell r="E290">
            <v>4.0039999999999997E-3</v>
          </cell>
          <cell r="F290">
            <v>5.5299999999999999E-8</v>
          </cell>
          <cell r="H290">
            <v>4.8699999999999999E-8</v>
          </cell>
          <cell r="M290">
            <v>0.91290000000000004</v>
          </cell>
          <cell r="O290">
            <v>1.4290000000000001E-2</v>
          </cell>
          <cell r="S290">
            <v>451.26177000000001</v>
          </cell>
          <cell r="T290">
            <v>0.42377176106236214</v>
          </cell>
          <cell r="U290">
            <v>9.1852561801879055E-3</v>
          </cell>
        </row>
        <row r="291">
          <cell r="A291" t="str">
            <v>MCXC_J0301.6+0155</v>
          </cell>
          <cell r="C291">
            <v>2.649E-2</v>
          </cell>
          <cell r="E291">
            <v>3.372E-3</v>
          </cell>
          <cell r="F291">
            <v>1.2700000000000001E-7</v>
          </cell>
          <cell r="H291">
            <v>4.7799999999999998E-8</v>
          </cell>
          <cell r="M291">
            <v>0.96079999999999999</v>
          </cell>
          <cell r="O291">
            <v>2.75E-2</v>
          </cell>
          <cell r="S291">
            <v>377.84195999999997</v>
          </cell>
          <cell r="T291">
            <v>0.68793840889649271</v>
          </cell>
          <cell r="U291">
            <v>1.3282036042199734E-2</v>
          </cell>
        </row>
        <row r="292">
          <cell r="A292" t="str">
            <v>MACS_J1824.3+4309</v>
          </cell>
          <cell r="C292">
            <v>4.8320000000000002E-2</v>
          </cell>
          <cell r="E292">
            <v>1.0019999999999999E-2</v>
          </cell>
          <cell r="F292">
            <v>1.3799999999999999E-6</v>
          </cell>
          <cell r="H292">
            <v>1.04E-6</v>
          </cell>
          <cell r="M292">
            <v>0.96889999999999998</v>
          </cell>
          <cell r="O292">
            <v>3.6409999999999998E-2</v>
          </cell>
          <cell r="S292">
            <v>430.28980000000001</v>
          </cell>
          <cell r="T292" t="str">
            <v>-</v>
          </cell>
          <cell r="U292" t="str">
            <v>-</v>
          </cell>
        </row>
        <row r="293">
          <cell r="A293" t="str">
            <v>ABELL_1033</v>
          </cell>
          <cell r="C293">
            <v>4.199E-2</v>
          </cell>
          <cell r="E293">
            <v>1.341E-3</v>
          </cell>
          <cell r="F293">
            <v>1.43E-7</v>
          </cell>
          <cell r="H293">
            <v>2.9700000000000001E-8</v>
          </cell>
          <cell r="M293">
            <v>0.92849999999999999</v>
          </cell>
          <cell r="O293">
            <v>4.104E-3</v>
          </cell>
          <cell r="S293">
            <v>454.09719999999999</v>
          </cell>
          <cell r="T293">
            <v>0.57536190746522853</v>
          </cell>
          <cell r="U293">
            <v>6.3224315245497742E-3</v>
          </cell>
        </row>
        <row r="294">
          <cell r="A294" t="str">
            <v>MKW_03s</v>
          </cell>
          <cell r="C294">
            <v>8.3540000000000003E-3</v>
          </cell>
          <cell r="E294">
            <v>2.5470000000000001E-4</v>
          </cell>
          <cell r="F294">
            <v>1.3799999999999999E-7</v>
          </cell>
          <cell r="H294">
            <v>7.0699999999999998E-9</v>
          </cell>
          <cell r="M294">
            <v>0.86970000000000003</v>
          </cell>
          <cell r="O294">
            <v>2.215E-3</v>
          </cell>
          <cell r="S294">
            <v>368.73700000000002</v>
          </cell>
          <cell r="T294">
            <v>0.70338527673293927</v>
          </cell>
          <cell r="U294">
            <v>2.903653292710921E-3</v>
          </cell>
        </row>
        <row r="295">
          <cell r="A295" t="str">
            <v>ABELL_3404</v>
          </cell>
          <cell r="C295">
            <v>3.526E-2</v>
          </cell>
          <cell r="E295">
            <v>2.0400000000000001E-3</v>
          </cell>
          <cell r="F295">
            <v>1.7800000000000001E-7</v>
          </cell>
          <cell r="H295">
            <v>5.4100000000000001E-8</v>
          </cell>
          <cell r="M295">
            <v>0.85250000000000004</v>
          </cell>
          <cell r="O295">
            <v>8.4180000000000001E-3</v>
          </cell>
          <cell r="S295">
            <v>580.81795999999997</v>
          </cell>
          <cell r="T295">
            <v>0.5269685790611881</v>
          </cell>
          <cell r="U295">
            <v>9.5466482615942979E-3</v>
          </cell>
        </row>
        <row r="296">
          <cell r="A296" t="str">
            <v>ABELL_3854</v>
          </cell>
          <cell r="C296">
            <v>9.8410000000000008E-3</v>
          </cell>
          <cell r="E296">
            <v>1.5969999999999999E-3</v>
          </cell>
          <cell r="F296">
            <v>4.5200000000000001E-9</v>
          </cell>
          <cell r="H296">
            <v>1.9300000000000001E-8</v>
          </cell>
          <cell r="M296">
            <v>0.98199999999999998</v>
          </cell>
          <cell r="O296">
            <v>1.4120000000000001E-2</v>
          </cell>
          <cell r="S296">
            <v>438.43331000000001</v>
          </cell>
          <cell r="T296">
            <v>0.51427730350309087</v>
          </cell>
          <cell r="U296">
            <v>1.3749205964179684E-2</v>
          </cell>
        </row>
        <row r="297">
          <cell r="A297" t="str">
            <v>MACS_J0429.6-0253</v>
          </cell>
          <cell r="C297">
            <v>5.4620000000000002E-2</v>
          </cell>
          <cell r="E297">
            <v>4.5840000000000004E-3</v>
          </cell>
          <cell r="F297">
            <v>7.5699999999999996E-8</v>
          </cell>
          <cell r="H297">
            <v>7.6199999999999994E-8</v>
          </cell>
          <cell r="M297">
            <v>0.89639999999999997</v>
          </cell>
          <cell r="O297">
            <v>1.4189999999999999E-2</v>
          </cell>
          <cell r="S297">
            <v>438.27721000000003</v>
          </cell>
          <cell r="T297">
            <v>0.7116336633663366</v>
          </cell>
          <cell r="U297">
            <v>1.1558451742923631E-2</v>
          </cell>
        </row>
        <row r="298">
          <cell r="A298" t="str">
            <v>MCXC_J1130.0+3637</v>
          </cell>
          <cell r="C298">
            <v>2.5780000000000001E-2</v>
          </cell>
          <cell r="E298">
            <v>1.91E-3</v>
          </cell>
          <cell r="F298">
            <v>8.9800000000000002E-7</v>
          </cell>
          <cell r="H298">
            <v>1.18E-7</v>
          </cell>
          <cell r="M298">
            <v>0.8569</v>
          </cell>
          <cell r="O298">
            <v>5.5570000000000003E-3</v>
          </cell>
          <cell r="S298">
            <v>266.74234000000001</v>
          </cell>
          <cell r="T298">
            <v>0.50832359813084105</v>
          </cell>
          <cell r="U298">
            <v>2.8230670799295129E-2</v>
          </cell>
        </row>
        <row r="299">
          <cell r="A299" t="str">
            <v>ABELL_1240</v>
          </cell>
          <cell r="C299">
            <v>8.4659999999999999E-2</v>
          </cell>
          <cell r="E299">
            <v>1.538E-2</v>
          </cell>
          <cell r="F299">
            <v>6.6100000000000003E-8</v>
          </cell>
          <cell r="H299">
            <v>1.91E-7</v>
          </cell>
          <cell r="M299">
            <v>0.90290000000000004</v>
          </cell>
          <cell r="O299">
            <v>9.5189999999999997E-3</v>
          </cell>
          <cell r="S299">
            <v>392.0147</v>
          </cell>
          <cell r="T299" t="str">
            <v>-</v>
          </cell>
          <cell r="U299" t="str">
            <v>-</v>
          </cell>
        </row>
        <row r="300">
          <cell r="A300" t="str">
            <v>MCXC_J2344.2-0422</v>
          </cell>
          <cell r="C300">
            <v>3.977E-2</v>
          </cell>
          <cell r="E300">
            <v>2.493E-3</v>
          </cell>
          <cell r="F300">
            <v>5.3799999999999999E-8</v>
          </cell>
          <cell r="H300">
            <v>3.4100000000000001E-8</v>
          </cell>
          <cell r="M300">
            <v>0.92179999999999995</v>
          </cell>
          <cell r="O300">
            <v>7.2649999999999998E-3</v>
          </cell>
          <cell r="S300">
            <v>408.84352000000001</v>
          </cell>
          <cell r="T300">
            <v>0.34586168697578729</v>
          </cell>
          <cell r="U300">
            <v>1.2207858550579037E-2</v>
          </cell>
        </row>
        <row r="301">
          <cell r="A301" t="str">
            <v>WHL_J142716.1+440730</v>
          </cell>
          <cell r="C301">
            <v>6.8589999999999998E-2</v>
          </cell>
          <cell r="E301">
            <v>3.63E-3</v>
          </cell>
          <cell r="F301">
            <v>1.4999999999999999E-7</v>
          </cell>
          <cell r="H301">
            <v>1.04E-7</v>
          </cell>
          <cell r="M301">
            <v>0.90059999999999996</v>
          </cell>
          <cell r="O301">
            <v>1.098E-2</v>
          </cell>
          <cell r="S301">
            <v>510.36099999999999</v>
          </cell>
          <cell r="T301">
            <v>0.65577755092119971</v>
          </cell>
          <cell r="U301">
            <v>1.425799515753746E-2</v>
          </cell>
        </row>
        <row r="302">
          <cell r="A302" t="str">
            <v>MACS_J1006.9+3200</v>
          </cell>
          <cell r="C302">
            <v>7.5630000000000003E-2</v>
          </cell>
          <cell r="E302">
            <v>8.2059999999999998E-3</v>
          </cell>
          <cell r="F302">
            <v>4.4900000000000001E-7</v>
          </cell>
          <cell r="H302">
            <v>3.2599999999999998E-7</v>
          </cell>
          <cell r="M302">
            <v>0.80300000000000005</v>
          </cell>
          <cell r="O302">
            <v>6.0240000000000002E-2</v>
          </cell>
          <cell r="S302">
            <v>559.72861999999998</v>
          </cell>
          <cell r="T302" t="str">
            <v>-</v>
          </cell>
          <cell r="U302" t="str">
            <v>-</v>
          </cell>
        </row>
        <row r="303">
          <cell r="A303" t="str">
            <v>ABELL_2034</v>
          </cell>
          <cell r="C303">
            <v>2.0789999999999999E-2</v>
          </cell>
          <cell r="E303">
            <v>5.0359999999999997E-3</v>
          </cell>
          <cell r="F303">
            <v>1.46E-8</v>
          </cell>
          <cell r="H303">
            <v>3.0399999999999998E-9</v>
          </cell>
          <cell r="M303">
            <v>0.94140000000000001</v>
          </cell>
          <cell r="O303">
            <v>1.5020000000000001E-3</v>
          </cell>
          <cell r="S303">
            <v>532.67026999999996</v>
          </cell>
          <cell r="T303">
            <v>0.39558914250462679</v>
          </cell>
          <cell r="U303">
            <v>3.7531528548768352E-3</v>
          </cell>
        </row>
        <row r="304">
          <cell r="A304" t="str">
            <v>MACS_J0329.6-0211</v>
          </cell>
          <cell r="C304">
            <v>6.7839999999999998E-2</v>
          </cell>
          <cell r="E304">
            <v>1.418E-2</v>
          </cell>
          <cell r="F304">
            <v>3.2800000000000003E-8</v>
          </cell>
          <cell r="H304">
            <v>3.0099999999999998E-8</v>
          </cell>
          <cell r="M304">
            <v>0.94679999999999997</v>
          </cell>
          <cell r="O304">
            <v>9.0629999999999999E-3</v>
          </cell>
          <cell r="S304">
            <v>437.83800000000002</v>
          </cell>
          <cell r="T304">
            <v>0.66208812408364848</v>
          </cell>
          <cell r="U304">
            <v>7.0397606622229969E-3</v>
          </cell>
        </row>
        <row r="305">
          <cell r="A305" t="str">
            <v>MCXC_J1514.9-1523</v>
          </cell>
          <cell r="C305">
            <v>0.1479</v>
          </cell>
          <cell r="E305">
            <v>1.128E-2</v>
          </cell>
          <cell r="F305">
            <v>2.28E-7</v>
          </cell>
          <cell r="H305">
            <v>6.8999999999999996E-8</v>
          </cell>
          <cell r="M305">
            <v>0.84440000000000004</v>
          </cell>
          <cell r="O305">
            <v>4.3090000000000003E-3</v>
          </cell>
          <cell r="S305">
            <v>553.04614000000004</v>
          </cell>
          <cell r="T305">
            <v>0.24039117580168298</v>
          </cell>
          <cell r="U305">
            <v>7.1089718501650516E-3</v>
          </cell>
        </row>
        <row r="306">
          <cell r="A306" t="str">
            <v>WHL_J134850.2+491801</v>
          </cell>
          <cell r="C306">
            <v>3.7289999999999997E-2</v>
          </cell>
          <cell r="E306">
            <v>8.0879999999999997E-3</v>
          </cell>
          <cell r="F306">
            <v>2.1500000000000001E-7</v>
          </cell>
          <cell r="H306">
            <v>1.9299999999999999E-7</v>
          </cell>
          <cell r="M306">
            <v>0.94679999999999997</v>
          </cell>
          <cell r="O306">
            <v>4.3630000000000002E-2</v>
          </cell>
          <cell r="S306">
            <v>382.58436999999998</v>
          </cell>
          <cell r="T306" t="str">
            <v>-</v>
          </cell>
          <cell r="U306" t="str">
            <v>-</v>
          </cell>
        </row>
        <row r="307">
          <cell r="A307" t="str">
            <v>MACS_J0416.1-2403</v>
          </cell>
          <cell r="C307">
            <v>8.0740000000000006E-2</v>
          </cell>
          <cell r="E307">
            <v>6.6670000000000002E-3</v>
          </cell>
          <cell r="F307">
            <v>2.0599999999999999E-7</v>
          </cell>
          <cell r="H307">
            <v>1.02E-7</v>
          </cell>
          <cell r="M307">
            <v>0.75270000000000004</v>
          </cell>
          <cell r="O307">
            <v>7.0070000000000002E-3</v>
          </cell>
          <cell r="S307">
            <v>490.3963</v>
          </cell>
          <cell r="T307">
            <v>0.34362747470835958</v>
          </cell>
          <cell r="U307">
            <v>1.4042300835307374E-2</v>
          </cell>
        </row>
        <row r="308">
          <cell r="A308" t="str">
            <v>ABELL_1651</v>
          </cell>
          <cell r="C308">
            <v>1.5910000000000001E-2</v>
          </cell>
          <cell r="E308">
            <v>1.1249999999999999E-3</v>
          </cell>
          <cell r="F308">
            <v>5.0099999999999999E-9</v>
          </cell>
          <cell r="H308">
            <v>6.7700000000000004E-9</v>
          </cell>
          <cell r="M308">
            <v>0.92349999999999999</v>
          </cell>
          <cell r="O308">
            <v>6.1739999999999998E-3</v>
          </cell>
          <cell r="S308">
            <v>511.37756000000002</v>
          </cell>
          <cell r="T308">
            <v>0.53428863868986698</v>
          </cell>
          <cell r="U308">
            <v>7.6509611970369956E-3</v>
          </cell>
        </row>
        <row r="309">
          <cell r="A309" t="str">
            <v>ABELL_3112</v>
          </cell>
          <cell r="C309">
            <v>5.6619999999999997E-2</v>
          </cell>
          <cell r="E309">
            <v>2.108E-4</v>
          </cell>
          <cell r="F309">
            <v>7.6899999999999994E-8</v>
          </cell>
          <cell r="H309">
            <v>5.3599999999999997E-9</v>
          </cell>
          <cell r="M309">
            <v>0.7339</v>
          </cell>
          <cell r="O309">
            <v>2.4580000000000001E-3</v>
          </cell>
          <cell r="S309">
            <v>471.01889</v>
          </cell>
          <cell r="T309">
            <v>0.76200021670820228</v>
          </cell>
          <cell r="U309">
            <v>2.520582032507746E-3</v>
          </cell>
        </row>
        <row r="310">
          <cell r="A310" t="str">
            <v>RCS_J2319.8+0038</v>
          </cell>
          <cell r="C310">
            <v>6.1120000000000001E-2</v>
          </cell>
          <cell r="E310">
            <v>1.235E-2</v>
          </cell>
          <cell r="F310">
            <v>1.1899999999999999E-7</v>
          </cell>
          <cell r="H310">
            <v>3.6600000000000002E-7</v>
          </cell>
          <cell r="M310">
            <v>0.90080000000000005</v>
          </cell>
          <cell r="O310">
            <v>3.6420000000000001E-2</v>
          </cell>
          <cell r="S310">
            <v>269.44398000000001</v>
          </cell>
          <cell r="T310" t="str">
            <v>-</v>
          </cell>
          <cell r="U310" t="str">
            <v>-</v>
          </cell>
        </row>
        <row r="311">
          <cell r="A311" t="str">
            <v>SDSS_J015021.27-100530.5_GROUP</v>
          </cell>
          <cell r="C311">
            <v>5.5280000000000003E-2</v>
          </cell>
          <cell r="E311">
            <v>6.5339999999999999E-3</v>
          </cell>
          <cell r="F311">
            <v>4.4500000000000001E-8</v>
          </cell>
          <cell r="H311">
            <v>6.4799999999999998E-8</v>
          </cell>
          <cell r="M311">
            <v>0.90100000000000002</v>
          </cell>
          <cell r="O311">
            <v>1.5129999999999999E-2</v>
          </cell>
          <cell r="S311">
            <v>350.06020999999998</v>
          </cell>
          <cell r="T311">
            <v>0.65591514233142112</v>
          </cell>
          <cell r="U311">
            <v>2.0765679408236416E-2</v>
          </cell>
        </row>
        <row r="312">
          <cell r="A312" t="str">
            <v>ABELL_1930</v>
          </cell>
          <cell r="C312">
            <v>1.567E-2</v>
          </cell>
          <cell r="E312">
            <v>2.689E-3</v>
          </cell>
          <cell r="F312">
            <v>4.1999999999999999E-8</v>
          </cell>
          <cell r="H312">
            <v>2.59E-8</v>
          </cell>
          <cell r="M312">
            <v>0.93469999999999998</v>
          </cell>
          <cell r="O312">
            <v>3.7170000000000002E-2</v>
          </cell>
          <cell r="S312">
            <v>404.92680999999999</v>
          </cell>
          <cell r="T312">
            <v>0.59196861297022851</v>
          </cell>
          <cell r="U312">
            <v>1.2746138072641133E-2</v>
          </cell>
        </row>
        <row r="313">
          <cell r="A313" t="str">
            <v>NSC_J092017+303027</v>
          </cell>
          <cell r="C313">
            <v>0.19950000000000001</v>
          </cell>
          <cell r="E313">
            <v>1.1860000000000001E-2</v>
          </cell>
          <cell r="F313">
            <v>6.8800000000000002E-7</v>
          </cell>
          <cell r="H313">
            <v>2.2399999999999999E-7</v>
          </cell>
          <cell r="M313">
            <v>0.93</v>
          </cell>
          <cell r="O313">
            <v>1.0160000000000001E-2</v>
          </cell>
          <cell r="S313">
            <v>449.12150000000003</v>
          </cell>
          <cell r="T313">
            <v>0.30665321450591332</v>
          </cell>
          <cell r="U313">
            <v>1.3157883607324256E-2</v>
          </cell>
        </row>
        <row r="314">
          <cell r="A314" t="str">
            <v>MACS_J0011.7-1523</v>
          </cell>
          <cell r="C314">
            <v>5.9540000000000003E-2</v>
          </cell>
          <cell r="E314">
            <v>1.213E-2</v>
          </cell>
          <cell r="F314">
            <v>3.7800000000000001E-8</v>
          </cell>
          <cell r="H314">
            <v>3.32E-8</v>
          </cell>
          <cell r="M314">
            <v>0.88170000000000004</v>
          </cell>
          <cell r="O314">
            <v>7.7380000000000001E-3</v>
          </cell>
          <cell r="S314">
            <v>406.72723000000002</v>
          </cell>
          <cell r="T314">
            <v>0.57946498819826908</v>
          </cell>
          <cell r="U314">
            <v>1.0733212052991917E-2</v>
          </cell>
        </row>
        <row r="315">
          <cell r="A315" t="str">
            <v>ABELL_2645</v>
          </cell>
          <cell r="C315">
            <v>3.465E-2</v>
          </cell>
          <cell r="E315">
            <v>7.0759999999999998E-3</v>
          </cell>
          <cell r="F315">
            <v>1.3899999999999999E-7</v>
          </cell>
          <cell r="H315">
            <v>1.1899999999999999E-7</v>
          </cell>
          <cell r="M315">
            <v>0.86550000000000005</v>
          </cell>
          <cell r="O315">
            <v>1.243E-2</v>
          </cell>
          <cell r="S315">
            <v>459.48764</v>
          </cell>
          <cell r="T315" t="str">
            <v>-</v>
          </cell>
          <cell r="U315" t="str">
            <v>-</v>
          </cell>
        </row>
        <row r="316">
          <cell r="A316" t="str">
            <v>RCS_J2318.5+0034</v>
          </cell>
          <cell r="C316">
            <v>3.9390000000000001E-2</v>
          </cell>
          <cell r="E316">
            <v>9.0799999999999995E-3</v>
          </cell>
          <cell r="F316">
            <v>1.2E-8</v>
          </cell>
          <cell r="H316">
            <v>8.0999999999999997E-8</v>
          </cell>
          <cell r="M316">
            <v>0.95979999999999999</v>
          </cell>
          <cell r="O316">
            <v>1.235E-2</v>
          </cell>
          <cell r="S316">
            <v>317.21791000000002</v>
          </cell>
          <cell r="T316" t="str">
            <v>-</v>
          </cell>
          <cell r="U316" t="str">
            <v>-</v>
          </cell>
        </row>
        <row r="317">
          <cell r="A317" t="str">
            <v>GMBCG_J215.94948+24.07846</v>
          </cell>
          <cell r="C317">
            <v>8.2540000000000002E-2</v>
          </cell>
          <cell r="E317">
            <v>6.2509999999999996E-3</v>
          </cell>
          <cell r="F317">
            <v>2.7400000000000001E-8</v>
          </cell>
          <cell r="H317">
            <v>2.2399999999999999E-8</v>
          </cell>
          <cell r="M317">
            <v>0.91459999999999997</v>
          </cell>
          <cell r="O317">
            <v>6.8349999999999999E-3</v>
          </cell>
          <cell r="S317">
            <v>412.30993999999998</v>
          </cell>
          <cell r="T317">
            <v>0.73946594126464216</v>
          </cell>
          <cell r="U317">
            <v>6.1219604966096016E-3</v>
          </cell>
        </row>
        <row r="318">
          <cell r="A318" t="str">
            <v>ABELL_1750C</v>
          </cell>
          <cell r="C318">
            <v>2.017E-2</v>
          </cell>
          <cell r="E318">
            <v>1.9740000000000001E-3</v>
          </cell>
          <cell r="F318">
            <v>1.8199999999999999E-7</v>
          </cell>
          <cell r="H318">
            <v>6.9100000000000003E-8</v>
          </cell>
          <cell r="M318">
            <v>0.95789999999999997</v>
          </cell>
          <cell r="O318">
            <v>7.1019999999999998E-3</v>
          </cell>
          <cell r="S318">
            <v>410.67212999999998</v>
          </cell>
          <cell r="T318">
            <v>0.49854539886694227</v>
          </cell>
          <cell r="U318">
            <v>1.1917484360793729E-2</v>
          </cell>
        </row>
        <row r="319">
          <cell r="A319" t="str">
            <v>MACS_J1149.6+2223</v>
          </cell>
          <cell r="C319">
            <v>3.4040000000000001E-2</v>
          </cell>
          <cell r="E319">
            <v>7.1149999999999998E-3</v>
          </cell>
          <cell r="F319">
            <v>2.8500000000000002E-7</v>
          </cell>
          <cell r="H319">
            <v>1.31E-7</v>
          </cell>
          <cell r="M319">
            <v>0.80900000000000005</v>
          </cell>
          <cell r="O319">
            <v>9.1610000000000007E-3</v>
          </cell>
          <cell r="S319">
            <v>446.07765999999998</v>
          </cell>
          <cell r="T319">
            <v>0.29694061187762449</v>
          </cell>
          <cell r="U319">
            <v>1.4239946104857393E-2</v>
          </cell>
        </row>
        <row r="320">
          <cell r="A320" t="str">
            <v>SPT-CL_J0555-6405</v>
          </cell>
          <cell r="C320">
            <v>3.882E-2</v>
          </cell>
          <cell r="E320">
            <v>7.3090000000000004E-3</v>
          </cell>
          <cell r="F320">
            <v>7.4200000000000003E-8</v>
          </cell>
          <cell r="H320">
            <v>1.8699999999999999E-7</v>
          </cell>
          <cell r="M320">
            <v>0.87209999999999999</v>
          </cell>
          <cell r="O320">
            <v>2.4910000000000002E-2</v>
          </cell>
          <cell r="S320">
            <v>456.33274</v>
          </cell>
          <cell r="T320" t="str">
            <v>-</v>
          </cell>
          <cell r="U320" t="str">
            <v>-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Names</v>
          </cell>
          <cell r="B1" t="str">
            <v>Redshift</v>
          </cell>
          <cell r="D1" t="str">
            <v>RAdeg</v>
          </cell>
          <cell r="E1" t="str">
            <v>DEdeg</v>
          </cell>
        </row>
        <row r="2">
          <cell r="B2" t="str">
            <v xml:space="preserve"> </v>
          </cell>
          <cell r="D2" t="str">
            <v xml:space="preserve">deg </v>
          </cell>
          <cell r="E2" t="str">
            <v>deg</v>
          </cell>
        </row>
        <row r="3">
          <cell r="A3" t="str">
            <v>ACCEPT2.0 Name</v>
          </cell>
          <cell r="B3" t="str">
            <v>NED Redshift</v>
          </cell>
          <cell r="D3" t="str">
            <v>ACCEPT2.0 Center RA J2000</v>
          </cell>
          <cell r="E3" t="str">
            <v>ACCEPT2.0 Center RA J2000</v>
          </cell>
        </row>
        <row r="4">
          <cell r="A4" t="str">
            <v>ABELL_2717</v>
          </cell>
          <cell r="B4">
            <v>4.9000000000000002E-2</v>
          </cell>
          <cell r="D4">
            <v>0.80400000000000005</v>
          </cell>
          <cell r="E4">
            <v>-35.933399999999999</v>
          </cell>
        </row>
        <row r="5">
          <cell r="A5" t="str">
            <v>NSCS_J000619+105206</v>
          </cell>
          <cell r="B5">
            <v>0.16700000000000001</v>
          </cell>
          <cell r="D5">
            <v>1.5845</v>
          </cell>
          <cell r="E5">
            <v>10.8643</v>
          </cell>
        </row>
        <row r="6">
          <cell r="A6" t="str">
            <v>ZwCl_0008.8+5215</v>
          </cell>
          <cell r="B6">
            <v>0.104</v>
          </cell>
          <cell r="D6">
            <v>2.8647</v>
          </cell>
          <cell r="E6">
            <v>52.526499999999999</v>
          </cell>
        </row>
        <row r="7">
          <cell r="A7" t="str">
            <v>MACS_J0011.7-1523</v>
          </cell>
          <cell r="B7">
            <v>0.378</v>
          </cell>
          <cell r="D7">
            <v>2.9285999999999999</v>
          </cell>
          <cell r="E7">
            <v>-15.389200000000001</v>
          </cell>
        </row>
        <row r="8">
          <cell r="A8" t="str">
            <v>ABELL_0013</v>
          </cell>
          <cell r="B8">
            <v>9.4E-2</v>
          </cell>
          <cell r="D8">
            <v>3.4098000000000002</v>
          </cell>
          <cell r="E8">
            <v>-19.500499999999999</v>
          </cell>
        </row>
        <row r="9">
          <cell r="A9" t="str">
            <v>ABELL_2744</v>
          </cell>
          <cell r="B9">
            <v>0.308</v>
          </cell>
          <cell r="D9">
            <v>3.5807000000000002</v>
          </cell>
          <cell r="E9">
            <v>-30.390899999999998</v>
          </cell>
        </row>
        <row r="10">
          <cell r="A10" t="str">
            <v>SPT-CLJ0014-4952</v>
          </cell>
          <cell r="B10">
            <v>0.752</v>
          </cell>
          <cell r="D10">
            <v>3.7037</v>
          </cell>
          <cell r="E10">
            <v>-49.883800000000001</v>
          </cell>
        </row>
        <row r="11">
          <cell r="A11" t="str">
            <v>Cl_0016+16</v>
          </cell>
          <cell r="B11">
            <v>0.54100000000000004</v>
          </cell>
          <cell r="D11">
            <v>4.6402000000000001</v>
          </cell>
          <cell r="E11">
            <v>16.4359</v>
          </cell>
        </row>
        <row r="12">
          <cell r="A12" t="str">
            <v>MACS_J0025.4-1222</v>
          </cell>
          <cell r="B12">
            <v>0.58399999999999996</v>
          </cell>
          <cell r="D12">
            <v>6.3737000000000004</v>
          </cell>
          <cell r="E12">
            <v>-12.376099999999999</v>
          </cell>
        </row>
        <row r="13">
          <cell r="A13" t="str">
            <v>ZwCl_0024.0+1652</v>
          </cell>
          <cell r="B13">
            <v>0.39</v>
          </cell>
          <cell r="D13">
            <v>6.6498999999999997</v>
          </cell>
          <cell r="E13">
            <v>17.162600000000001</v>
          </cell>
        </row>
        <row r="14">
          <cell r="A14" t="str">
            <v>MCXC_J0027.8+2616</v>
          </cell>
          <cell r="B14">
            <v>0.36699999999999999</v>
          </cell>
          <cell r="D14">
            <v>6.9382999999999999</v>
          </cell>
          <cell r="E14">
            <v>26.275600000000001</v>
          </cell>
        </row>
        <row r="15">
          <cell r="A15" t="str">
            <v>PLCKESZ_G304.84-41.42</v>
          </cell>
          <cell r="B15">
            <v>0.41</v>
          </cell>
          <cell r="D15">
            <v>7.0259999999999998</v>
          </cell>
          <cell r="E15">
            <v>-75.635800000000003</v>
          </cell>
        </row>
        <row r="16">
          <cell r="A16" t="str">
            <v>WARP_J0030.5+2618</v>
          </cell>
          <cell r="B16">
            <v>0.5</v>
          </cell>
          <cell r="D16">
            <v>7.6426999999999996</v>
          </cell>
          <cell r="E16">
            <v>26.302700000000002</v>
          </cell>
        </row>
        <row r="17">
          <cell r="A17" t="str">
            <v>MCXC_J0035.4-2015</v>
          </cell>
          <cell r="B17">
            <v>0.36399999999999999</v>
          </cell>
          <cell r="D17">
            <v>8.8585999999999991</v>
          </cell>
          <cell r="E17">
            <v>-20.2623</v>
          </cell>
        </row>
        <row r="18">
          <cell r="A18" t="str">
            <v>ABELL_0068</v>
          </cell>
          <cell r="B18">
            <v>0.255</v>
          </cell>
          <cell r="D18">
            <v>9.2774999999999999</v>
          </cell>
          <cell r="E18">
            <v>9.1577999999999999</v>
          </cell>
        </row>
        <row r="19">
          <cell r="A19" t="str">
            <v>ABELL_0085</v>
          </cell>
          <cell r="B19">
            <v>5.5E-2</v>
          </cell>
          <cell r="D19">
            <v>10.459899999999999</v>
          </cell>
          <cell r="E19">
            <v>-9.3028999999999993</v>
          </cell>
        </row>
        <row r="20">
          <cell r="A20" t="str">
            <v>ABELL_2813</v>
          </cell>
          <cell r="B20">
            <v>0.29199999999999998</v>
          </cell>
          <cell r="D20">
            <v>10.8535</v>
          </cell>
          <cell r="E20">
            <v>-20.6234</v>
          </cell>
        </row>
        <row r="21">
          <cell r="A21" t="str">
            <v>ZwCl_0040.8+2404</v>
          </cell>
          <cell r="B21">
            <v>8.3000000000000004E-2</v>
          </cell>
          <cell r="D21">
            <v>10.9678</v>
          </cell>
          <cell r="E21">
            <v>24.405899999999999</v>
          </cell>
        </row>
        <row r="22">
          <cell r="A22" t="str">
            <v>ABELL_0098N</v>
          </cell>
          <cell r="B22">
            <v>0.104</v>
          </cell>
          <cell r="D22">
            <v>11.6029</v>
          </cell>
          <cell r="E22">
            <v>20.6218</v>
          </cell>
        </row>
        <row r="23">
          <cell r="A23" t="str">
            <v>A98ss</v>
          </cell>
          <cell r="B23">
            <v>0.129</v>
          </cell>
          <cell r="D23">
            <v>11.6516</v>
          </cell>
          <cell r="E23">
            <v>20.256699999999999</v>
          </cell>
        </row>
        <row r="24">
          <cell r="A24" t="str">
            <v>ESO_351-_G_021</v>
          </cell>
          <cell r="B24">
            <v>5.7000000000000002E-2</v>
          </cell>
          <cell r="D24">
            <v>13.749700000000001</v>
          </cell>
          <cell r="E24">
            <v>-35.321399999999997</v>
          </cell>
        </row>
        <row r="25">
          <cell r="A25" t="str">
            <v>ABELL_0119</v>
          </cell>
          <cell r="B25">
            <v>4.3999999999999997E-2</v>
          </cell>
          <cell r="D25">
            <v>14.0755</v>
          </cell>
          <cell r="E25">
            <v>-1.2422</v>
          </cell>
        </row>
        <row r="26">
          <cell r="A26" t="str">
            <v>ABELL_0122</v>
          </cell>
          <cell r="B26">
            <v>0.114</v>
          </cell>
          <cell r="D26">
            <v>14.3453</v>
          </cell>
          <cell r="E26">
            <v>-26.280799999999999</v>
          </cell>
        </row>
        <row r="27">
          <cell r="A27" t="str">
            <v>SPT-CLJ0058-6145</v>
          </cell>
          <cell r="B27">
            <v>0.83</v>
          </cell>
          <cell r="D27">
            <v>14.587999999999999</v>
          </cell>
          <cell r="E27">
            <v>-61.767899999999997</v>
          </cell>
        </row>
        <row r="28">
          <cell r="A28" t="str">
            <v>ABELL_0133</v>
          </cell>
          <cell r="B28">
            <v>5.6599999999999998E-2</v>
          </cell>
          <cell r="D28">
            <v>15.6737</v>
          </cell>
          <cell r="E28">
            <v>-21.881799999999998</v>
          </cell>
        </row>
        <row r="29">
          <cell r="A29" t="str">
            <v>SPT-CL_J0102-4915</v>
          </cell>
          <cell r="B29">
            <v>0.75</v>
          </cell>
          <cell r="D29">
            <v>15.7378</v>
          </cell>
          <cell r="E29">
            <v>-49.272500000000001</v>
          </cell>
        </row>
        <row r="30">
          <cell r="A30" t="str">
            <v>_SBV2004__RS_28</v>
          </cell>
          <cell r="B30">
            <v>0.27500000000000002</v>
          </cell>
          <cell r="D30">
            <v>16.2302</v>
          </cell>
          <cell r="E30">
            <v>5.96E-2</v>
          </cell>
        </row>
        <row r="31">
          <cell r="A31" t="str">
            <v>ABELL_0141</v>
          </cell>
          <cell r="B31">
            <v>0.23</v>
          </cell>
          <cell r="D31">
            <v>16.3979</v>
          </cell>
          <cell r="E31">
            <v>-24.630099999999999</v>
          </cell>
        </row>
        <row r="32">
          <cell r="A32" t="str">
            <v>SPT-CLJ0106-5943</v>
          </cell>
          <cell r="B32">
            <v>0.34799999999999998</v>
          </cell>
          <cell r="D32">
            <v>16.6175</v>
          </cell>
          <cell r="E32">
            <v>-59.720399999999998</v>
          </cell>
        </row>
        <row r="33">
          <cell r="A33" t="str">
            <v>MaxBCG_J016.70077+01.05926</v>
          </cell>
          <cell r="B33">
            <v>0.254</v>
          </cell>
          <cell r="D33">
            <v>16.706199999999999</v>
          </cell>
          <cell r="E33">
            <v>1.0563</v>
          </cell>
        </row>
        <row r="34">
          <cell r="A34" t="str">
            <v>CIZA_J0107.7+5408</v>
          </cell>
          <cell r="B34">
            <v>0.107</v>
          </cell>
          <cell r="D34">
            <v>16.938099999999999</v>
          </cell>
          <cell r="E34">
            <v>54.1327</v>
          </cell>
        </row>
        <row r="35">
          <cell r="A35" t="str">
            <v>IC_1633</v>
          </cell>
          <cell r="B35">
            <v>2.4299999999999999E-2</v>
          </cell>
          <cell r="D35">
            <v>17.480899999999998</v>
          </cell>
          <cell r="E35">
            <v>-45.930799999999998</v>
          </cell>
        </row>
        <row r="36">
          <cell r="A36" t="str">
            <v>ABELL_0160</v>
          </cell>
          <cell r="B36">
            <v>4.4999999999999998E-2</v>
          </cell>
          <cell r="D36">
            <v>18.273700000000002</v>
          </cell>
          <cell r="E36">
            <v>15.5298</v>
          </cell>
        </row>
        <row r="37">
          <cell r="A37" t="str">
            <v>NSCS_J011502+002441</v>
          </cell>
          <cell r="B37">
            <v>4.4999999999999998E-2</v>
          </cell>
          <cell r="D37">
            <v>18.765799999999999</v>
          </cell>
          <cell r="E37">
            <v>0.40410000000000001</v>
          </cell>
        </row>
        <row r="38">
          <cell r="A38" t="str">
            <v>ABELL_2895</v>
          </cell>
          <cell r="B38">
            <v>0.22700000000000001</v>
          </cell>
          <cell r="D38">
            <v>19.546900000000001</v>
          </cell>
          <cell r="E38">
            <v>-26.965299999999999</v>
          </cell>
        </row>
        <row r="39">
          <cell r="A39" t="str">
            <v>UGC_00842</v>
          </cell>
          <cell r="B39">
            <v>4.4999999999999998E-2</v>
          </cell>
          <cell r="D39">
            <v>19.723500000000001</v>
          </cell>
          <cell r="E39">
            <v>-1.0021</v>
          </cell>
        </row>
        <row r="40">
          <cell r="A40" t="str">
            <v>SPT-CLJ0123-4821</v>
          </cell>
          <cell r="B40">
            <v>0.62</v>
          </cell>
          <cell r="D40">
            <v>20.799199999999999</v>
          </cell>
          <cell r="E40">
            <v>-48.3566</v>
          </cell>
        </row>
        <row r="41">
          <cell r="A41" t="str">
            <v>ABELL_0193</v>
          </cell>
          <cell r="B41">
            <v>4.9000000000000002E-2</v>
          </cell>
          <cell r="D41">
            <v>21.280200000000001</v>
          </cell>
          <cell r="E41">
            <v>8.7003000000000004</v>
          </cell>
        </row>
        <row r="42">
          <cell r="A42" t="str">
            <v>ABELL_0209</v>
          </cell>
          <cell r="B42">
            <v>0.20599999999999999</v>
          </cell>
          <cell r="D42">
            <v>22.970099999999999</v>
          </cell>
          <cell r="E42">
            <v>-13.6114</v>
          </cell>
        </row>
        <row r="43">
          <cell r="A43" t="str">
            <v>Abell_222</v>
          </cell>
          <cell r="B43">
            <v>0.21099999999999999</v>
          </cell>
          <cell r="D43">
            <v>24.394600000000001</v>
          </cell>
          <cell r="E43">
            <v>-12.9931</v>
          </cell>
        </row>
        <row r="44">
          <cell r="A44" t="str">
            <v>Abell_223</v>
          </cell>
          <cell r="B44">
            <v>0.20699999999999999</v>
          </cell>
          <cell r="D44">
            <v>24.483499999999999</v>
          </cell>
          <cell r="E44">
            <v>-12.819800000000001</v>
          </cell>
        </row>
        <row r="45">
          <cell r="A45" t="str">
            <v>MACS0140.0-0555</v>
          </cell>
          <cell r="B45">
            <v>0.45400000000000001</v>
          </cell>
          <cell r="D45">
            <v>25.006499999999999</v>
          </cell>
          <cell r="E45">
            <v>-5.9191000000000003</v>
          </cell>
        </row>
        <row r="46">
          <cell r="A46" t="str">
            <v>MCXC_J0142.0+2131</v>
          </cell>
          <cell r="B46">
            <v>0.28000000000000003</v>
          </cell>
          <cell r="D46">
            <v>25.513400000000001</v>
          </cell>
          <cell r="E46">
            <v>21.5212</v>
          </cell>
        </row>
        <row r="47">
          <cell r="A47" t="str">
            <v>SDSS_J015021.27-100530.5_GROUP</v>
          </cell>
          <cell r="B47">
            <v>0.36499999999999999</v>
          </cell>
          <cell r="D47">
            <v>27.5885</v>
          </cell>
          <cell r="E47">
            <v>-10.0915</v>
          </cell>
        </row>
        <row r="48">
          <cell r="A48" t="str">
            <v>SPT-CLJ0151-5954</v>
          </cell>
          <cell r="B48">
            <v>1.03</v>
          </cell>
          <cell r="D48">
            <v>27.845199999999998</v>
          </cell>
          <cell r="E48">
            <v>-59.907499999999999</v>
          </cell>
        </row>
        <row r="49">
          <cell r="A49" t="str">
            <v>MCXC_J0152.5-2853</v>
          </cell>
          <cell r="B49">
            <v>0.34100000000000003</v>
          </cell>
          <cell r="D49">
            <v>28.143699999999999</v>
          </cell>
          <cell r="E49">
            <v>-28.893699999999999</v>
          </cell>
        </row>
        <row r="50">
          <cell r="A50" t="str">
            <v>ABELL_0267</v>
          </cell>
          <cell r="B50">
            <v>0.23100000000000001</v>
          </cell>
          <cell r="D50">
            <v>28.177399999999999</v>
          </cell>
          <cell r="E50">
            <v>1.0123</v>
          </cell>
        </row>
        <row r="51">
          <cell r="A51" t="str">
            <v>ABELL_0262</v>
          </cell>
          <cell r="B51">
            <v>1.7399999999999999E-2</v>
          </cell>
          <cell r="D51">
            <v>28.192900000000002</v>
          </cell>
          <cell r="E51">
            <v>36.153300000000002</v>
          </cell>
        </row>
        <row r="52">
          <cell r="A52" t="str">
            <v>SPT-CLJ0156-5541</v>
          </cell>
          <cell r="B52">
            <v>1.22</v>
          </cell>
          <cell r="D52">
            <v>29.042300000000001</v>
          </cell>
          <cell r="E52">
            <v>-55.698700000000002</v>
          </cell>
        </row>
        <row r="53">
          <cell r="A53" t="str">
            <v>NGC_0741_GROUP</v>
          </cell>
          <cell r="B53">
            <v>1.8499999999999999E-2</v>
          </cell>
          <cell r="D53">
            <v>29.087599999999998</v>
          </cell>
          <cell r="E53">
            <v>5.6272000000000002</v>
          </cell>
        </row>
        <row r="54">
          <cell r="A54" t="str">
            <v>GMBCG_J029.95560-08.83299</v>
          </cell>
          <cell r="B54">
            <v>0.32200000000000001</v>
          </cell>
          <cell r="D54">
            <v>29.956</v>
          </cell>
          <cell r="E54">
            <v>-8.8336000000000006</v>
          </cell>
        </row>
        <row r="55">
          <cell r="A55" t="str">
            <v>ARP_318</v>
          </cell>
          <cell r="B55">
            <v>1.32E-2</v>
          </cell>
          <cell r="D55">
            <v>32.409500000000001</v>
          </cell>
          <cell r="E55">
            <v>-10.145899999999999</v>
          </cell>
        </row>
        <row r="56">
          <cell r="A56" t="str">
            <v>MCXC_J0220.9-3829</v>
          </cell>
          <cell r="B56">
            <v>0.22900000000000001</v>
          </cell>
          <cell r="D56">
            <v>35.235700000000001</v>
          </cell>
          <cell r="E56">
            <v>-38.480400000000003</v>
          </cell>
        </row>
        <row r="57">
          <cell r="A57" t="str">
            <v>ABELL_3017</v>
          </cell>
          <cell r="B57">
            <v>0.22</v>
          </cell>
          <cell r="D57">
            <v>36.471499999999999</v>
          </cell>
          <cell r="E57">
            <v>-41.915199999999999</v>
          </cell>
        </row>
        <row r="58">
          <cell r="A58" t="str">
            <v>WHL_J022825.9+003202</v>
          </cell>
          <cell r="B58">
            <v>0.41399999999999998</v>
          </cell>
          <cell r="D58">
            <v>37.107199999999999</v>
          </cell>
          <cell r="E58">
            <v>0.53280000000000005</v>
          </cell>
        </row>
        <row r="59">
          <cell r="A59" t="str">
            <v>MZ_10451</v>
          </cell>
          <cell r="B59">
            <v>6.0999999999999999E-2</v>
          </cell>
          <cell r="D59">
            <v>37.439700000000002</v>
          </cell>
          <cell r="E59">
            <v>-29.628699999999998</v>
          </cell>
        </row>
        <row r="60">
          <cell r="A60" t="str">
            <v>SPT-CL_J0232-4421</v>
          </cell>
          <cell r="B60">
            <v>0.28399999999999997</v>
          </cell>
          <cell r="D60">
            <v>38.0777</v>
          </cell>
          <cell r="E60">
            <v>-44.346200000000003</v>
          </cell>
        </row>
        <row r="61">
          <cell r="A61" t="str">
            <v>SPT-CL_J0234-5831</v>
          </cell>
          <cell r="B61">
            <v>0.41499999999999998</v>
          </cell>
          <cell r="D61">
            <v>38.674700000000001</v>
          </cell>
          <cell r="E61">
            <v>-58.523600000000002</v>
          </cell>
        </row>
        <row r="62">
          <cell r="A62" t="str">
            <v>ABELL_0368</v>
          </cell>
          <cell r="B62">
            <v>0.22</v>
          </cell>
          <cell r="D62">
            <v>39.365200000000002</v>
          </cell>
          <cell r="E62">
            <v>-26.507999999999999</v>
          </cell>
        </row>
        <row r="63">
          <cell r="A63" t="str">
            <v>400d_J0237-5224</v>
          </cell>
          <cell r="B63">
            <v>0.13600000000000001</v>
          </cell>
          <cell r="D63">
            <v>39.503399999999999</v>
          </cell>
          <cell r="E63">
            <v>-52.419800000000002</v>
          </cell>
        </row>
        <row r="64">
          <cell r="A64" t="str">
            <v>ABELL_0370</v>
          </cell>
          <cell r="B64">
            <v>0.375</v>
          </cell>
          <cell r="D64">
            <v>39.970700000000001</v>
          </cell>
          <cell r="E64">
            <v>-1.5792999999999999</v>
          </cell>
        </row>
        <row r="65">
          <cell r="A65" t="str">
            <v>MACS_J0242.6-2132</v>
          </cell>
          <cell r="B65">
            <v>0.314</v>
          </cell>
          <cell r="D65">
            <v>40.649500000000003</v>
          </cell>
          <cell r="E65">
            <v>-21.540600000000001</v>
          </cell>
        </row>
        <row r="66">
          <cell r="A66" t="str">
            <v>SPT-CLJ0243-5930</v>
          </cell>
          <cell r="B66">
            <v>0.63500000000000001</v>
          </cell>
          <cell r="D66">
            <v>40.863</v>
          </cell>
          <cell r="E66">
            <v>-59.517200000000003</v>
          </cell>
        </row>
        <row r="67">
          <cell r="A67" t="str">
            <v>ABELL_S0295</v>
          </cell>
          <cell r="B67">
            <v>0.3</v>
          </cell>
          <cell r="D67">
            <v>41.361600000000003</v>
          </cell>
          <cell r="E67">
            <v>-53.03</v>
          </cell>
        </row>
        <row r="68">
          <cell r="A68" t="str">
            <v>400d_J0245+0936</v>
          </cell>
          <cell r="B68">
            <v>0.14699999999999999</v>
          </cell>
          <cell r="D68">
            <v>41.453800000000001</v>
          </cell>
          <cell r="E68">
            <v>9.6105999999999998</v>
          </cell>
        </row>
        <row r="69">
          <cell r="A69" t="str">
            <v>ABELL_0376</v>
          </cell>
          <cell r="B69">
            <v>4.8000000000000001E-2</v>
          </cell>
          <cell r="D69">
            <v>41.516399999999997</v>
          </cell>
          <cell r="E69">
            <v>36.905500000000004</v>
          </cell>
        </row>
        <row r="70">
          <cell r="A70" t="str">
            <v>ABELL_0383</v>
          </cell>
          <cell r="B70">
            <v>0.187</v>
          </cell>
          <cell r="D70">
            <v>42.014099999999999</v>
          </cell>
          <cell r="E70">
            <v>-3.5293000000000001</v>
          </cell>
        </row>
        <row r="71">
          <cell r="A71" t="str">
            <v>SPT-CLJ0252-4824</v>
          </cell>
          <cell r="B71">
            <v>0.42099999999999999</v>
          </cell>
          <cell r="D71">
            <v>43.207599999999999</v>
          </cell>
          <cell r="E71">
            <v>-48.4163</v>
          </cell>
        </row>
        <row r="72">
          <cell r="A72" t="str">
            <v>NGC_1132</v>
          </cell>
          <cell r="B72">
            <v>2.3E-2</v>
          </cell>
          <cell r="D72">
            <v>43.215800000000002</v>
          </cell>
          <cell r="E72">
            <v>-1.2747999999999999</v>
          </cell>
        </row>
        <row r="73">
          <cell r="A73" t="str">
            <v>WBL_088</v>
          </cell>
          <cell r="B73">
            <v>1.7000000000000001E-2</v>
          </cell>
          <cell r="D73">
            <v>43.614600000000003</v>
          </cell>
          <cell r="E73">
            <v>41.5794</v>
          </cell>
        </row>
        <row r="74">
          <cell r="A74" t="str">
            <v>SPT-CLJ0256-5617</v>
          </cell>
          <cell r="B74">
            <v>0.57999999999999996</v>
          </cell>
          <cell r="D74">
            <v>44.105600000000003</v>
          </cell>
          <cell r="E74">
            <v>-56.298200000000001</v>
          </cell>
        </row>
        <row r="75">
          <cell r="A75" t="str">
            <v>MACS_J0257-2325</v>
          </cell>
          <cell r="B75">
            <v>0.50490000000000002</v>
          </cell>
          <cell r="D75">
            <v>44.287999999999997</v>
          </cell>
          <cell r="E75">
            <v>-23.434999999999999</v>
          </cell>
        </row>
        <row r="76">
          <cell r="A76" t="str">
            <v>ABELL_0402</v>
          </cell>
          <cell r="B76">
            <v>0.32200000000000001</v>
          </cell>
          <cell r="D76">
            <v>44.421700000000001</v>
          </cell>
          <cell r="E76">
            <v>-22.154900000000001</v>
          </cell>
        </row>
        <row r="77">
          <cell r="A77" t="str">
            <v>ABELL_0400</v>
          </cell>
          <cell r="B77">
            <v>2.4400000000000002E-2</v>
          </cell>
          <cell r="D77">
            <v>44.423400000000001</v>
          </cell>
          <cell r="E77">
            <v>6.0243000000000002</v>
          </cell>
        </row>
        <row r="78">
          <cell r="A78" t="str">
            <v>ABELL_0399</v>
          </cell>
          <cell r="B78">
            <v>7.1999999999999995E-2</v>
          </cell>
          <cell r="D78">
            <v>44.4726</v>
          </cell>
          <cell r="E78">
            <v>13.0253</v>
          </cell>
        </row>
        <row r="79">
          <cell r="A79" t="str">
            <v>ABELL_3074</v>
          </cell>
          <cell r="B79">
            <v>7.2999999999999995E-2</v>
          </cell>
          <cell r="D79">
            <v>44.546900000000001</v>
          </cell>
          <cell r="E79">
            <v>-52.728400000000001</v>
          </cell>
        </row>
        <row r="80">
          <cell r="A80" t="str">
            <v>ABELL_0401</v>
          </cell>
          <cell r="B80">
            <v>7.3999999999999996E-2</v>
          </cell>
          <cell r="D80">
            <v>44.7438</v>
          </cell>
          <cell r="E80">
            <v>13.578799999999999</v>
          </cell>
        </row>
        <row r="81">
          <cell r="A81" t="str">
            <v>MCXC_J0301.6+0155</v>
          </cell>
          <cell r="B81">
            <v>0.17</v>
          </cell>
          <cell r="D81">
            <v>45.409199999999998</v>
          </cell>
          <cell r="E81">
            <v>1.9208000000000001</v>
          </cell>
        </row>
        <row r="82">
          <cell r="A82" t="str">
            <v>400d_J0302-0423</v>
          </cell>
          <cell r="B82">
            <v>0.35</v>
          </cell>
          <cell r="D82">
            <v>45.588000000000001</v>
          </cell>
          <cell r="E82">
            <v>-4.3899999999999997</v>
          </cell>
        </row>
        <row r="83">
          <cell r="A83" t="str">
            <v>MCXC_J0303.7-7752</v>
          </cell>
          <cell r="B83">
            <v>0.27400000000000002</v>
          </cell>
          <cell r="D83">
            <v>45.941299999999998</v>
          </cell>
          <cell r="E83">
            <v>-77.879199999999997</v>
          </cell>
        </row>
        <row r="84">
          <cell r="A84" t="str">
            <v>ACT-CL_J0304-4921</v>
          </cell>
          <cell r="B84">
            <v>0.39200000000000002</v>
          </cell>
          <cell r="D84">
            <v>46.067300000000003</v>
          </cell>
          <cell r="E84">
            <v>-49.356999999999999</v>
          </cell>
        </row>
        <row r="85">
          <cell r="A85" t="str">
            <v>IC_1880_GROUP</v>
          </cell>
          <cell r="B85">
            <v>3.3799999999999997E-2</v>
          </cell>
          <cell r="D85">
            <v>46.618600000000001</v>
          </cell>
          <cell r="E85">
            <v>-9.7311999999999994</v>
          </cell>
        </row>
        <row r="86">
          <cell r="A86" t="str">
            <v>ABELL_3088</v>
          </cell>
          <cell r="B86">
            <v>0.253</v>
          </cell>
          <cell r="D86">
            <v>46.758099999999999</v>
          </cell>
          <cell r="E86">
            <v>-28.665800000000001</v>
          </cell>
        </row>
        <row r="87">
          <cell r="A87" t="str">
            <v>SPT-CLJ0307-6225</v>
          </cell>
          <cell r="B87">
            <v>0.57899999999999996</v>
          </cell>
          <cell r="D87">
            <v>46.820300000000003</v>
          </cell>
          <cell r="E87">
            <v>-62.445799999999998</v>
          </cell>
        </row>
        <row r="88">
          <cell r="A88" t="str">
            <v>SPT-CLJ0307-5042</v>
          </cell>
          <cell r="B88">
            <v>0.55000000000000004</v>
          </cell>
          <cell r="D88">
            <v>46.960700000000003</v>
          </cell>
          <cell r="E88">
            <v>-50.701900000000002</v>
          </cell>
        </row>
        <row r="89">
          <cell r="A89" t="str">
            <v>MACS_J0308.9+2645</v>
          </cell>
          <cell r="B89">
            <v>0.32400000000000001</v>
          </cell>
          <cell r="D89">
            <v>47.2331</v>
          </cell>
          <cell r="E89">
            <v>26.761099999999999</v>
          </cell>
        </row>
        <row r="90">
          <cell r="A90" t="str">
            <v>SPT-CLJ0310-4647</v>
          </cell>
          <cell r="B90">
            <v>0.70899999999999996</v>
          </cell>
          <cell r="D90">
            <v>47.634900000000002</v>
          </cell>
          <cell r="E90">
            <v>-46.786200000000001</v>
          </cell>
        </row>
        <row r="91">
          <cell r="A91" t="str">
            <v>ABELL_3094</v>
          </cell>
          <cell r="B91">
            <v>6.8000000000000005E-2</v>
          </cell>
          <cell r="D91">
            <v>47.898899999999998</v>
          </cell>
          <cell r="E91">
            <v>-26.898499999999999</v>
          </cell>
        </row>
        <row r="92">
          <cell r="A92" t="str">
            <v>ABELL_3112</v>
          </cell>
          <cell r="B92">
            <v>7.5200000000000003E-2</v>
          </cell>
          <cell r="D92">
            <v>49.490499999999997</v>
          </cell>
          <cell r="E92">
            <v>-44.238399999999999</v>
          </cell>
        </row>
        <row r="93">
          <cell r="A93" t="str">
            <v>400d_J0318-0302</v>
          </cell>
          <cell r="B93">
            <v>0.37</v>
          </cell>
          <cell r="D93">
            <v>49.643700000000003</v>
          </cell>
          <cell r="E93">
            <v>-3.0508999999999999</v>
          </cell>
        </row>
        <row r="94">
          <cell r="A94" t="str">
            <v>ABELL_3120</v>
          </cell>
          <cell r="B94">
            <v>6.9000000000000006E-2</v>
          </cell>
          <cell r="D94">
            <v>50.484900000000003</v>
          </cell>
          <cell r="E94">
            <v>-51.326599999999999</v>
          </cell>
        </row>
        <row r="95">
          <cell r="A95" t="str">
            <v>SPT-CLJ0324-6236</v>
          </cell>
          <cell r="B95">
            <v>0.73</v>
          </cell>
          <cell r="D95">
            <v>51.0518</v>
          </cell>
          <cell r="E95">
            <v>-62.598799999999997</v>
          </cell>
        </row>
        <row r="96">
          <cell r="A96" t="str">
            <v>UGC_02748</v>
          </cell>
          <cell r="B96">
            <v>0.03</v>
          </cell>
          <cell r="D96">
            <v>51.975700000000003</v>
          </cell>
          <cell r="E96">
            <v>2.5615999999999999</v>
          </cell>
        </row>
        <row r="97">
          <cell r="A97" t="str">
            <v>400d_J0328-2140</v>
          </cell>
          <cell r="B97">
            <v>0.59</v>
          </cell>
          <cell r="D97">
            <v>52.1494</v>
          </cell>
          <cell r="E97">
            <v>-21.6736</v>
          </cell>
        </row>
        <row r="98">
          <cell r="A98" t="str">
            <v>ABELL_3126</v>
          </cell>
          <cell r="B98">
            <v>8.5999999999999993E-2</v>
          </cell>
          <cell r="D98">
            <v>52.1494</v>
          </cell>
          <cell r="E98">
            <v>-55.718000000000004</v>
          </cell>
        </row>
        <row r="99">
          <cell r="A99" t="str">
            <v>MACS_J0329.6-0211</v>
          </cell>
          <cell r="B99">
            <v>0.45</v>
          </cell>
          <cell r="D99">
            <v>52.423699999999997</v>
          </cell>
          <cell r="E99">
            <v>-2.1966000000000001</v>
          </cell>
        </row>
        <row r="100">
          <cell r="A100" t="str">
            <v>ABELL_3128</v>
          </cell>
          <cell r="B100">
            <v>0.06</v>
          </cell>
          <cell r="D100">
            <v>52.460900000000002</v>
          </cell>
          <cell r="E100">
            <v>-52.580399999999997</v>
          </cell>
        </row>
        <row r="101">
          <cell r="A101" t="str">
            <v>MCXC_J0331.1-2100</v>
          </cell>
          <cell r="B101">
            <v>0.188</v>
          </cell>
          <cell r="D101">
            <v>52.774999999999999</v>
          </cell>
          <cell r="E101">
            <v>-21.008900000000001</v>
          </cell>
        </row>
        <row r="102">
          <cell r="A102" t="str">
            <v>SPT-CLJ0334-4659</v>
          </cell>
          <cell r="B102">
            <v>0.48499999999999999</v>
          </cell>
          <cell r="D102">
            <v>53.545999999999999</v>
          </cell>
          <cell r="E102">
            <v>-46.996000000000002</v>
          </cell>
        </row>
        <row r="103">
          <cell r="A103" t="str">
            <v>3C_089</v>
          </cell>
          <cell r="B103">
            <v>0.13900000000000001</v>
          </cell>
          <cell r="D103">
            <v>53.5625</v>
          </cell>
          <cell r="E103">
            <v>-1.1881999999999999</v>
          </cell>
        </row>
        <row r="104">
          <cell r="A104" t="str">
            <v>Fornax_Cluster</v>
          </cell>
          <cell r="B104">
            <v>4.5999999999999999E-3</v>
          </cell>
          <cell r="D104">
            <v>54.620399999999997</v>
          </cell>
          <cell r="E104">
            <v>-35.4499</v>
          </cell>
        </row>
        <row r="105">
          <cell r="A105" t="str">
            <v>MCXC_J0338.6+0958</v>
          </cell>
          <cell r="B105">
            <v>3.6299999999999999E-2</v>
          </cell>
          <cell r="D105">
            <v>54.671300000000002</v>
          </cell>
          <cell r="E105">
            <v>9.9669000000000008</v>
          </cell>
        </row>
        <row r="106">
          <cell r="A106" t="str">
            <v>400d_J0340-2840</v>
          </cell>
          <cell r="B106">
            <v>6.8000000000000005E-2</v>
          </cell>
          <cell r="D106">
            <v>55.104999999999997</v>
          </cell>
          <cell r="E106">
            <v>-28.677399999999999</v>
          </cell>
        </row>
        <row r="107">
          <cell r="A107" t="str">
            <v>MCXC_J0340.8-4542</v>
          </cell>
          <cell r="B107">
            <v>7.0000000000000007E-2</v>
          </cell>
          <cell r="D107">
            <v>55.2241</v>
          </cell>
          <cell r="E107">
            <v>-45.6768</v>
          </cell>
        </row>
        <row r="108">
          <cell r="A108" t="str">
            <v>III_Zw_054</v>
          </cell>
          <cell r="B108">
            <v>2.9000000000000001E-2</v>
          </cell>
          <cell r="D108">
            <v>55.315300000000001</v>
          </cell>
          <cell r="E108">
            <v>15.409700000000001</v>
          </cell>
        </row>
        <row r="109">
          <cell r="A109" t="str">
            <v>ABELL_3158</v>
          </cell>
          <cell r="B109">
            <v>0.06</v>
          </cell>
          <cell r="D109">
            <v>55.713900000000002</v>
          </cell>
          <cell r="E109">
            <v>-53.6297</v>
          </cell>
        </row>
        <row r="110">
          <cell r="A110" t="str">
            <v>ACT-CL_J0346-5438</v>
          </cell>
          <cell r="B110">
            <v>0.55000000000000004</v>
          </cell>
          <cell r="D110">
            <v>56.732599999999998</v>
          </cell>
          <cell r="E110">
            <v>-54.648499999999999</v>
          </cell>
        </row>
        <row r="111">
          <cell r="A111" t="str">
            <v>SPT-CLJ0352-5647</v>
          </cell>
          <cell r="B111">
            <v>0.67</v>
          </cell>
          <cell r="D111">
            <v>58.241599999999998</v>
          </cell>
          <cell r="E111">
            <v>-56.795499999999997</v>
          </cell>
        </row>
        <row r="112">
          <cell r="A112" t="str">
            <v>MCXC_J0352.9+1941</v>
          </cell>
          <cell r="B112">
            <v>0.109</v>
          </cell>
          <cell r="D112">
            <v>58.245699999999999</v>
          </cell>
          <cell r="E112">
            <v>19.683</v>
          </cell>
        </row>
        <row r="113">
          <cell r="A113" t="str">
            <v>MACS_J0358.8-2955</v>
          </cell>
          <cell r="B113">
            <v>0.42499999999999999</v>
          </cell>
          <cell r="D113">
            <v>59.726300000000002</v>
          </cell>
          <cell r="E113">
            <v>-29.925899999999999</v>
          </cell>
        </row>
        <row r="114">
          <cell r="A114" t="str">
            <v>400d_J0405-4100</v>
          </cell>
          <cell r="B114">
            <v>0.68600000000000005</v>
          </cell>
          <cell r="D114">
            <v>61.351700000000001</v>
          </cell>
          <cell r="E114">
            <v>-41.005400000000002</v>
          </cell>
        </row>
        <row r="115">
          <cell r="A115" t="str">
            <v>ABELL_0478</v>
          </cell>
          <cell r="B115">
            <v>8.7999999999999995E-2</v>
          </cell>
          <cell r="D115">
            <v>63.354999999999997</v>
          </cell>
          <cell r="E115">
            <v>10.465299999999999</v>
          </cell>
        </row>
        <row r="116">
          <cell r="A116" t="str">
            <v>MACS_J0416.1-2403</v>
          </cell>
          <cell r="B116">
            <v>0.42</v>
          </cell>
          <cell r="D116">
            <v>64.039400000000001</v>
          </cell>
          <cell r="E116">
            <v>-24.0655</v>
          </cell>
        </row>
        <row r="117">
          <cell r="A117" t="str">
            <v>SPT-CL_J0417-4748</v>
          </cell>
          <cell r="B117">
            <v>0.62</v>
          </cell>
          <cell r="D117">
            <v>64.346500000000006</v>
          </cell>
          <cell r="E117">
            <v>-47.813400000000001</v>
          </cell>
        </row>
        <row r="118">
          <cell r="A118" t="str">
            <v>MACS_J0417.5-1154</v>
          </cell>
          <cell r="B118">
            <v>0.44</v>
          </cell>
          <cell r="D118">
            <v>64.392600000000002</v>
          </cell>
          <cell r="E118">
            <v>-11.909599999999999</v>
          </cell>
        </row>
        <row r="119">
          <cell r="A119" t="str">
            <v>MCXC_J0419.6+0224</v>
          </cell>
          <cell r="B119">
            <v>1.23E-2</v>
          </cell>
          <cell r="D119">
            <v>64.908299999999997</v>
          </cell>
          <cell r="E119">
            <v>2.4102000000000001</v>
          </cell>
        </row>
        <row r="120">
          <cell r="A120" t="str">
            <v>MCXC_J0425.8-0833</v>
          </cell>
          <cell r="B120">
            <v>0.04</v>
          </cell>
          <cell r="D120">
            <v>66.463399999999993</v>
          </cell>
          <cell r="E120">
            <v>-8.5603999999999996</v>
          </cell>
        </row>
        <row r="121">
          <cell r="A121" t="str">
            <v>SPT-CLJ0426-5455</v>
          </cell>
          <cell r="B121">
            <v>0.63</v>
          </cell>
          <cell r="D121">
            <v>66.519099999999995</v>
          </cell>
          <cell r="E121">
            <v>-54.9116</v>
          </cell>
        </row>
        <row r="122">
          <cell r="A122" t="str">
            <v>ABELL_S0463</v>
          </cell>
          <cell r="B122">
            <v>3.9E-2</v>
          </cell>
          <cell r="D122">
            <v>67.156899999999993</v>
          </cell>
          <cell r="E122">
            <v>-53.840200000000003</v>
          </cell>
        </row>
        <row r="123">
          <cell r="A123" t="str">
            <v>MACS_J0429.6-0253</v>
          </cell>
          <cell r="B123">
            <v>0.39900000000000002</v>
          </cell>
          <cell r="D123">
            <v>67.400000000000006</v>
          </cell>
          <cell r="E123">
            <v>-2.8854000000000002</v>
          </cell>
        </row>
        <row r="124">
          <cell r="A124" t="str">
            <v>ABELL_3266</v>
          </cell>
          <cell r="B124">
            <v>5.8900000000000001E-2</v>
          </cell>
          <cell r="D124">
            <v>67.804400000000001</v>
          </cell>
          <cell r="E124">
            <v>-61.453699999999998</v>
          </cell>
        </row>
        <row r="125">
          <cell r="A125" t="str">
            <v>ABELL_0496</v>
          </cell>
          <cell r="B125">
            <v>3.2899999999999999E-2</v>
          </cell>
          <cell r="D125">
            <v>68.408500000000004</v>
          </cell>
          <cell r="E125">
            <v>-13.260999999999999</v>
          </cell>
        </row>
        <row r="126">
          <cell r="A126" t="str">
            <v>MCXC_J0437.1+0043</v>
          </cell>
          <cell r="B126">
            <v>0.28499999999999998</v>
          </cell>
          <cell r="D126">
            <v>69.2898</v>
          </cell>
          <cell r="E126">
            <v>0.73219999999999996</v>
          </cell>
        </row>
        <row r="127">
          <cell r="A127" t="str">
            <v>MCXC_J0439.0+0715</v>
          </cell>
          <cell r="B127">
            <v>0.23</v>
          </cell>
          <cell r="D127">
            <v>69.752300000000005</v>
          </cell>
          <cell r="E127">
            <v>7.2683999999999997</v>
          </cell>
        </row>
        <row r="128">
          <cell r="A128" t="str">
            <v>MCXC_J0439.0+0520</v>
          </cell>
          <cell r="B128">
            <v>0.20799999999999999</v>
          </cell>
          <cell r="D128">
            <v>69.759</v>
          </cell>
          <cell r="E128">
            <v>5.3453999999999997</v>
          </cell>
        </row>
        <row r="129">
          <cell r="A129" t="str">
            <v>MCXC_J0443.1+0210</v>
          </cell>
          <cell r="B129">
            <v>0.19</v>
          </cell>
          <cell r="D129">
            <v>70.791399999999996</v>
          </cell>
          <cell r="E129">
            <v>2.1720000000000002</v>
          </cell>
        </row>
        <row r="130">
          <cell r="A130" t="str">
            <v>ABELL_0514</v>
          </cell>
          <cell r="B130">
            <v>7.0999999999999994E-2</v>
          </cell>
          <cell r="D130">
            <v>72.007000000000005</v>
          </cell>
          <cell r="E130">
            <v>-20.447800000000001</v>
          </cell>
        </row>
        <row r="131">
          <cell r="A131" t="str">
            <v>ABELL_3292</v>
          </cell>
          <cell r="B131">
            <v>0.17199999999999999</v>
          </cell>
          <cell r="D131">
            <v>72.483000000000004</v>
          </cell>
          <cell r="E131">
            <v>-44.673099999999998</v>
          </cell>
        </row>
        <row r="132">
          <cell r="A132" t="str">
            <v>WEIN_051</v>
          </cell>
          <cell r="B132">
            <v>2.1999999999999999E-2</v>
          </cell>
          <cell r="D132">
            <v>72.527100000000004</v>
          </cell>
          <cell r="E132">
            <v>45.0518</v>
          </cell>
        </row>
        <row r="133">
          <cell r="A133" t="str">
            <v>MACS_J0451.9+0006</v>
          </cell>
          <cell r="B133">
            <v>0.43</v>
          </cell>
          <cell r="D133">
            <v>72.976600000000005</v>
          </cell>
          <cell r="E133">
            <v>0.1055</v>
          </cell>
        </row>
        <row r="134">
          <cell r="A134" t="str">
            <v>ABELL_0521</v>
          </cell>
          <cell r="B134">
            <v>0.25330000000000003</v>
          </cell>
          <cell r="D134">
            <v>73.527799999999999</v>
          </cell>
          <cell r="E134">
            <v>-10.2209</v>
          </cell>
        </row>
        <row r="135">
          <cell r="A135" t="str">
            <v>MCXC_J0454.1-0300</v>
          </cell>
          <cell r="B135">
            <v>0.55000000000000004</v>
          </cell>
          <cell r="D135">
            <v>73.5471</v>
          </cell>
          <cell r="E135">
            <v>-3.0158999999999998</v>
          </cell>
        </row>
        <row r="136">
          <cell r="A136" t="str">
            <v>ESO_552-_G_020</v>
          </cell>
          <cell r="B136">
            <v>3.1E-2</v>
          </cell>
          <cell r="D136">
            <v>73.718100000000007</v>
          </cell>
          <cell r="E136">
            <v>-18.115400000000001</v>
          </cell>
        </row>
        <row r="137">
          <cell r="A137" t="str">
            <v>MACS_J0455.2+0657</v>
          </cell>
          <cell r="B137">
            <v>0.42499999999999999</v>
          </cell>
          <cell r="D137">
            <v>73.822000000000003</v>
          </cell>
          <cell r="E137">
            <v>6.9634</v>
          </cell>
        </row>
        <row r="138">
          <cell r="A138" t="str">
            <v>SPT-CLJ0456-5116</v>
          </cell>
          <cell r="B138">
            <v>0.56200000000000006</v>
          </cell>
          <cell r="D138">
            <v>74.114900000000006</v>
          </cell>
          <cell r="E138">
            <v>-51.2789</v>
          </cell>
        </row>
        <row r="139">
          <cell r="A139" t="str">
            <v>SPT-CL_J0509-5342</v>
          </cell>
          <cell r="B139">
            <v>0.46300000000000002</v>
          </cell>
          <cell r="D139">
            <v>77.338499999999996</v>
          </cell>
          <cell r="E139">
            <v>-53.703499999999998</v>
          </cell>
        </row>
        <row r="140">
          <cell r="A140" t="str">
            <v>ABELL_3322</v>
          </cell>
          <cell r="B140">
            <v>0.2</v>
          </cell>
          <cell r="D140">
            <v>77.571299999999994</v>
          </cell>
          <cell r="E140">
            <v>-45.3215</v>
          </cell>
        </row>
        <row r="141">
          <cell r="A141" t="str">
            <v>MCXC_J0510.7-0801</v>
          </cell>
          <cell r="B141">
            <v>0.22</v>
          </cell>
          <cell r="D141">
            <v>77.698499999999996</v>
          </cell>
          <cell r="E141">
            <v>-8.0274999999999999</v>
          </cell>
        </row>
        <row r="142">
          <cell r="A142" t="str">
            <v>ABELL_3330</v>
          </cell>
          <cell r="B142">
            <v>9.1999999999999998E-2</v>
          </cell>
          <cell r="D142">
            <v>78.664699999999996</v>
          </cell>
          <cell r="E142">
            <v>-49.058100000000003</v>
          </cell>
        </row>
        <row r="143">
          <cell r="A143" t="str">
            <v>ABELL_0539</v>
          </cell>
          <cell r="B143">
            <v>2.8000000000000001E-2</v>
          </cell>
          <cell r="D143">
            <v>79.155699999999996</v>
          </cell>
          <cell r="E143">
            <v>6.4405999999999999</v>
          </cell>
        </row>
        <row r="144">
          <cell r="A144" t="str">
            <v>ABELL_S0520</v>
          </cell>
          <cell r="B144">
            <v>0.29499999999999998</v>
          </cell>
          <cell r="D144">
            <v>79.1571</v>
          </cell>
          <cell r="E144">
            <v>-54.513100000000001</v>
          </cell>
        </row>
        <row r="145">
          <cell r="A145" t="str">
            <v>MCXC_J0520.7-1328</v>
          </cell>
          <cell r="B145">
            <v>0.34</v>
          </cell>
          <cell r="D145">
            <v>80.1751</v>
          </cell>
          <cell r="E145">
            <v>-13.4803</v>
          </cell>
        </row>
        <row r="146">
          <cell r="A146" t="str">
            <v>CXOU_J052215-481816</v>
          </cell>
          <cell r="B146">
            <v>0.29599999999999999</v>
          </cell>
          <cell r="D146">
            <v>80.563500000000005</v>
          </cell>
          <cell r="E146">
            <v>-48.304499999999997</v>
          </cell>
        </row>
        <row r="147">
          <cell r="A147" t="str">
            <v>ABELL_3343</v>
          </cell>
          <cell r="B147">
            <v>0.191</v>
          </cell>
          <cell r="D147">
            <v>81.453400000000002</v>
          </cell>
          <cell r="E147">
            <v>-47.252800000000001</v>
          </cell>
        </row>
        <row r="148">
          <cell r="A148" t="str">
            <v>MCXC_J0528.2-2942</v>
          </cell>
          <cell r="B148">
            <v>0.158</v>
          </cell>
          <cell r="D148">
            <v>82.060699999999997</v>
          </cell>
          <cell r="E148">
            <v>-29.721900000000002</v>
          </cell>
        </row>
        <row r="149">
          <cell r="A149" t="str">
            <v>RBS_0653</v>
          </cell>
          <cell r="B149">
            <v>0.28399999999999997</v>
          </cell>
          <cell r="D149">
            <v>82.2209</v>
          </cell>
          <cell r="E149">
            <v>-39.470500000000001</v>
          </cell>
        </row>
        <row r="150">
          <cell r="A150" t="str">
            <v>PLCKESZ_G286.58-31.25</v>
          </cell>
          <cell r="B150">
            <v>0.21</v>
          </cell>
          <cell r="D150">
            <v>82.869500000000002</v>
          </cell>
          <cell r="E150">
            <v>-75.1768</v>
          </cell>
        </row>
        <row r="151">
          <cell r="A151" t="str">
            <v>ABELL_0545</v>
          </cell>
          <cell r="B151">
            <v>0.154</v>
          </cell>
          <cell r="D151">
            <v>83.105699999999999</v>
          </cell>
          <cell r="E151">
            <v>-11.542199999999999</v>
          </cell>
        </row>
        <row r="152">
          <cell r="A152" t="str">
            <v>MCXC_J0532.9-3701</v>
          </cell>
          <cell r="B152">
            <v>0.27500000000000002</v>
          </cell>
          <cell r="D152">
            <v>83.231399999999994</v>
          </cell>
          <cell r="E152">
            <v>-37.026400000000002</v>
          </cell>
        </row>
        <row r="153">
          <cell r="A153" t="str">
            <v>ESO3060170-A</v>
          </cell>
          <cell r="B153">
            <v>3.5999999999999997E-2</v>
          </cell>
          <cell r="D153">
            <v>85.027799999999999</v>
          </cell>
          <cell r="E153">
            <v>-40.836599999999997</v>
          </cell>
        </row>
        <row r="154">
          <cell r="A154" t="str">
            <v>RDCS_J0542-4100</v>
          </cell>
          <cell r="B154">
            <v>0.64</v>
          </cell>
          <cell r="D154">
            <v>85.709100000000007</v>
          </cell>
          <cell r="E154">
            <v>-40.999600000000001</v>
          </cell>
        </row>
        <row r="155">
          <cell r="A155" t="str">
            <v>MCXC_J0547.0-3904</v>
          </cell>
          <cell r="B155">
            <v>0.21</v>
          </cell>
          <cell r="D155">
            <v>86.756299999999996</v>
          </cell>
          <cell r="E155">
            <v>-39.073999999999998</v>
          </cell>
        </row>
        <row r="156">
          <cell r="A156" t="str">
            <v>ABELL_3364</v>
          </cell>
          <cell r="B156">
            <v>0.14799999999999999</v>
          </cell>
          <cell r="D156">
            <v>86.906499999999994</v>
          </cell>
          <cell r="E156">
            <v>-31.871200000000002</v>
          </cell>
        </row>
        <row r="157">
          <cell r="A157" t="str">
            <v>ABELL_0548A</v>
          </cell>
          <cell r="B157">
            <v>0.04</v>
          </cell>
          <cell r="D157">
            <v>87.159599999999998</v>
          </cell>
          <cell r="E157">
            <v>-25.477900000000002</v>
          </cell>
        </row>
        <row r="158">
          <cell r="A158" t="str">
            <v>SPT-CL_J0551-5709</v>
          </cell>
          <cell r="B158">
            <v>0.42299999999999999</v>
          </cell>
          <cell r="D158">
            <v>87.887600000000006</v>
          </cell>
          <cell r="E158">
            <v>-57.149099999999997</v>
          </cell>
        </row>
        <row r="159">
          <cell r="A159" t="str">
            <v>ABELL_0550</v>
          </cell>
          <cell r="B159">
            <v>9.9000000000000005E-2</v>
          </cell>
          <cell r="D159">
            <v>88.215900000000005</v>
          </cell>
          <cell r="E159">
            <v>-21.053599999999999</v>
          </cell>
        </row>
        <row r="160">
          <cell r="A160" t="str">
            <v>MACS_J0553.4-3342</v>
          </cell>
          <cell r="B160">
            <v>0.40699999999999997</v>
          </cell>
          <cell r="D160">
            <v>88.357399999999998</v>
          </cell>
          <cell r="E160">
            <v>-33.708500000000001</v>
          </cell>
        </row>
        <row r="161">
          <cell r="A161" t="str">
            <v>SPT-CL_J0559-5249</v>
          </cell>
          <cell r="B161">
            <v>0.61099999999999999</v>
          </cell>
          <cell r="D161">
            <v>89.928299999999993</v>
          </cell>
          <cell r="E161">
            <v>-52.8309</v>
          </cell>
        </row>
        <row r="162">
          <cell r="A162" t="str">
            <v>ABELL_3376</v>
          </cell>
          <cell r="B162">
            <v>4.5999999999999999E-2</v>
          </cell>
          <cell r="D162">
            <v>90.548000000000002</v>
          </cell>
          <cell r="E162">
            <v>-39.949800000000003</v>
          </cell>
        </row>
        <row r="163">
          <cell r="A163" t="str">
            <v>ABELL_3378</v>
          </cell>
          <cell r="B163">
            <v>0.14099999999999999</v>
          </cell>
          <cell r="D163">
            <v>91.474900000000005</v>
          </cell>
          <cell r="E163">
            <v>-35.302199999999999</v>
          </cell>
        </row>
        <row r="164">
          <cell r="A164" t="str">
            <v>SPT-CL_J0615-5746</v>
          </cell>
          <cell r="B164">
            <v>0.97199999999999998</v>
          </cell>
          <cell r="D164">
            <v>93.966099999999997</v>
          </cell>
          <cell r="E164">
            <v>-57.779400000000003</v>
          </cell>
        </row>
        <row r="165">
          <cell r="A165" t="str">
            <v>CIZA_J0616.3-2156</v>
          </cell>
          <cell r="B165">
            <v>0.17100000000000001</v>
          </cell>
          <cell r="D165">
            <v>94.103300000000004</v>
          </cell>
          <cell r="E165">
            <v>-21.938300000000002</v>
          </cell>
        </row>
        <row r="166">
          <cell r="A166" t="str">
            <v>ABELL_S0579</v>
          </cell>
          <cell r="B166">
            <v>0.152</v>
          </cell>
          <cell r="D166">
            <v>94.133899999999997</v>
          </cell>
          <cell r="E166">
            <v>-39.796799999999998</v>
          </cell>
        </row>
        <row r="167">
          <cell r="A167" t="str">
            <v>ACT-CL_J0616-5227</v>
          </cell>
          <cell r="B167">
            <v>0.71</v>
          </cell>
          <cell r="D167">
            <v>94.142700000000005</v>
          </cell>
          <cell r="E167">
            <v>-52.452100000000002</v>
          </cell>
        </row>
        <row r="168">
          <cell r="A168" t="str">
            <v>G139.59+24.18</v>
          </cell>
          <cell r="B168">
            <v>0.27</v>
          </cell>
          <cell r="D168">
            <v>95.454099999999997</v>
          </cell>
          <cell r="E168">
            <v>74.701400000000007</v>
          </cell>
        </row>
        <row r="169">
          <cell r="A169" t="str">
            <v>ABELL_3391</v>
          </cell>
          <cell r="B169">
            <v>5.0999999999999997E-2</v>
          </cell>
          <cell r="D169">
            <v>96.578500000000005</v>
          </cell>
          <cell r="E169">
            <v>-53.692599999999999</v>
          </cell>
        </row>
        <row r="170">
          <cell r="A170" t="str">
            <v>ABELL_3395_SW</v>
          </cell>
          <cell r="B170">
            <v>5.0999999999999997E-2</v>
          </cell>
          <cell r="D170">
            <v>96.680599999999998</v>
          </cell>
          <cell r="E170">
            <v>-54.543500000000002</v>
          </cell>
        </row>
        <row r="171">
          <cell r="A171" t="str">
            <v>ABELL_3399</v>
          </cell>
          <cell r="B171">
            <v>0.20300000000000001</v>
          </cell>
          <cell r="D171">
            <v>99.308800000000005</v>
          </cell>
          <cell r="E171">
            <v>-48.471899999999998</v>
          </cell>
        </row>
        <row r="172">
          <cell r="A172" t="str">
            <v>PLCKESZ_G167.65+17.64</v>
          </cell>
          <cell r="B172">
            <v>0.17399999999999999</v>
          </cell>
          <cell r="D172">
            <v>99.516199999999998</v>
          </cell>
          <cell r="E172">
            <v>47.7986</v>
          </cell>
        </row>
        <row r="173">
          <cell r="A173" t="str">
            <v>ABELL_S0592</v>
          </cell>
          <cell r="B173">
            <v>0.222</v>
          </cell>
          <cell r="D173">
            <v>99.701999999999998</v>
          </cell>
          <cell r="E173">
            <v>-53.974200000000003</v>
          </cell>
        </row>
        <row r="174">
          <cell r="A174" t="str">
            <v>ABELL_3402</v>
          </cell>
          <cell r="B174">
            <v>0.14599999999999999</v>
          </cell>
          <cell r="D174">
            <v>100.4229</v>
          </cell>
          <cell r="E174">
            <v>-49.794699999999999</v>
          </cell>
        </row>
        <row r="175">
          <cell r="A175" t="str">
            <v>ABELL_3404</v>
          </cell>
          <cell r="B175">
            <v>0.16700000000000001</v>
          </cell>
          <cell r="D175">
            <v>101.37</v>
          </cell>
          <cell r="E175">
            <v>-54.228400000000001</v>
          </cell>
        </row>
        <row r="176">
          <cell r="A176" t="str">
            <v>MACS_J0647.8+7015</v>
          </cell>
          <cell r="B176">
            <v>0.5907</v>
          </cell>
          <cell r="D176">
            <v>101.9585</v>
          </cell>
          <cell r="E176">
            <v>70.247100000000003</v>
          </cell>
        </row>
        <row r="177">
          <cell r="A177" t="str">
            <v>ABELL_0562</v>
          </cell>
          <cell r="B177">
            <v>0.11</v>
          </cell>
          <cell r="D177">
            <v>103.3394</v>
          </cell>
          <cell r="E177">
            <v>69.331000000000003</v>
          </cell>
        </row>
        <row r="178">
          <cell r="A178" t="str">
            <v>Bullet_Cluster</v>
          </cell>
          <cell r="B178">
            <v>0.29599999999999999</v>
          </cell>
          <cell r="D178">
            <v>104.6276</v>
          </cell>
          <cell r="E178">
            <v>-55.938800000000001</v>
          </cell>
        </row>
        <row r="179">
          <cell r="A179" t="str">
            <v>MACS_J0712.3+5931</v>
          </cell>
          <cell r="B179">
            <v>0.32800000000000001</v>
          </cell>
          <cell r="D179">
            <v>108.0864</v>
          </cell>
          <cell r="E179">
            <v>59.538899999999998</v>
          </cell>
        </row>
        <row r="180">
          <cell r="A180" t="str">
            <v>MACS_J0717+3745</v>
          </cell>
          <cell r="B180">
            <v>0.54600000000000004</v>
          </cell>
          <cell r="D180">
            <v>109.37560000000001</v>
          </cell>
          <cell r="E180">
            <v>37.76</v>
          </cell>
        </row>
        <row r="181">
          <cell r="A181" t="str">
            <v>400d_J0720+7108</v>
          </cell>
          <cell r="B181">
            <v>0.23100000000000001</v>
          </cell>
          <cell r="D181">
            <v>110.2248</v>
          </cell>
          <cell r="E181">
            <v>71.149699999999996</v>
          </cell>
        </row>
        <row r="182">
          <cell r="A182" t="str">
            <v>ABELL_0576</v>
          </cell>
          <cell r="B182">
            <v>3.8899999999999997E-2</v>
          </cell>
          <cell r="D182">
            <v>110.3766</v>
          </cell>
          <cell r="E182">
            <v>55.761600000000001</v>
          </cell>
        </row>
        <row r="183">
          <cell r="A183" t="str">
            <v>ABELL_0578</v>
          </cell>
          <cell r="B183">
            <v>8.6999999999999994E-2</v>
          </cell>
          <cell r="D183">
            <v>111.223</v>
          </cell>
          <cell r="E183">
            <v>66.985399999999998</v>
          </cell>
        </row>
        <row r="184">
          <cell r="A184" t="str">
            <v>ABELL_0586</v>
          </cell>
          <cell r="B184">
            <v>0.17100000000000001</v>
          </cell>
          <cell r="D184">
            <v>113.0847</v>
          </cell>
          <cell r="E184">
            <v>31.6325</v>
          </cell>
        </row>
        <row r="185">
          <cell r="A185" t="str">
            <v>ZwCl_0735.7+7421</v>
          </cell>
          <cell r="B185">
            <v>0.216</v>
          </cell>
          <cell r="D185">
            <v>115.4346</v>
          </cell>
          <cell r="E185">
            <v>74.244</v>
          </cell>
        </row>
        <row r="186">
          <cell r="A186" t="str">
            <v>FBQS_J074417.4+375317</v>
          </cell>
          <cell r="B186">
            <v>1.0686</v>
          </cell>
          <cell r="D186">
            <v>116.0724</v>
          </cell>
          <cell r="E186">
            <v>37.887799999999999</v>
          </cell>
        </row>
        <row r="187">
          <cell r="A187" t="str">
            <v>MACS_J0744.9+3927</v>
          </cell>
          <cell r="B187">
            <v>0.69799999999999995</v>
          </cell>
          <cell r="D187">
            <v>116.2201</v>
          </cell>
          <cell r="E187">
            <v>39.457299999999996</v>
          </cell>
        </row>
        <row r="188">
          <cell r="A188" t="str">
            <v>PKS_0745-19</v>
          </cell>
          <cell r="B188">
            <v>0.10299999999999999</v>
          </cell>
          <cell r="D188">
            <v>116.87949999999999</v>
          </cell>
          <cell r="E188">
            <v>-19.294699999999999</v>
          </cell>
        </row>
        <row r="189">
          <cell r="A189" t="str">
            <v>WBL_154</v>
          </cell>
          <cell r="B189">
            <v>2.1999999999999999E-2</v>
          </cell>
          <cell r="D189">
            <v>117.8364</v>
          </cell>
          <cell r="E189">
            <v>50.233899999999998</v>
          </cell>
        </row>
        <row r="190">
          <cell r="A190" t="str">
            <v>ABELL_0598</v>
          </cell>
          <cell r="B190">
            <v>0.189</v>
          </cell>
          <cell r="D190">
            <v>117.855</v>
          </cell>
          <cell r="E190">
            <v>17.5139</v>
          </cell>
        </row>
        <row r="191">
          <cell r="A191" t="str">
            <v>ABELL_0611</v>
          </cell>
          <cell r="B191">
            <v>0.28799999999999998</v>
          </cell>
          <cell r="D191">
            <v>120.23699999999999</v>
          </cell>
          <cell r="E191">
            <v>36.056600000000003</v>
          </cell>
        </row>
        <row r="192">
          <cell r="A192" t="str">
            <v>ZwCl_0806.5+2822</v>
          </cell>
          <cell r="B192">
            <v>0.3</v>
          </cell>
          <cell r="D192">
            <v>122.4251</v>
          </cell>
          <cell r="E192">
            <v>28.202300000000001</v>
          </cell>
        </row>
        <row r="193">
          <cell r="A193" t="str">
            <v>SDSS-C4_3062</v>
          </cell>
          <cell r="B193">
            <v>6.4000000000000001E-2</v>
          </cell>
          <cell r="D193">
            <v>122.5973</v>
          </cell>
          <cell r="E193">
            <v>42.273899999999998</v>
          </cell>
        </row>
        <row r="194">
          <cell r="A194" t="str">
            <v>ABELL_0644</v>
          </cell>
          <cell r="B194">
            <v>7.0000000000000007E-2</v>
          </cell>
          <cell r="D194">
            <v>124.35850000000001</v>
          </cell>
          <cell r="E194">
            <v>-7.5087999999999999</v>
          </cell>
        </row>
        <row r="195">
          <cell r="A195" t="str">
            <v>MCXC_J0819.6+6336</v>
          </cell>
          <cell r="B195">
            <v>0.11899999999999999</v>
          </cell>
          <cell r="D195">
            <v>124.858</v>
          </cell>
          <cell r="E195">
            <v>63.623800000000003</v>
          </cell>
        </row>
        <row r="196">
          <cell r="A196" t="str">
            <v>NGC_2563_GROUP</v>
          </cell>
          <cell r="B196">
            <v>1.6299999999999999E-2</v>
          </cell>
          <cell r="D196">
            <v>125.1485</v>
          </cell>
          <cell r="E196">
            <v>21.067900000000002</v>
          </cell>
        </row>
        <row r="197">
          <cell r="A197" t="str">
            <v>UGCl_120</v>
          </cell>
          <cell r="B197">
            <v>2.9000000000000001E-2</v>
          </cell>
          <cell r="D197">
            <v>125.8402</v>
          </cell>
          <cell r="E197">
            <v>4.3726000000000003</v>
          </cell>
        </row>
        <row r="198">
          <cell r="A198" t="str">
            <v>ZwCl_0823.2+0425</v>
          </cell>
          <cell r="B198">
            <v>0.22500000000000001</v>
          </cell>
          <cell r="D198">
            <v>126.4913</v>
          </cell>
          <cell r="E198">
            <v>4.2466999999999997</v>
          </cell>
        </row>
        <row r="199">
          <cell r="A199" t="str">
            <v>ABELL_0665</v>
          </cell>
          <cell r="B199">
            <v>0.182</v>
          </cell>
          <cell r="D199">
            <v>127.74679999999999</v>
          </cell>
          <cell r="E199">
            <v>65.839500000000001</v>
          </cell>
        </row>
        <row r="200">
          <cell r="A200" t="str">
            <v>2MFGC_06756</v>
          </cell>
          <cell r="B200">
            <v>0.24099999999999999</v>
          </cell>
          <cell r="D200">
            <v>128.72839999999999</v>
          </cell>
          <cell r="E200">
            <v>55.572200000000002</v>
          </cell>
        </row>
        <row r="201">
          <cell r="A201" t="str">
            <v>400d_J0838+1948</v>
          </cell>
          <cell r="B201">
            <v>0.123</v>
          </cell>
          <cell r="D201">
            <v>129.62880000000001</v>
          </cell>
          <cell r="E201">
            <v>19.805499999999999</v>
          </cell>
        </row>
        <row r="202">
          <cell r="A202" t="str">
            <v>ABELL_3411</v>
          </cell>
          <cell r="B202">
            <v>0.16900000000000001</v>
          </cell>
          <cell r="D202">
            <v>130.46639999999999</v>
          </cell>
          <cell r="E202">
            <v>-17.462700000000002</v>
          </cell>
        </row>
        <row r="203">
          <cell r="A203" t="str">
            <v>NSC_J084254+292723</v>
          </cell>
          <cell r="B203">
            <v>0.19400000000000001</v>
          </cell>
          <cell r="D203">
            <v>130.7329</v>
          </cell>
          <cell r="E203">
            <v>29.457599999999999</v>
          </cell>
        </row>
        <row r="204">
          <cell r="A204" t="str">
            <v>ABELL_0697</v>
          </cell>
          <cell r="B204">
            <v>0.28199999999999997</v>
          </cell>
          <cell r="D204">
            <v>130.73990000000001</v>
          </cell>
          <cell r="E204">
            <v>36.366399999999999</v>
          </cell>
        </row>
        <row r="205">
          <cell r="A205" t="str">
            <v>RX_J0848.8+4455</v>
          </cell>
          <cell r="B205">
            <v>0.54300000000000004</v>
          </cell>
          <cell r="D205">
            <v>132.19900000000001</v>
          </cell>
          <cell r="E205">
            <v>44.937800000000003</v>
          </cell>
        </row>
        <row r="206">
          <cell r="A206" t="str">
            <v>ZwCL_0847.2+3617</v>
          </cell>
          <cell r="B206">
            <v>0.378</v>
          </cell>
          <cell r="D206">
            <v>132.52780000000001</v>
          </cell>
          <cell r="E206">
            <v>36.071199999999997</v>
          </cell>
        </row>
        <row r="207">
          <cell r="A207" t="str">
            <v>ZwCl_0848.5+3341</v>
          </cell>
          <cell r="B207">
            <v>0.371</v>
          </cell>
          <cell r="D207">
            <v>132.91210000000001</v>
          </cell>
          <cell r="E207">
            <v>33.518799999999999</v>
          </cell>
        </row>
        <row r="208">
          <cell r="A208" t="str">
            <v>ZwCl_0857.9+2107</v>
          </cell>
          <cell r="B208">
            <v>0.23</v>
          </cell>
          <cell r="D208">
            <v>135.15350000000001</v>
          </cell>
          <cell r="E208">
            <v>20.894400000000001</v>
          </cell>
        </row>
        <row r="209">
          <cell r="A209" t="str">
            <v>ABELL_0744</v>
          </cell>
          <cell r="B209">
            <v>7.2999999999999995E-2</v>
          </cell>
          <cell r="D209">
            <v>136.8355</v>
          </cell>
          <cell r="E209">
            <v>16.651700000000002</v>
          </cell>
        </row>
        <row r="210">
          <cell r="A210" t="str">
            <v>SDSS_+137.3+11.0+0.18</v>
          </cell>
          <cell r="B210">
            <v>0.18</v>
          </cell>
          <cell r="D210">
            <v>137.3031</v>
          </cell>
          <cell r="E210">
            <v>10.9748</v>
          </cell>
        </row>
        <row r="211">
          <cell r="A211" t="str">
            <v>ABELL_0754</v>
          </cell>
          <cell r="B211">
            <v>5.4199999999999998E-2</v>
          </cell>
          <cell r="D211">
            <v>137.32730000000001</v>
          </cell>
          <cell r="E211">
            <v>-9.6859000000000002</v>
          </cell>
        </row>
        <row r="212">
          <cell r="A212" t="str">
            <v>MACS_J0911.2+1746</v>
          </cell>
          <cell r="B212">
            <v>0.505</v>
          </cell>
          <cell r="D212">
            <v>137.7988</v>
          </cell>
          <cell r="E212">
            <v>17.775700000000001</v>
          </cell>
        </row>
        <row r="213">
          <cell r="A213" t="str">
            <v>HCG_037</v>
          </cell>
          <cell r="B213">
            <v>2.1999999999999999E-2</v>
          </cell>
          <cell r="D213">
            <v>138.41460000000001</v>
          </cell>
          <cell r="E213">
            <v>29.992799999999999</v>
          </cell>
        </row>
        <row r="214">
          <cell r="A214" t="str">
            <v>2MASSi_J0913454+405628</v>
          </cell>
          <cell r="B214">
            <v>0.442</v>
          </cell>
          <cell r="D214">
            <v>138.43950000000001</v>
          </cell>
          <cell r="E214">
            <v>40.941299999999998</v>
          </cell>
        </row>
        <row r="215">
          <cell r="A215" t="str">
            <v>ABELL_0773</v>
          </cell>
          <cell r="B215">
            <v>0.217</v>
          </cell>
          <cell r="D215">
            <v>139.47110000000001</v>
          </cell>
          <cell r="E215">
            <v>51.728000000000002</v>
          </cell>
        </row>
        <row r="216">
          <cell r="A216" t="str">
            <v>Hydra_A</v>
          </cell>
          <cell r="B216">
            <v>5.5E-2</v>
          </cell>
          <cell r="D216">
            <v>139.52459999999999</v>
          </cell>
          <cell r="E216">
            <v>-12.095700000000001</v>
          </cell>
        </row>
        <row r="217">
          <cell r="A217" t="str">
            <v>WHL_J091834.3+295318</v>
          </cell>
          <cell r="B217">
            <v>0.28899999999999998</v>
          </cell>
          <cell r="D217">
            <v>139.65020000000001</v>
          </cell>
          <cell r="E217">
            <v>29.8919</v>
          </cell>
        </row>
        <row r="218">
          <cell r="A218" t="str">
            <v>NSC_J092017+303027</v>
          </cell>
          <cell r="B218">
            <v>0.25800000000000001</v>
          </cell>
          <cell r="D218">
            <v>140.11179999999999</v>
          </cell>
          <cell r="E218">
            <v>30.492699999999999</v>
          </cell>
        </row>
        <row r="219">
          <cell r="A219" t="str">
            <v>WHL_J092207.6+034558</v>
          </cell>
          <cell r="B219">
            <v>0.28000000000000003</v>
          </cell>
          <cell r="D219">
            <v>140.5428</v>
          </cell>
          <cell r="E219">
            <v>3.7774999999999999</v>
          </cell>
        </row>
        <row r="220">
          <cell r="A220" t="str">
            <v>ABELL_0795</v>
          </cell>
          <cell r="B220">
            <v>0.13600000000000001</v>
          </cell>
          <cell r="D220">
            <v>141.0241</v>
          </cell>
          <cell r="E220">
            <v>14.1739</v>
          </cell>
        </row>
        <row r="221">
          <cell r="A221" t="str">
            <v>400d_J0926+1242</v>
          </cell>
          <cell r="B221">
            <v>0.48899999999999999</v>
          </cell>
          <cell r="D221">
            <v>141.65309999999999</v>
          </cell>
          <cell r="E221">
            <v>12.7178</v>
          </cell>
        </row>
        <row r="222">
          <cell r="A222" t="str">
            <v>UGC_05088_GROUP</v>
          </cell>
          <cell r="B222">
            <v>2.7E-2</v>
          </cell>
          <cell r="D222">
            <v>143.35730000000001</v>
          </cell>
          <cell r="E222">
            <v>34.048099999999998</v>
          </cell>
        </row>
        <row r="223">
          <cell r="A223" t="str">
            <v>WHL_J093820.9+520243</v>
          </cell>
          <cell r="B223">
            <v>0.36</v>
          </cell>
          <cell r="D223">
            <v>144.5847</v>
          </cell>
          <cell r="E223">
            <v>52.048400000000001</v>
          </cell>
        </row>
        <row r="224">
          <cell r="A224" t="str">
            <v>ABELL_0853</v>
          </cell>
          <cell r="B224">
            <v>0.16600000000000001</v>
          </cell>
          <cell r="D224">
            <v>145.5609</v>
          </cell>
          <cell r="E224">
            <v>15.3818</v>
          </cell>
        </row>
        <row r="225">
          <cell r="A225" t="str">
            <v>ABELL_0868</v>
          </cell>
          <cell r="B225">
            <v>0.153</v>
          </cell>
          <cell r="D225">
            <v>146.35890000000001</v>
          </cell>
          <cell r="E225">
            <v>-8.6568000000000005</v>
          </cell>
        </row>
        <row r="226">
          <cell r="A226" t="str">
            <v>GALEX_J094712.4+762313</v>
          </cell>
          <cell r="B226">
            <v>0.35399999999999998</v>
          </cell>
          <cell r="D226">
            <v>146.80279999999999</v>
          </cell>
          <cell r="E226">
            <v>76.387100000000004</v>
          </cell>
        </row>
        <row r="227">
          <cell r="A227" t="str">
            <v>MACS_J0949.8+1708</v>
          </cell>
          <cell r="B227">
            <v>0.38300000000000001</v>
          </cell>
          <cell r="D227">
            <v>147.46520000000001</v>
          </cell>
          <cell r="E227">
            <v>17.1187</v>
          </cell>
        </row>
        <row r="228">
          <cell r="A228" t="str">
            <v>ZwCl_0949.6+5207</v>
          </cell>
          <cell r="B228">
            <v>0.214</v>
          </cell>
          <cell r="D228">
            <v>148.2056</v>
          </cell>
          <cell r="E228">
            <v>51.8842</v>
          </cell>
        </row>
        <row r="229">
          <cell r="A229" t="str">
            <v>XMMU_J0954+1738</v>
          </cell>
          <cell r="B229">
            <v>0.82799999999999996</v>
          </cell>
          <cell r="D229">
            <v>148.57069999999999</v>
          </cell>
          <cell r="E229">
            <v>17.634899999999998</v>
          </cell>
        </row>
        <row r="230">
          <cell r="A230" t="str">
            <v>400d_J0956+4107</v>
          </cell>
          <cell r="B230">
            <v>0.58699999999999997</v>
          </cell>
          <cell r="D230">
            <v>149.01140000000001</v>
          </cell>
          <cell r="E230">
            <v>41.122599999999998</v>
          </cell>
        </row>
        <row r="231">
          <cell r="A231" t="str">
            <v>ABELL_0907</v>
          </cell>
          <cell r="B231">
            <v>0.153</v>
          </cell>
          <cell r="D231">
            <v>149.5917</v>
          </cell>
          <cell r="E231">
            <v>-11.064</v>
          </cell>
        </row>
        <row r="232">
          <cell r="A232" t="str">
            <v>PLCKESZ_G264.41+19.48</v>
          </cell>
          <cell r="B232">
            <v>0.24</v>
          </cell>
          <cell r="D232">
            <v>150.0067</v>
          </cell>
          <cell r="E232">
            <v>-30.277200000000001</v>
          </cell>
        </row>
        <row r="233">
          <cell r="A233" t="str">
            <v>HCG_042</v>
          </cell>
          <cell r="B233">
            <v>1.3299999999999999E-2</v>
          </cell>
          <cell r="D233">
            <v>150.05930000000001</v>
          </cell>
          <cell r="E233">
            <v>-19.636299999999999</v>
          </cell>
        </row>
        <row r="234">
          <cell r="A234" t="str">
            <v>MCXC_J1000.5+4409</v>
          </cell>
          <cell r="B234">
            <v>0.154</v>
          </cell>
          <cell r="D234">
            <v>150.13069999999999</v>
          </cell>
          <cell r="E234">
            <v>44.145800000000001</v>
          </cell>
        </row>
        <row r="235">
          <cell r="A235" t="str">
            <v>MACS_J1006.9+3200</v>
          </cell>
          <cell r="B235">
            <v>0.35899999999999999</v>
          </cell>
          <cell r="D235">
            <v>151.72800000000001</v>
          </cell>
          <cell r="E235">
            <v>32.028599999999997</v>
          </cell>
        </row>
        <row r="236">
          <cell r="A236" t="str">
            <v>ZwCl_1006.1+1201</v>
          </cell>
          <cell r="B236">
            <v>0.221</v>
          </cell>
          <cell r="D236">
            <v>152.19810000000001</v>
          </cell>
          <cell r="E236">
            <v>11.790800000000001</v>
          </cell>
        </row>
        <row r="237">
          <cell r="A237" t="str">
            <v>MCXC_J1010.5-1239</v>
          </cell>
          <cell r="B237">
            <v>0.30099999999999999</v>
          </cell>
          <cell r="D237">
            <v>152.63550000000001</v>
          </cell>
          <cell r="E237">
            <v>-12.6633</v>
          </cell>
        </row>
        <row r="238">
          <cell r="A238" t="str">
            <v>ABELL_0963</v>
          </cell>
          <cell r="B238">
            <v>0.20599999999999999</v>
          </cell>
          <cell r="D238">
            <v>154.26519999999999</v>
          </cell>
          <cell r="E238">
            <v>39.0471</v>
          </cell>
        </row>
        <row r="239">
          <cell r="A239" t="str">
            <v>ABELL_0970</v>
          </cell>
          <cell r="B239">
            <v>5.8999999999999997E-2</v>
          </cell>
          <cell r="D239">
            <v>154.34809999999999</v>
          </cell>
          <cell r="E239">
            <v>-10.6851</v>
          </cell>
        </row>
        <row r="240">
          <cell r="A240" t="str">
            <v>MCXC_J1022.0+3830</v>
          </cell>
          <cell r="B240">
            <v>4.9000000000000002E-2</v>
          </cell>
          <cell r="D240">
            <v>155.54159999999999</v>
          </cell>
          <cell r="E240">
            <v>38.523000000000003</v>
          </cell>
        </row>
        <row r="241">
          <cell r="A241" t="str">
            <v>ABELL_0980</v>
          </cell>
          <cell r="B241">
            <v>0.158</v>
          </cell>
          <cell r="D241">
            <v>155.6182</v>
          </cell>
          <cell r="E241">
            <v>50.106099999999998</v>
          </cell>
        </row>
        <row r="242">
          <cell r="A242" t="str">
            <v>BLOX_J1023.6+0411.1</v>
          </cell>
          <cell r="B242">
            <v>0.29099999999999998</v>
          </cell>
          <cell r="D242">
            <v>155.91540000000001</v>
          </cell>
          <cell r="E242">
            <v>4.1863000000000001</v>
          </cell>
        </row>
        <row r="243">
          <cell r="A243" t="str">
            <v>WHL_J102339.9+490838</v>
          </cell>
          <cell r="B243">
            <v>0.14399999999999999</v>
          </cell>
          <cell r="D243">
            <v>155.9162</v>
          </cell>
          <cell r="E243">
            <v>49.144500000000001</v>
          </cell>
        </row>
        <row r="244">
          <cell r="A244" t="str">
            <v>ABELL_3444</v>
          </cell>
          <cell r="B244">
            <v>0.253</v>
          </cell>
          <cell r="D244">
            <v>155.95920000000001</v>
          </cell>
          <cell r="E244">
            <v>-27.256399999999999</v>
          </cell>
        </row>
        <row r="245">
          <cell r="A245" t="str">
            <v>SDSS_J1029+2623</v>
          </cell>
          <cell r="B245">
            <v>0.58399999999999996</v>
          </cell>
          <cell r="D245">
            <v>157.30070000000001</v>
          </cell>
          <cell r="E245">
            <v>26.3931</v>
          </cell>
        </row>
        <row r="246">
          <cell r="A246" t="str">
            <v>ABELL_1033</v>
          </cell>
          <cell r="B246">
            <v>0.126</v>
          </cell>
          <cell r="D246">
            <v>157.93629999999999</v>
          </cell>
          <cell r="E246">
            <v>35.040700000000001</v>
          </cell>
        </row>
        <row r="247">
          <cell r="A247" t="str">
            <v>Hydra_Cluster</v>
          </cell>
          <cell r="B247">
            <v>1.26E-2</v>
          </cell>
          <cell r="D247">
            <v>159.1782</v>
          </cell>
          <cell r="E247">
            <v>-27.526900000000001</v>
          </cell>
        </row>
        <row r="248">
          <cell r="A248" t="str">
            <v>SDSSCGB_08842</v>
          </cell>
          <cell r="B248">
            <v>0.42599999999999999</v>
          </cell>
          <cell r="D248">
            <v>159.67859999999999</v>
          </cell>
          <cell r="E248">
            <v>48.822400000000002</v>
          </cell>
        </row>
        <row r="249">
          <cell r="A249" t="str">
            <v>_EAD2007__188</v>
          </cell>
          <cell r="B249">
            <v>7.1999999999999995E-2</v>
          </cell>
          <cell r="D249">
            <v>159.91149999999999</v>
          </cell>
          <cell r="E249">
            <v>5.1757</v>
          </cell>
        </row>
        <row r="250">
          <cell r="A250" t="str">
            <v>ABELL_1068</v>
          </cell>
          <cell r="B250">
            <v>0.13800000000000001</v>
          </cell>
          <cell r="D250">
            <v>160.18549999999999</v>
          </cell>
          <cell r="E250">
            <v>39.953400000000002</v>
          </cell>
        </row>
        <row r="251">
          <cell r="A251" t="str">
            <v>NGC_3402_GROUP</v>
          </cell>
          <cell r="B251">
            <v>1.4999999999999999E-2</v>
          </cell>
          <cell r="D251">
            <v>162.6086</v>
          </cell>
          <cell r="E251">
            <v>-12.845000000000001</v>
          </cell>
        </row>
        <row r="252">
          <cell r="A252" t="str">
            <v>MCXC_J1053.7+5452</v>
          </cell>
          <cell r="B252">
            <v>7.0000000000000007E-2</v>
          </cell>
          <cell r="D252">
            <v>163.38419999999999</v>
          </cell>
          <cell r="E252">
            <v>54.875399999999999</v>
          </cell>
        </row>
        <row r="253">
          <cell r="A253" t="str">
            <v>BLOX_J1056.9-0337.3</v>
          </cell>
          <cell r="B253">
            <v>0.82299999999999995</v>
          </cell>
          <cell r="D253">
            <v>164.23269999999999</v>
          </cell>
          <cell r="E253">
            <v>-3.6272000000000002</v>
          </cell>
        </row>
        <row r="254">
          <cell r="A254" t="str">
            <v>ABELL_1142</v>
          </cell>
          <cell r="B254">
            <v>3.5000000000000003E-2</v>
          </cell>
          <cell r="D254">
            <v>165.1936</v>
          </cell>
          <cell r="E254">
            <v>10.547800000000001</v>
          </cell>
        </row>
        <row r="255">
          <cell r="A255" t="str">
            <v>MACS_J1105.7-1014</v>
          </cell>
          <cell r="B255">
            <v>0.46600000000000003</v>
          </cell>
          <cell r="D255">
            <v>166.4435</v>
          </cell>
          <cell r="E255">
            <v>-10.2438</v>
          </cell>
        </row>
        <row r="256">
          <cell r="A256" t="str">
            <v>MACS_J1108.9+0906</v>
          </cell>
          <cell r="B256">
            <v>0.44900000000000001</v>
          </cell>
          <cell r="D256">
            <v>167.2304</v>
          </cell>
          <cell r="E256">
            <v>9.0989000000000004</v>
          </cell>
        </row>
        <row r="257">
          <cell r="A257" t="str">
            <v>NGC_3551</v>
          </cell>
          <cell r="B257">
            <v>3.2000000000000001E-2</v>
          </cell>
          <cell r="D257">
            <v>167.43520000000001</v>
          </cell>
          <cell r="E257">
            <v>21.7591</v>
          </cell>
        </row>
        <row r="258">
          <cell r="A258" t="str">
            <v>1RXS_J111039.6+284316</v>
          </cell>
          <cell r="B258">
            <v>2.1999999999999999E-2</v>
          </cell>
          <cell r="D258">
            <v>167.66900000000001</v>
          </cell>
          <cell r="E258">
            <v>28.713799999999999</v>
          </cell>
        </row>
        <row r="259">
          <cell r="A259" t="str">
            <v>ABELL_1190</v>
          </cell>
          <cell r="B259">
            <v>7.4999999999999997E-2</v>
          </cell>
          <cell r="D259">
            <v>167.91589999999999</v>
          </cell>
          <cell r="E259">
            <v>40.840200000000003</v>
          </cell>
        </row>
        <row r="260">
          <cell r="A260" t="str">
            <v>ABELL_1201</v>
          </cell>
          <cell r="B260">
            <v>0.16900000000000001</v>
          </cell>
          <cell r="D260">
            <v>168.2278</v>
          </cell>
          <cell r="E260">
            <v>13.4339</v>
          </cell>
        </row>
        <row r="261">
          <cell r="A261" t="str">
            <v>WARP_J1113.0-2615</v>
          </cell>
          <cell r="B261">
            <v>0.72499999999999998</v>
          </cell>
          <cell r="D261">
            <v>168.27170000000001</v>
          </cell>
          <cell r="E261">
            <v>-26.260999999999999</v>
          </cell>
        </row>
        <row r="262">
          <cell r="A262" t="str">
            <v>ABELL_1204</v>
          </cell>
          <cell r="B262">
            <v>0.17100000000000001</v>
          </cell>
          <cell r="D262">
            <v>168.33510000000001</v>
          </cell>
          <cell r="E262">
            <v>17.5944</v>
          </cell>
        </row>
        <row r="263">
          <cell r="A263" t="str">
            <v>SDSS_J1115+5319_CLUSTER</v>
          </cell>
          <cell r="B263">
            <v>0.46600000000000003</v>
          </cell>
          <cell r="D263">
            <v>168.8116</v>
          </cell>
          <cell r="E263">
            <v>53.333300000000001</v>
          </cell>
        </row>
        <row r="264">
          <cell r="A264" t="str">
            <v>MACS_J1115.8+0129</v>
          </cell>
          <cell r="B264">
            <v>0.35199999999999998</v>
          </cell>
          <cell r="D264">
            <v>168.96610000000001</v>
          </cell>
          <cell r="E264">
            <v>1.4990000000000001</v>
          </cell>
        </row>
        <row r="265">
          <cell r="A265" t="str">
            <v>WARP_J1120.1+4318</v>
          </cell>
          <cell r="B265">
            <v>0.6</v>
          </cell>
          <cell r="D265">
            <v>170.02959999999999</v>
          </cell>
          <cell r="E265">
            <v>43.302199999999999</v>
          </cell>
        </row>
        <row r="266">
          <cell r="A266" t="str">
            <v>400d_J1120+2326</v>
          </cell>
          <cell r="B266">
            <v>0.56200000000000006</v>
          </cell>
          <cell r="D266">
            <v>170.2379</v>
          </cell>
          <cell r="E266">
            <v>23.4419</v>
          </cell>
        </row>
        <row r="267">
          <cell r="A267" t="str">
            <v>HCG_051</v>
          </cell>
          <cell r="B267">
            <v>2.5999999999999999E-2</v>
          </cell>
          <cell r="D267">
            <v>170.60980000000001</v>
          </cell>
          <cell r="E267">
            <v>24.2986</v>
          </cell>
        </row>
        <row r="268">
          <cell r="A268" t="str">
            <v>MCXC_J1130.0+3637</v>
          </cell>
          <cell r="B268">
            <v>0.06</v>
          </cell>
          <cell r="D268">
            <v>172.51310000000001</v>
          </cell>
          <cell r="E268">
            <v>36.637</v>
          </cell>
        </row>
        <row r="269">
          <cell r="A269" t="str">
            <v>ABELL_1285</v>
          </cell>
          <cell r="B269">
            <v>0.106</v>
          </cell>
          <cell r="D269">
            <v>172.5932</v>
          </cell>
          <cell r="E269">
            <v>-14.5807</v>
          </cell>
        </row>
        <row r="270">
          <cell r="A270" t="str">
            <v>ABELL_1300</v>
          </cell>
          <cell r="B270">
            <v>0.307</v>
          </cell>
          <cell r="D270">
            <v>172.97749999999999</v>
          </cell>
          <cell r="E270">
            <v>-19.929099999999998</v>
          </cell>
        </row>
        <row r="271">
          <cell r="A271" t="str">
            <v>ClG_1137.5+6625</v>
          </cell>
          <cell r="B271">
            <v>0.78200000000000003</v>
          </cell>
          <cell r="D271">
            <v>175.09350000000001</v>
          </cell>
          <cell r="E271">
            <v>66.137600000000006</v>
          </cell>
        </row>
        <row r="272">
          <cell r="A272" t="str">
            <v>WHL_J114224.8+583205</v>
          </cell>
          <cell r="B272">
            <v>0.311</v>
          </cell>
          <cell r="D272">
            <v>175.59800000000001</v>
          </cell>
          <cell r="E272">
            <v>58.520299999999999</v>
          </cell>
        </row>
        <row r="273">
          <cell r="A273" t="str">
            <v>ABELL_1361</v>
          </cell>
          <cell r="B273">
            <v>0.1171</v>
          </cell>
          <cell r="D273">
            <v>175.9151</v>
          </cell>
          <cell r="E273">
            <v>46.355699999999999</v>
          </cell>
        </row>
        <row r="274">
          <cell r="A274" t="str">
            <v>SDSS-C4-DR3_3018</v>
          </cell>
          <cell r="B274">
            <v>5.0999999999999997E-2</v>
          </cell>
          <cell r="D274">
            <v>176.80459999999999</v>
          </cell>
          <cell r="E274">
            <v>55.729100000000003</v>
          </cell>
        </row>
        <row r="275">
          <cell r="A275" t="str">
            <v>MACS_J1149.6+2223</v>
          </cell>
          <cell r="B275">
            <v>0.5444</v>
          </cell>
          <cell r="D275">
            <v>177.39940000000001</v>
          </cell>
          <cell r="E275">
            <v>22.398599999999998</v>
          </cell>
        </row>
        <row r="276">
          <cell r="A276" t="str">
            <v>ABELL_1413</v>
          </cell>
          <cell r="B276">
            <v>0.14299999999999999</v>
          </cell>
          <cell r="D276">
            <v>178.82470000000001</v>
          </cell>
          <cell r="E276">
            <v>23.4057</v>
          </cell>
        </row>
        <row r="277">
          <cell r="A277" t="str">
            <v>ABELL_1423</v>
          </cell>
          <cell r="B277">
            <v>0.21299999999999999</v>
          </cell>
          <cell r="D277">
            <v>179.3218</v>
          </cell>
          <cell r="E277">
            <v>33.610999999999997</v>
          </cell>
        </row>
        <row r="278">
          <cell r="A278" t="str">
            <v>GMBCG_J179.81192+49.79669</v>
          </cell>
          <cell r="B278">
            <v>0.38300000000000001</v>
          </cell>
          <cell r="D278">
            <v>179.80779999999999</v>
          </cell>
          <cell r="E278">
            <v>49.7943</v>
          </cell>
        </row>
        <row r="279">
          <cell r="A279" t="str">
            <v>SDSS-C4-DR3_3144</v>
          </cell>
          <cell r="B279">
            <v>8.1000000000000003E-2</v>
          </cell>
          <cell r="D279">
            <v>179.9675</v>
          </cell>
          <cell r="E279">
            <v>55.534799999999997</v>
          </cell>
        </row>
        <row r="280">
          <cell r="A280" t="str">
            <v>PLCKESZ_G292.51+21.98</v>
          </cell>
          <cell r="B280">
            <v>0.3</v>
          </cell>
          <cell r="D280">
            <v>180.2724</v>
          </cell>
          <cell r="E280">
            <v>-39.874499999999998</v>
          </cell>
        </row>
        <row r="281">
          <cell r="A281" t="str">
            <v>ABELL_1446</v>
          </cell>
          <cell r="B281">
            <v>0.10299999999999999</v>
          </cell>
          <cell r="D281">
            <v>180.51759999999999</v>
          </cell>
          <cell r="E281">
            <v>58.033200000000001</v>
          </cell>
        </row>
        <row r="282">
          <cell r="A282" t="str">
            <v>400d_J1202+5751</v>
          </cell>
          <cell r="B282">
            <v>0.67700000000000005</v>
          </cell>
          <cell r="D282">
            <v>180.57769999999999</v>
          </cell>
          <cell r="E282">
            <v>57.865900000000003</v>
          </cell>
        </row>
        <row r="283">
          <cell r="A283" t="str">
            <v>MKW_04</v>
          </cell>
          <cell r="B283">
            <v>0.02</v>
          </cell>
          <cell r="D283">
            <v>181.11340000000001</v>
          </cell>
          <cell r="E283">
            <v>1.8952</v>
          </cell>
        </row>
        <row r="284">
          <cell r="A284" t="str">
            <v>MACS_J1206.2-0847</v>
          </cell>
          <cell r="B284">
            <v>0.44</v>
          </cell>
          <cell r="D284">
            <v>181.5504</v>
          </cell>
          <cell r="E284">
            <v>-8.8004999999999995</v>
          </cell>
        </row>
        <row r="285">
          <cell r="A285" t="str">
            <v>400d_J1206-0744</v>
          </cell>
          <cell r="B285">
            <v>6.8000000000000005E-2</v>
          </cell>
          <cell r="D285">
            <v>181.63249999999999</v>
          </cell>
          <cell r="E285">
            <v>-7.7407000000000004</v>
          </cell>
        </row>
        <row r="286">
          <cell r="A286" t="str">
            <v>NGC_4104_GROUP</v>
          </cell>
          <cell r="B286">
            <v>2.8000000000000001E-2</v>
          </cell>
          <cell r="D286">
            <v>181.66210000000001</v>
          </cell>
          <cell r="E286">
            <v>28.174199999999999</v>
          </cell>
        </row>
        <row r="287">
          <cell r="A287" t="str">
            <v>MCXC_J1215.4-3900</v>
          </cell>
          <cell r="B287">
            <v>0.11899999999999999</v>
          </cell>
          <cell r="D287">
            <v>183.85300000000001</v>
          </cell>
          <cell r="E287">
            <v>-39.035499999999999</v>
          </cell>
        </row>
        <row r="288">
          <cell r="A288" t="str">
            <v>NSC_J121733+033929</v>
          </cell>
          <cell r="B288">
            <v>7.6999999999999999E-2</v>
          </cell>
          <cell r="D288">
            <v>184.42150000000001</v>
          </cell>
          <cell r="E288">
            <v>3.6555</v>
          </cell>
        </row>
        <row r="289">
          <cell r="A289" t="str">
            <v>NSCS_J121831+401236</v>
          </cell>
          <cell r="B289">
            <v>0.32</v>
          </cell>
          <cell r="D289">
            <v>184.62020000000001</v>
          </cell>
          <cell r="E289">
            <v>40.207500000000003</v>
          </cell>
        </row>
        <row r="290">
          <cell r="A290" t="str">
            <v>400d_J1221+4918</v>
          </cell>
          <cell r="B290">
            <v>0.7</v>
          </cell>
          <cell r="D290">
            <v>185.36689999999999</v>
          </cell>
          <cell r="E290">
            <v>49.306699999999999</v>
          </cell>
        </row>
        <row r="291">
          <cell r="A291" t="str">
            <v>NGC_4325_GROUP</v>
          </cell>
          <cell r="B291">
            <v>2.5000000000000001E-2</v>
          </cell>
          <cell r="D291">
            <v>185.77760000000001</v>
          </cell>
          <cell r="E291">
            <v>10.6213</v>
          </cell>
        </row>
        <row r="292">
          <cell r="A292" t="str">
            <v>NSCS_J122648+215157</v>
          </cell>
          <cell r="B292">
            <v>0.37</v>
          </cell>
          <cell r="D292">
            <v>186.7123</v>
          </cell>
          <cell r="E292">
            <v>21.8323</v>
          </cell>
        </row>
        <row r="293">
          <cell r="A293" t="str">
            <v>WARP_J1226.9+3332</v>
          </cell>
          <cell r="B293">
            <v>0.89</v>
          </cell>
          <cell r="D293">
            <v>186.7423</v>
          </cell>
          <cell r="E293">
            <v>33.546300000000002</v>
          </cell>
        </row>
        <row r="294">
          <cell r="A294" t="str">
            <v>MESSIER_049</v>
          </cell>
          <cell r="B294">
            <v>3.2699999999999999E-3</v>
          </cell>
          <cell r="D294">
            <v>187.4452</v>
          </cell>
          <cell r="E294">
            <v>8.0006000000000004</v>
          </cell>
        </row>
        <row r="295">
          <cell r="A295" t="str">
            <v>XMMU_J1230.3+1339</v>
          </cell>
          <cell r="B295">
            <v>0.97499999999999998</v>
          </cell>
          <cell r="D295">
            <v>187.5711</v>
          </cell>
          <cell r="E295">
            <v>13.651899999999999</v>
          </cell>
        </row>
        <row r="296">
          <cell r="A296" t="str">
            <v>ABELL_1553</v>
          </cell>
          <cell r="B296">
            <v>0.16500000000000001</v>
          </cell>
          <cell r="D296">
            <v>187.697</v>
          </cell>
          <cell r="E296">
            <v>10.554</v>
          </cell>
        </row>
        <row r="297">
          <cell r="A297" t="str">
            <v>MCXC_J1234.2+0947</v>
          </cell>
          <cell r="B297">
            <v>0.22900000000000001</v>
          </cell>
          <cell r="D297">
            <v>188.60079999999999</v>
          </cell>
          <cell r="E297">
            <v>9.7875999999999994</v>
          </cell>
        </row>
        <row r="298">
          <cell r="A298" t="str">
            <v>MESSIER_089</v>
          </cell>
          <cell r="B298">
            <v>1.1000000000000001E-3</v>
          </cell>
          <cell r="D298">
            <v>188.91569999999999</v>
          </cell>
          <cell r="E298">
            <v>12.556699999999999</v>
          </cell>
        </row>
        <row r="299">
          <cell r="A299" t="str">
            <v>ABELL_1569</v>
          </cell>
          <cell r="B299">
            <v>7.2999999999999995E-2</v>
          </cell>
          <cell r="D299">
            <v>189.1027</v>
          </cell>
          <cell r="E299">
            <v>16.5398</v>
          </cell>
        </row>
        <row r="300">
          <cell r="A300" t="str">
            <v>ABELL_1576</v>
          </cell>
          <cell r="B300">
            <v>0.27900000000000003</v>
          </cell>
          <cell r="D300">
            <v>189.24359999999999</v>
          </cell>
          <cell r="E300">
            <v>63.186799999999998</v>
          </cell>
        </row>
        <row r="301">
          <cell r="A301" t="str">
            <v>NGC_4636</v>
          </cell>
          <cell r="B301">
            <v>3.0999999999999999E-3</v>
          </cell>
          <cell r="D301">
            <v>190.70769999999999</v>
          </cell>
          <cell r="E301">
            <v>2.6877</v>
          </cell>
        </row>
        <row r="302">
          <cell r="A302" t="str">
            <v>Centaurus_Cluster</v>
          </cell>
          <cell r="B302">
            <v>1.14E-2</v>
          </cell>
          <cell r="D302">
            <v>192.20529999999999</v>
          </cell>
          <cell r="E302">
            <v>-41.311</v>
          </cell>
        </row>
        <row r="303">
          <cell r="A303" t="str">
            <v>MCXC_J1252.5-3116</v>
          </cell>
          <cell r="B303">
            <v>5.2999999999999999E-2</v>
          </cell>
          <cell r="D303">
            <v>193.1446</v>
          </cell>
          <cell r="E303">
            <v>-31.2666</v>
          </cell>
        </row>
        <row r="304">
          <cell r="A304" t="str">
            <v>NGC_4759_GROUP</v>
          </cell>
          <cell r="B304">
            <v>1.47E-2</v>
          </cell>
          <cell r="D304">
            <v>193.2739</v>
          </cell>
          <cell r="E304">
            <v>-9.2042999999999999</v>
          </cell>
        </row>
        <row r="305">
          <cell r="A305" t="str">
            <v>ABELL_3528B</v>
          </cell>
          <cell r="B305">
            <v>5.2999999999999999E-2</v>
          </cell>
          <cell r="D305">
            <v>193.5924</v>
          </cell>
          <cell r="E305">
            <v>-29.013000000000002</v>
          </cell>
        </row>
        <row r="306">
          <cell r="A306" t="str">
            <v>NGC_4782-3</v>
          </cell>
          <cell r="B306">
            <v>1.54E-2</v>
          </cell>
          <cell r="D306">
            <v>193.65039999999999</v>
          </cell>
          <cell r="E306">
            <v>-12.560700000000001</v>
          </cell>
        </row>
        <row r="307">
          <cell r="A307" t="str">
            <v>ABELL_1644</v>
          </cell>
          <cell r="B307">
            <v>4.7E-2</v>
          </cell>
          <cell r="D307">
            <v>194.3015</v>
          </cell>
          <cell r="E307">
            <v>-17.409199999999998</v>
          </cell>
        </row>
        <row r="308">
          <cell r="A308" t="str">
            <v>ABELL_3532</v>
          </cell>
          <cell r="B308">
            <v>5.5E-2</v>
          </cell>
          <cell r="D308">
            <v>194.34180000000001</v>
          </cell>
          <cell r="E308">
            <v>-30.363399999999999</v>
          </cell>
        </row>
        <row r="309">
          <cell r="A309" t="str">
            <v>NGC_4839</v>
          </cell>
          <cell r="B309">
            <v>2.46E-2</v>
          </cell>
          <cell r="D309">
            <v>194.35169999999999</v>
          </cell>
          <cell r="E309">
            <v>27.497699999999998</v>
          </cell>
        </row>
        <row r="310">
          <cell r="A310" t="str">
            <v>ABELL_1650</v>
          </cell>
          <cell r="B310">
            <v>8.4000000000000005E-2</v>
          </cell>
          <cell r="D310">
            <v>194.6728</v>
          </cell>
          <cell r="E310">
            <v>-1.762</v>
          </cell>
        </row>
        <row r="311">
          <cell r="A311" t="str">
            <v>ABELL_1651</v>
          </cell>
          <cell r="B311">
            <v>8.5000000000000006E-2</v>
          </cell>
          <cell r="D311">
            <v>194.84270000000001</v>
          </cell>
          <cell r="E311">
            <v>-4.1966000000000001</v>
          </cell>
        </row>
        <row r="312">
          <cell r="A312" t="str">
            <v>WHL_J125933.4+600409</v>
          </cell>
          <cell r="B312">
            <v>0.33</v>
          </cell>
          <cell r="D312">
            <v>194.8877</v>
          </cell>
          <cell r="E312">
            <v>60.070599999999999</v>
          </cell>
        </row>
        <row r="313">
          <cell r="A313" t="str">
            <v>NSC_J125947+312215</v>
          </cell>
          <cell r="B313">
            <v>5.8999999999999997E-2</v>
          </cell>
          <cell r="D313">
            <v>194.9665</v>
          </cell>
          <cell r="E313">
            <v>31.352</v>
          </cell>
        </row>
        <row r="314">
          <cell r="A314" t="str">
            <v>ABELL_1664</v>
          </cell>
          <cell r="B314">
            <v>0.128</v>
          </cell>
          <cell r="D314">
            <v>195.9271</v>
          </cell>
          <cell r="E314">
            <v>-24.245200000000001</v>
          </cell>
        </row>
        <row r="315">
          <cell r="A315" t="str">
            <v>ABELL_1668</v>
          </cell>
          <cell r="B315">
            <v>6.3E-2</v>
          </cell>
          <cell r="D315">
            <v>195.9442</v>
          </cell>
          <cell r="E315">
            <v>19.270299999999999</v>
          </cell>
        </row>
        <row r="316">
          <cell r="A316" t="str">
            <v>NGC4936-offset2</v>
          </cell>
          <cell r="B316">
            <v>1.03E-2</v>
          </cell>
          <cell r="D316">
            <v>196.07149999999999</v>
          </cell>
          <cell r="E316">
            <v>-30.5261</v>
          </cell>
        </row>
        <row r="317">
          <cell r="A317" t="str">
            <v>WHL_J130558.9+263048</v>
          </cell>
          <cell r="B317">
            <v>0.30499999999999999</v>
          </cell>
          <cell r="D317">
            <v>196.4983</v>
          </cell>
          <cell r="E317">
            <v>26.515699999999999</v>
          </cell>
        </row>
        <row r="318">
          <cell r="A318" t="str">
            <v>ABELL_1682</v>
          </cell>
          <cell r="B318">
            <v>0.23400000000000001</v>
          </cell>
          <cell r="D318">
            <v>196.708</v>
          </cell>
          <cell r="E318">
            <v>46.559199999999997</v>
          </cell>
        </row>
        <row r="319">
          <cell r="A319" t="str">
            <v>MACS_J1311.0-0311</v>
          </cell>
          <cell r="B319">
            <v>0.49399999999999999</v>
          </cell>
          <cell r="D319">
            <v>197.7569</v>
          </cell>
          <cell r="E319">
            <v>-3.1772999999999998</v>
          </cell>
        </row>
        <row r="320">
          <cell r="A320" t="str">
            <v>ABELL_1689</v>
          </cell>
          <cell r="B320">
            <v>0.183</v>
          </cell>
          <cell r="D320">
            <v>197.87299999999999</v>
          </cell>
          <cell r="E320">
            <v>-1.3411999999999999</v>
          </cell>
        </row>
        <row r="321">
          <cell r="A321" t="str">
            <v>400d_J1312+3900</v>
          </cell>
          <cell r="B321">
            <v>0.40400000000000003</v>
          </cell>
          <cell r="D321">
            <v>198.083</v>
          </cell>
          <cell r="E321">
            <v>39.015300000000003</v>
          </cell>
        </row>
        <row r="322">
          <cell r="A322" t="str">
            <v>WHL_J131505.2+514902</v>
          </cell>
          <cell r="B322">
            <v>0.29099999999999998</v>
          </cell>
          <cell r="D322">
            <v>198.76820000000001</v>
          </cell>
          <cell r="E322">
            <v>51.820099999999996</v>
          </cell>
        </row>
        <row r="323">
          <cell r="A323" t="str">
            <v>NGC_5044</v>
          </cell>
          <cell r="B323">
            <v>8.9999999999999993E-3</v>
          </cell>
          <cell r="D323">
            <v>198.84970000000001</v>
          </cell>
          <cell r="E323">
            <v>-16.385400000000001</v>
          </cell>
        </row>
        <row r="324">
          <cell r="A324" t="str">
            <v>ABELL_1722</v>
          </cell>
          <cell r="B324">
            <v>0.32800000000000001</v>
          </cell>
          <cell r="D324">
            <v>200.0351</v>
          </cell>
          <cell r="E324">
            <v>70.077100000000002</v>
          </cell>
        </row>
        <row r="325">
          <cell r="A325" t="str">
            <v>NGC_5098_GROUP</v>
          </cell>
          <cell r="B325">
            <v>3.6999999999999998E-2</v>
          </cell>
          <cell r="D325">
            <v>200.06100000000001</v>
          </cell>
          <cell r="E325">
            <v>33.143099999999997</v>
          </cell>
        </row>
        <row r="326">
          <cell r="A326" t="str">
            <v>NGC_5129</v>
          </cell>
          <cell r="B326">
            <v>2.3E-2</v>
          </cell>
          <cell r="D326">
            <v>201.04159999999999</v>
          </cell>
          <cell r="E326">
            <v>13.9755</v>
          </cell>
        </row>
        <row r="327">
          <cell r="A327" t="str">
            <v>ABELL_1736</v>
          </cell>
          <cell r="B327">
            <v>4.5999999999999999E-2</v>
          </cell>
          <cell r="D327">
            <v>201.72040000000001</v>
          </cell>
          <cell r="E327">
            <v>-27.170999999999999</v>
          </cell>
        </row>
        <row r="328">
          <cell r="A328" t="str">
            <v>ABELL_3558</v>
          </cell>
          <cell r="B328">
            <v>4.8000000000000001E-2</v>
          </cell>
          <cell r="D328">
            <v>201.98689999999999</v>
          </cell>
          <cell r="E328">
            <v>-31.4955</v>
          </cell>
        </row>
        <row r="329">
          <cell r="A329" t="str">
            <v>NGC_5171</v>
          </cell>
          <cell r="B329">
            <v>2.29E-2</v>
          </cell>
          <cell r="D329">
            <v>202.35400000000001</v>
          </cell>
          <cell r="E329">
            <v>11.762600000000001</v>
          </cell>
        </row>
        <row r="330">
          <cell r="A330" t="str">
            <v>SSGC_081</v>
          </cell>
          <cell r="B330">
            <v>0.05</v>
          </cell>
          <cell r="D330">
            <v>202.44900000000001</v>
          </cell>
          <cell r="E330">
            <v>-31.6069</v>
          </cell>
        </row>
        <row r="331">
          <cell r="A331" t="str">
            <v>a1750ss</v>
          </cell>
          <cell r="B331">
            <v>9.0999999999999998E-2</v>
          </cell>
          <cell r="D331">
            <v>202.53970000000001</v>
          </cell>
          <cell r="E331">
            <v>-2.0985999999999998</v>
          </cell>
        </row>
        <row r="332">
          <cell r="A332" t="str">
            <v>ABELL_1750C</v>
          </cell>
          <cell r="B332">
            <v>6.8000000000000005E-2</v>
          </cell>
          <cell r="D332">
            <v>202.7107</v>
          </cell>
          <cell r="E332">
            <v>-1.8617999999999999</v>
          </cell>
        </row>
        <row r="333">
          <cell r="A333" t="str">
            <v>ABELL_1750N</v>
          </cell>
          <cell r="B333">
            <v>8.4000000000000005E-2</v>
          </cell>
          <cell r="D333">
            <v>202.79560000000001</v>
          </cell>
          <cell r="E333">
            <v>-1.7282</v>
          </cell>
        </row>
        <row r="334">
          <cell r="A334" t="str">
            <v>2MASX_J13312961+1107566</v>
          </cell>
          <cell r="B334">
            <v>7.9000000000000001E-2</v>
          </cell>
          <cell r="D334">
            <v>202.8734</v>
          </cell>
          <cell r="E334">
            <v>11.1325</v>
          </cell>
        </row>
        <row r="335">
          <cell r="A335" t="str">
            <v>SC_1329-313</v>
          </cell>
          <cell r="B335">
            <v>4.8000000000000001E-2</v>
          </cell>
          <cell r="D335">
            <v>202.88079999999999</v>
          </cell>
          <cell r="E335">
            <v>-31.8245</v>
          </cell>
        </row>
        <row r="336">
          <cell r="A336" t="str">
            <v>ABELL_3560</v>
          </cell>
          <cell r="B336">
            <v>4.8899999999999999E-2</v>
          </cell>
          <cell r="D336">
            <v>203.1071</v>
          </cell>
          <cell r="E336">
            <v>-33.136000000000003</v>
          </cell>
        </row>
        <row r="337">
          <cell r="A337" t="str">
            <v>ABELL_1758</v>
          </cell>
          <cell r="B337">
            <v>0.27900000000000003</v>
          </cell>
          <cell r="D337">
            <v>203.20169999999999</v>
          </cell>
          <cell r="E337">
            <v>50.542400000000001</v>
          </cell>
        </row>
        <row r="338">
          <cell r="A338" t="str">
            <v>ABELL_3562</v>
          </cell>
          <cell r="B338">
            <v>4.9000000000000002E-2</v>
          </cell>
          <cell r="D338">
            <v>203.40549999999999</v>
          </cell>
          <cell r="E338">
            <v>-31.671600000000002</v>
          </cell>
        </row>
        <row r="339">
          <cell r="A339" t="str">
            <v>ABELL_1763</v>
          </cell>
          <cell r="B339">
            <v>0.223</v>
          </cell>
          <cell r="D339">
            <v>203.83330000000001</v>
          </cell>
          <cell r="E339">
            <v>41.000500000000002</v>
          </cell>
        </row>
        <row r="340">
          <cell r="A340" t="str">
            <v>ABELL_1767</v>
          </cell>
          <cell r="B340">
            <v>7.0000000000000007E-2</v>
          </cell>
          <cell r="D340">
            <v>204.0343</v>
          </cell>
          <cell r="E340">
            <v>59.205500000000001</v>
          </cell>
        </row>
        <row r="341">
          <cell r="A341" t="str">
            <v>400d_J1340+4017</v>
          </cell>
          <cell r="B341">
            <v>0.17100000000000001</v>
          </cell>
          <cell r="D341">
            <v>205.13650000000001</v>
          </cell>
          <cell r="E341">
            <v>40.294199999999996</v>
          </cell>
        </row>
        <row r="342">
          <cell r="A342" t="str">
            <v>ABELL_1775</v>
          </cell>
          <cell r="B342">
            <v>7.1999999999999995E-2</v>
          </cell>
          <cell r="D342">
            <v>205.45169999999999</v>
          </cell>
          <cell r="E342">
            <v>26.370899999999999</v>
          </cell>
        </row>
        <row r="343">
          <cell r="A343" t="str">
            <v>ABELL_3571</v>
          </cell>
          <cell r="B343">
            <v>3.9100000000000003E-2</v>
          </cell>
          <cell r="D343">
            <v>206.86850000000001</v>
          </cell>
          <cell r="E343">
            <v>-32.864600000000003</v>
          </cell>
        </row>
        <row r="344">
          <cell r="A344" t="str">
            <v>LCDCS_0829</v>
          </cell>
          <cell r="B344">
            <v>0.45100000000000001</v>
          </cell>
          <cell r="D344">
            <v>206.8776</v>
          </cell>
          <cell r="E344">
            <v>-11.7524</v>
          </cell>
        </row>
        <row r="345">
          <cell r="A345" t="str">
            <v>ABELL_1795</v>
          </cell>
          <cell r="B345">
            <v>6.25E-2</v>
          </cell>
          <cell r="D345">
            <v>207.22</v>
          </cell>
          <cell r="E345">
            <v>26.5899</v>
          </cell>
        </row>
        <row r="346">
          <cell r="A346" t="str">
            <v>WHL_J134850.2+491801</v>
          </cell>
          <cell r="B346">
            <v>0.16200000000000001</v>
          </cell>
          <cell r="D346">
            <v>207.2526</v>
          </cell>
          <cell r="E346">
            <v>49.311500000000002</v>
          </cell>
        </row>
        <row r="347">
          <cell r="A347" t="str">
            <v>400d_J1354-0221</v>
          </cell>
          <cell r="B347">
            <v>0.54600000000000004</v>
          </cell>
          <cell r="D347">
            <v>208.572</v>
          </cell>
          <cell r="E347">
            <v>-2.3673999999999999</v>
          </cell>
        </row>
        <row r="348">
          <cell r="A348" t="str">
            <v>MACS_J1354.6+7715</v>
          </cell>
          <cell r="B348">
            <v>0.39700000000000002</v>
          </cell>
          <cell r="D348">
            <v>208.6858</v>
          </cell>
          <cell r="E348">
            <v>77.255099999999999</v>
          </cell>
        </row>
        <row r="349">
          <cell r="A349" t="str">
            <v>WHL_J135716.8+623249</v>
          </cell>
          <cell r="B349">
            <v>0.56299999999999994</v>
          </cell>
          <cell r="D349">
            <v>209.31950000000001</v>
          </cell>
          <cell r="E349">
            <v>62.547199999999997</v>
          </cell>
        </row>
        <row r="350">
          <cell r="A350" t="str">
            <v>MACS_J1359.2-1929</v>
          </cell>
          <cell r="B350">
            <v>0.44700000000000001</v>
          </cell>
          <cell r="D350">
            <v>209.79259999999999</v>
          </cell>
          <cell r="E350">
            <v>-19.490300000000001</v>
          </cell>
        </row>
        <row r="351">
          <cell r="A351" t="str">
            <v>ABELL_1831</v>
          </cell>
          <cell r="B351">
            <v>6.0999999999999999E-2</v>
          </cell>
          <cell r="D351">
            <v>209.81559999999999</v>
          </cell>
          <cell r="E351">
            <v>27.975300000000001</v>
          </cell>
        </row>
        <row r="352">
          <cell r="A352" t="str">
            <v>WHL_J135949.5+623047</v>
          </cell>
          <cell r="B352">
            <v>0.32200000000000001</v>
          </cell>
          <cell r="D352">
            <v>209.96090000000001</v>
          </cell>
          <cell r="E352">
            <v>62.518000000000001</v>
          </cell>
        </row>
        <row r="353">
          <cell r="A353" t="str">
            <v>ABELL_1835</v>
          </cell>
          <cell r="B353">
            <v>0.253</v>
          </cell>
          <cell r="D353">
            <v>210.25810000000001</v>
          </cell>
          <cell r="E353">
            <v>2.8788999999999998</v>
          </cell>
        </row>
        <row r="354">
          <cell r="A354" t="str">
            <v>NGC5419-offset2</v>
          </cell>
          <cell r="B354">
            <v>1.38E-2</v>
          </cell>
          <cell r="D354">
            <v>210.9117</v>
          </cell>
          <cell r="E354">
            <v>-33.978099999999998</v>
          </cell>
        </row>
        <row r="355">
          <cell r="A355" t="str">
            <v>NGC5419-offset1</v>
          </cell>
          <cell r="B355">
            <v>1.38E-2</v>
          </cell>
          <cell r="D355">
            <v>210.9119</v>
          </cell>
          <cell r="E355">
            <v>-33.978299999999997</v>
          </cell>
        </row>
        <row r="356">
          <cell r="A356" t="str">
            <v>ABELL_3581</v>
          </cell>
          <cell r="B356">
            <v>2.3E-2</v>
          </cell>
          <cell r="D356">
            <v>211.8741</v>
          </cell>
          <cell r="E356">
            <v>-27.0183</v>
          </cell>
        </row>
        <row r="357">
          <cell r="A357" t="str">
            <v>3C_295</v>
          </cell>
          <cell r="B357">
            <v>0.46400000000000002</v>
          </cell>
          <cell r="D357">
            <v>212.83500000000001</v>
          </cell>
          <cell r="E357">
            <v>52.2029</v>
          </cell>
        </row>
        <row r="358">
          <cell r="A358" t="str">
            <v>G113.82+44.35</v>
          </cell>
          <cell r="B358">
            <v>0.22600000000000001</v>
          </cell>
          <cell r="D358">
            <v>213.4699</v>
          </cell>
          <cell r="E358">
            <v>71.300899999999999</v>
          </cell>
        </row>
        <row r="359">
          <cell r="A359" t="str">
            <v>A1882a</v>
          </cell>
          <cell r="B359">
            <v>0.14099999999999999</v>
          </cell>
          <cell r="D359">
            <v>213.77850000000001</v>
          </cell>
          <cell r="E359">
            <v>-0.49199999999999999</v>
          </cell>
        </row>
        <row r="360">
          <cell r="A360" t="str">
            <v>WARP_J1415.1+3612</v>
          </cell>
          <cell r="B360">
            <v>1.03</v>
          </cell>
          <cell r="D360">
            <v>213.7954</v>
          </cell>
          <cell r="E360">
            <v>36.202199999999998</v>
          </cell>
        </row>
        <row r="361">
          <cell r="A361" t="str">
            <v>WHL_J141623.8+444528</v>
          </cell>
          <cell r="B361">
            <v>0.38600000000000001</v>
          </cell>
          <cell r="D361">
            <v>214.11609999999999</v>
          </cell>
          <cell r="E361">
            <v>44.779200000000003</v>
          </cell>
        </row>
        <row r="362">
          <cell r="A362" t="str">
            <v>LCDCS_0954</v>
          </cell>
          <cell r="B362">
            <v>0.67</v>
          </cell>
          <cell r="D362">
            <v>215.11799999999999</v>
          </cell>
          <cell r="E362">
            <v>-11.570499999999999</v>
          </cell>
        </row>
        <row r="363">
          <cell r="A363" t="str">
            <v>GMBCG_J215.94948+24.07846</v>
          </cell>
          <cell r="B363">
            <v>0.54300000000000004</v>
          </cell>
          <cell r="D363">
            <v>215.9495</v>
          </cell>
          <cell r="E363">
            <v>24.078499999999998</v>
          </cell>
        </row>
        <row r="364">
          <cell r="A364" t="str">
            <v>ABELL_1914</v>
          </cell>
          <cell r="B364">
            <v>0.17100000000000001</v>
          </cell>
          <cell r="D364">
            <v>216.51320000000001</v>
          </cell>
          <cell r="E364">
            <v>37.823799999999999</v>
          </cell>
        </row>
        <row r="365">
          <cell r="A365" t="str">
            <v>WHL_J142716.1+440730</v>
          </cell>
          <cell r="B365">
            <v>0.498</v>
          </cell>
          <cell r="D365">
            <v>216.81720000000001</v>
          </cell>
          <cell r="E365">
            <v>44.1252</v>
          </cell>
        </row>
        <row r="366">
          <cell r="A366" t="str">
            <v>MACS_J1427.6-2521</v>
          </cell>
          <cell r="B366">
            <v>0.318</v>
          </cell>
          <cell r="D366">
            <v>216.9144</v>
          </cell>
          <cell r="E366">
            <v>-25.3508</v>
          </cell>
        </row>
        <row r="367">
          <cell r="A367" t="str">
            <v>ABELL_1930</v>
          </cell>
          <cell r="B367">
            <v>0.13100000000000001</v>
          </cell>
          <cell r="D367">
            <v>218.15819999999999</v>
          </cell>
          <cell r="E367">
            <v>31.647099999999998</v>
          </cell>
        </row>
        <row r="368">
          <cell r="A368" t="str">
            <v>ABELL_1942_AND_CLUMP</v>
          </cell>
          <cell r="B368">
            <v>0.224</v>
          </cell>
          <cell r="D368">
            <v>219.5915</v>
          </cell>
          <cell r="E368">
            <v>3.6701999999999999</v>
          </cell>
        </row>
        <row r="369">
          <cell r="A369" t="str">
            <v>WBL_518</v>
          </cell>
          <cell r="B369">
            <v>2.7E-2</v>
          </cell>
          <cell r="D369">
            <v>220.16489999999999</v>
          </cell>
          <cell r="E369">
            <v>3.4710000000000001</v>
          </cell>
        </row>
        <row r="370">
          <cell r="A370" t="str">
            <v>ABELL_1991</v>
          </cell>
          <cell r="B370">
            <v>5.8999999999999997E-2</v>
          </cell>
          <cell r="D370">
            <v>223.63140000000001</v>
          </cell>
          <cell r="E370">
            <v>18.644500000000001</v>
          </cell>
        </row>
        <row r="371">
          <cell r="A371" t="str">
            <v>NSCS_J145715+222009</v>
          </cell>
          <cell r="B371">
            <v>0.25800000000000001</v>
          </cell>
          <cell r="D371">
            <v>224.31290000000001</v>
          </cell>
          <cell r="E371">
            <v>22.342500000000001</v>
          </cell>
        </row>
        <row r="372">
          <cell r="A372" t="str">
            <v>ABELL_S0780</v>
          </cell>
          <cell r="B372">
            <v>0.23599999999999999</v>
          </cell>
          <cell r="D372">
            <v>224.8706</v>
          </cell>
          <cell r="E372">
            <v>-18.179300000000001</v>
          </cell>
        </row>
        <row r="373">
          <cell r="A373" t="str">
            <v>ABELL_2009</v>
          </cell>
          <cell r="B373">
            <v>0.153</v>
          </cell>
          <cell r="D373">
            <v>225.08160000000001</v>
          </cell>
          <cell r="E373">
            <v>21.369900000000001</v>
          </cell>
        </row>
        <row r="374">
          <cell r="A374" t="str">
            <v>NSCS_J150117+422152</v>
          </cell>
          <cell r="B374">
            <v>0.29199999999999998</v>
          </cell>
          <cell r="D374">
            <v>225.3442</v>
          </cell>
          <cell r="E374">
            <v>42.346200000000003</v>
          </cell>
        </row>
        <row r="375">
          <cell r="A375" t="str">
            <v>WHL_J150407.5-024816</v>
          </cell>
          <cell r="B375">
            <v>0.215</v>
          </cell>
          <cell r="D375">
            <v>226.03110000000001</v>
          </cell>
          <cell r="E375">
            <v>-2.8045</v>
          </cell>
        </row>
        <row r="376">
          <cell r="A376" t="str">
            <v>NGC_5846</v>
          </cell>
          <cell r="B376">
            <v>5.7099999999999998E-3</v>
          </cell>
          <cell r="D376">
            <v>226.6217</v>
          </cell>
          <cell r="E376">
            <v>1.6060000000000001</v>
          </cell>
        </row>
        <row r="377">
          <cell r="A377" t="str">
            <v>ABELL_2034</v>
          </cell>
          <cell r="B377">
            <v>0.113</v>
          </cell>
          <cell r="D377">
            <v>227.55600000000001</v>
          </cell>
          <cell r="E377">
            <v>33.5124</v>
          </cell>
        </row>
        <row r="378">
          <cell r="A378" t="str">
            <v>ABELL_2029</v>
          </cell>
          <cell r="B378">
            <v>7.22E-2</v>
          </cell>
          <cell r="D378">
            <v>227.7337</v>
          </cell>
          <cell r="E378">
            <v>5.7447999999999997</v>
          </cell>
        </row>
        <row r="379">
          <cell r="A379" t="str">
            <v>MCXC_J1514.9-1523</v>
          </cell>
          <cell r="B379">
            <v>0.223</v>
          </cell>
          <cell r="D379">
            <v>228.7621</v>
          </cell>
          <cell r="E379">
            <v>-15.3895</v>
          </cell>
        </row>
        <row r="380">
          <cell r="A380" t="str">
            <v>ABELL_2052</v>
          </cell>
          <cell r="B380">
            <v>3.5490000000000001E-2</v>
          </cell>
          <cell r="D380">
            <v>229.18129999999999</v>
          </cell>
          <cell r="E380">
            <v>7.0221999999999998</v>
          </cell>
        </row>
        <row r="381">
          <cell r="A381" t="str">
            <v>ABELL_2061</v>
          </cell>
          <cell r="B381">
            <v>7.8E-2</v>
          </cell>
          <cell r="D381">
            <v>230.2929</v>
          </cell>
          <cell r="E381">
            <v>30.611499999999999</v>
          </cell>
        </row>
        <row r="382">
          <cell r="A382" t="str">
            <v>MKW_03s</v>
          </cell>
          <cell r="B382">
            <v>4.4999999999999998E-2</v>
          </cell>
          <cell r="D382">
            <v>230.46600000000001</v>
          </cell>
          <cell r="E382">
            <v>7.7081</v>
          </cell>
        </row>
        <row r="383">
          <cell r="A383" t="str">
            <v>ABELL_2063</v>
          </cell>
          <cell r="B383">
            <v>3.49E-2</v>
          </cell>
          <cell r="D383">
            <v>230.77170000000001</v>
          </cell>
          <cell r="E383">
            <v>8.6095000000000006</v>
          </cell>
        </row>
        <row r="384">
          <cell r="A384" t="str">
            <v>ABELL_2069</v>
          </cell>
          <cell r="B384">
            <v>0.11600000000000001</v>
          </cell>
          <cell r="D384">
            <v>231.03559999999999</v>
          </cell>
          <cell r="E384">
            <v>29.881799999999998</v>
          </cell>
        </row>
        <row r="385">
          <cell r="A385" t="str">
            <v>MCXC_J1524.2-3154</v>
          </cell>
          <cell r="B385">
            <v>0.10299999999999999</v>
          </cell>
          <cell r="D385">
            <v>231.05350000000001</v>
          </cell>
          <cell r="E385">
            <v>-31.906400000000001</v>
          </cell>
        </row>
        <row r="386">
          <cell r="A386" t="str">
            <v>WARP_J1524.6+0957</v>
          </cell>
          <cell r="B386">
            <v>0.51600000000000001</v>
          </cell>
          <cell r="D386">
            <v>231.16139999999999</v>
          </cell>
          <cell r="E386">
            <v>9.9603999999999999</v>
          </cell>
        </row>
        <row r="387">
          <cell r="A387" t="str">
            <v>MACS_J1532.8+3021</v>
          </cell>
          <cell r="B387">
            <v>0.34499999999999997</v>
          </cell>
          <cell r="D387">
            <v>233.2242</v>
          </cell>
          <cell r="E387">
            <v>30.349699999999999</v>
          </cell>
        </row>
        <row r="388">
          <cell r="A388" t="str">
            <v>ABELL_2092</v>
          </cell>
          <cell r="B388">
            <v>6.7000000000000004E-2</v>
          </cell>
          <cell r="D388">
            <v>233.30680000000001</v>
          </cell>
          <cell r="E388">
            <v>31.150200000000002</v>
          </cell>
        </row>
        <row r="389">
          <cell r="A389" t="str">
            <v>ABELL_2107</v>
          </cell>
          <cell r="B389">
            <v>4.1000000000000002E-2</v>
          </cell>
          <cell r="D389">
            <v>234.9126</v>
          </cell>
          <cell r="E389">
            <v>21.782699999999998</v>
          </cell>
        </row>
        <row r="390">
          <cell r="A390" t="str">
            <v>ABELL_2111</v>
          </cell>
          <cell r="B390">
            <v>0.22900000000000001</v>
          </cell>
          <cell r="D390">
            <v>234.92439999999999</v>
          </cell>
          <cell r="E390">
            <v>34.416200000000003</v>
          </cell>
        </row>
        <row r="391">
          <cell r="A391" t="str">
            <v>ABELL_2104</v>
          </cell>
          <cell r="B391">
            <v>0.153</v>
          </cell>
          <cell r="D391">
            <v>235.03399999999999</v>
          </cell>
          <cell r="E391">
            <v>-3.3037999999999998</v>
          </cell>
        </row>
        <row r="392">
          <cell r="A392" t="str">
            <v>ABELL_2125</v>
          </cell>
          <cell r="B392">
            <v>0.246</v>
          </cell>
          <cell r="D392">
            <v>235.31059999999999</v>
          </cell>
          <cell r="E392">
            <v>66.265900000000002</v>
          </cell>
        </row>
        <row r="393">
          <cell r="A393" t="str">
            <v>ABELL_2124</v>
          </cell>
          <cell r="B393">
            <v>6.6000000000000003E-2</v>
          </cell>
          <cell r="D393">
            <v>236.2458</v>
          </cell>
          <cell r="E393">
            <v>36.109099999999998</v>
          </cell>
        </row>
        <row r="394">
          <cell r="A394" t="str">
            <v>ABELL_2146</v>
          </cell>
          <cell r="B394">
            <v>0.23430000000000001</v>
          </cell>
          <cell r="D394">
            <v>239.05119999999999</v>
          </cell>
          <cell r="E394">
            <v>66.351600000000005</v>
          </cell>
        </row>
        <row r="395">
          <cell r="A395" t="str">
            <v>ABELL_2142</v>
          </cell>
          <cell r="B395">
            <v>9.0999999999999998E-2</v>
          </cell>
          <cell r="D395">
            <v>239.5847</v>
          </cell>
          <cell r="E395">
            <v>27.231000000000002</v>
          </cell>
        </row>
        <row r="396">
          <cell r="A396" t="str">
            <v>MCXC_J1558.3-1410</v>
          </cell>
          <cell r="B396">
            <v>9.7000000000000003E-2</v>
          </cell>
          <cell r="D396">
            <v>239.59129999999999</v>
          </cell>
          <cell r="E396">
            <v>-14.165800000000001</v>
          </cell>
        </row>
        <row r="397">
          <cell r="A397" t="str">
            <v>ABELL_2147</v>
          </cell>
          <cell r="B397">
            <v>3.5000000000000003E-2</v>
          </cell>
          <cell r="D397">
            <v>240.5694</v>
          </cell>
          <cell r="E397">
            <v>15.976800000000001</v>
          </cell>
        </row>
        <row r="398">
          <cell r="A398" t="str">
            <v>ABELL_2151</v>
          </cell>
          <cell r="B398">
            <v>3.6999999999999998E-2</v>
          </cell>
          <cell r="D398">
            <v>241.14940000000001</v>
          </cell>
          <cell r="E398">
            <v>17.721499999999999</v>
          </cell>
        </row>
        <row r="399">
          <cell r="A399" t="str">
            <v>AWM_4</v>
          </cell>
          <cell r="B399">
            <v>3.1800000000000002E-2</v>
          </cell>
          <cell r="D399">
            <v>241.2354</v>
          </cell>
          <cell r="E399">
            <v>23.934000000000001</v>
          </cell>
        </row>
        <row r="400">
          <cell r="A400" t="str">
            <v>SpARCS_J161314+564930</v>
          </cell>
          <cell r="B400">
            <v>0.871</v>
          </cell>
          <cell r="D400">
            <v>243.31219999999999</v>
          </cell>
          <cell r="E400">
            <v>56.825299999999999</v>
          </cell>
        </row>
        <row r="401">
          <cell r="A401" t="str">
            <v>ABELL_2163</v>
          </cell>
          <cell r="B401">
            <v>0.20300000000000001</v>
          </cell>
          <cell r="D401">
            <v>243.94120000000001</v>
          </cell>
          <cell r="E401">
            <v>-6.1490999999999998</v>
          </cell>
        </row>
        <row r="402">
          <cell r="A402" t="str">
            <v>MACS_J1621.3+3810</v>
          </cell>
          <cell r="B402">
            <v>0.46500000000000002</v>
          </cell>
          <cell r="D402">
            <v>245.3537</v>
          </cell>
          <cell r="E402">
            <v>38.168900000000001</v>
          </cell>
        </row>
        <row r="403">
          <cell r="A403" t="str">
            <v>MCXC_J1623.5+2634</v>
          </cell>
          <cell r="B403">
            <v>0.42599999999999999</v>
          </cell>
          <cell r="D403">
            <v>245.8973</v>
          </cell>
          <cell r="E403">
            <v>26.570699999999999</v>
          </cell>
        </row>
        <row r="404">
          <cell r="A404" t="str">
            <v>ABELL_2187</v>
          </cell>
          <cell r="B404">
            <v>0.184</v>
          </cell>
          <cell r="D404">
            <v>246.05850000000001</v>
          </cell>
          <cell r="E404">
            <v>41.24</v>
          </cell>
        </row>
        <row r="405">
          <cell r="A405" t="str">
            <v>ABELL_2204</v>
          </cell>
          <cell r="B405">
            <v>0.152</v>
          </cell>
          <cell r="D405">
            <v>248.19560000000001</v>
          </cell>
          <cell r="E405">
            <v>5.5754999999999999</v>
          </cell>
        </row>
        <row r="406">
          <cell r="A406" t="str">
            <v>ABELL_2218</v>
          </cell>
          <cell r="B406">
            <v>0.17599999999999999</v>
          </cell>
          <cell r="D406">
            <v>248.9614</v>
          </cell>
          <cell r="E406">
            <v>66.210099999999997</v>
          </cell>
        </row>
        <row r="407">
          <cell r="A407" t="str">
            <v>ABELL_2219</v>
          </cell>
          <cell r="B407">
            <v>0.22600000000000001</v>
          </cell>
          <cell r="D407">
            <v>250.0829</v>
          </cell>
          <cell r="E407">
            <v>46.7119</v>
          </cell>
        </row>
        <row r="408">
          <cell r="A408" t="str">
            <v>400d_J1641+4001</v>
          </cell>
          <cell r="B408">
            <v>0.46400000000000002</v>
          </cell>
          <cell r="D408">
            <v>250.47319999999999</v>
          </cell>
          <cell r="E408">
            <v>40.029200000000003</v>
          </cell>
        </row>
        <row r="409">
          <cell r="A409" t="str">
            <v>Hercules_A</v>
          </cell>
          <cell r="B409">
            <v>0.155</v>
          </cell>
          <cell r="D409">
            <v>252.7842</v>
          </cell>
          <cell r="E409">
            <v>4.9924999999999997</v>
          </cell>
        </row>
        <row r="410">
          <cell r="A410" t="str">
            <v>NGC_6269</v>
          </cell>
          <cell r="B410">
            <v>3.5000000000000003E-2</v>
          </cell>
          <cell r="D410">
            <v>254.49209999999999</v>
          </cell>
          <cell r="E410">
            <v>27.854299999999999</v>
          </cell>
        </row>
        <row r="411">
          <cell r="A411" t="str">
            <v>OC02_J1701+6412</v>
          </cell>
          <cell r="B411">
            <v>0.45300000000000001</v>
          </cell>
          <cell r="D411">
            <v>255.34819999999999</v>
          </cell>
          <cell r="E411">
            <v>64.236500000000007</v>
          </cell>
        </row>
        <row r="412">
          <cell r="A412" t="str">
            <v>ABELL_2244</v>
          </cell>
          <cell r="B412">
            <v>9.7000000000000003E-2</v>
          </cell>
          <cell r="D412">
            <v>255.67779999999999</v>
          </cell>
          <cell r="E412">
            <v>34.0608</v>
          </cell>
        </row>
        <row r="413">
          <cell r="A413" t="str">
            <v>ABELL_2256</v>
          </cell>
          <cell r="B413">
            <v>5.8000000000000003E-2</v>
          </cell>
          <cell r="D413">
            <v>255.80959999999999</v>
          </cell>
          <cell r="E413">
            <v>78.649000000000001</v>
          </cell>
        </row>
        <row r="414">
          <cell r="A414" t="str">
            <v>ABELL_2249</v>
          </cell>
          <cell r="B414">
            <v>8.2000000000000003E-2</v>
          </cell>
          <cell r="D414">
            <v>257.43810000000002</v>
          </cell>
          <cell r="E414">
            <v>34.455199999999998</v>
          </cell>
        </row>
        <row r="415">
          <cell r="A415" t="str">
            <v>Ophiuchus_CLUSTER</v>
          </cell>
          <cell r="B415">
            <v>2.8000000000000001E-2</v>
          </cell>
          <cell r="D415">
            <v>258.1155</v>
          </cell>
          <cell r="E415">
            <v>-23.368500000000001</v>
          </cell>
        </row>
        <row r="416">
          <cell r="A416" t="str">
            <v>ABELL_2255</v>
          </cell>
          <cell r="B416">
            <v>8.1000000000000003E-2</v>
          </cell>
          <cell r="D416">
            <v>258.17250000000001</v>
          </cell>
          <cell r="E416">
            <v>64.072800000000001</v>
          </cell>
        </row>
        <row r="417">
          <cell r="A417" t="str">
            <v>NGC_6338</v>
          </cell>
          <cell r="B417">
            <v>2.7E-2</v>
          </cell>
          <cell r="D417">
            <v>258.84539999999998</v>
          </cell>
          <cell r="E417">
            <v>57.411200000000001</v>
          </cell>
        </row>
        <row r="418">
          <cell r="A418" t="str">
            <v>ABELL_2259</v>
          </cell>
          <cell r="B418">
            <v>0.16400000000000001</v>
          </cell>
          <cell r="D418">
            <v>260.0317</v>
          </cell>
          <cell r="E418">
            <v>27.670500000000001</v>
          </cell>
        </row>
        <row r="419">
          <cell r="A419" t="str">
            <v>SDSS-C4_3072</v>
          </cell>
          <cell r="B419">
            <v>0.16400000000000001</v>
          </cell>
          <cell r="D419">
            <v>260.04160000000002</v>
          </cell>
          <cell r="E419">
            <v>26.6251</v>
          </cell>
        </row>
        <row r="420">
          <cell r="A420" t="str">
            <v>MACS_J1720.2+3536</v>
          </cell>
          <cell r="B420">
            <v>0.39100000000000001</v>
          </cell>
          <cell r="D420">
            <v>260.07010000000002</v>
          </cell>
          <cell r="E420">
            <v>35.607300000000002</v>
          </cell>
        </row>
        <row r="421">
          <cell r="A421" t="str">
            <v>ABELL_2261</v>
          </cell>
          <cell r="B421">
            <v>0.224</v>
          </cell>
          <cell r="D421">
            <v>260.61329999999998</v>
          </cell>
          <cell r="E421">
            <v>32.132800000000003</v>
          </cell>
        </row>
        <row r="422">
          <cell r="A422" t="str">
            <v>ABELL_2294</v>
          </cell>
          <cell r="B422">
            <v>0.16900000000000001</v>
          </cell>
          <cell r="D422">
            <v>261.04950000000002</v>
          </cell>
          <cell r="E422">
            <v>85.886300000000006</v>
          </cell>
        </row>
        <row r="423">
          <cell r="A423" t="str">
            <v>MCXC_J1731.6+2251</v>
          </cell>
          <cell r="B423">
            <v>0.36599999999999999</v>
          </cell>
          <cell r="D423">
            <v>262.91590000000002</v>
          </cell>
          <cell r="E423">
            <v>22.860600000000002</v>
          </cell>
        </row>
        <row r="424">
          <cell r="A424" t="str">
            <v>Abell_2276</v>
          </cell>
          <cell r="B424">
            <v>0.14099999999999999</v>
          </cell>
          <cell r="D424">
            <v>263.76929999999999</v>
          </cell>
          <cell r="E424">
            <v>64.101699999999994</v>
          </cell>
        </row>
        <row r="425">
          <cell r="A425" t="str">
            <v>ZwCl_1742.1+3306</v>
          </cell>
          <cell r="B425">
            <v>7.5999999999999998E-2</v>
          </cell>
          <cell r="D425">
            <v>266.0598</v>
          </cell>
          <cell r="E425">
            <v>32.991100000000003</v>
          </cell>
        </row>
        <row r="426">
          <cell r="A426" t="str">
            <v>NSC_J174715+451155</v>
          </cell>
          <cell r="B426">
            <v>0.157</v>
          </cell>
          <cell r="D426">
            <v>266.81130000000002</v>
          </cell>
          <cell r="E426">
            <v>45.196800000000003</v>
          </cell>
        </row>
        <row r="427">
          <cell r="A427" t="str">
            <v>MCXC_J1750.2+3504</v>
          </cell>
          <cell r="B427">
            <v>0.17100000000000001</v>
          </cell>
          <cell r="D427">
            <v>267.57040000000001</v>
          </cell>
          <cell r="E427">
            <v>35.082799999999999</v>
          </cell>
        </row>
        <row r="428">
          <cell r="A428" t="str">
            <v>NGC_6482</v>
          </cell>
          <cell r="B428">
            <v>1.3100000000000001E-2</v>
          </cell>
          <cell r="D428">
            <v>267.95310000000001</v>
          </cell>
          <cell r="E428">
            <v>23.071899999999999</v>
          </cell>
        </row>
        <row r="429">
          <cell r="A429" t="str">
            <v>CIZA_J1804.4+1002</v>
          </cell>
          <cell r="B429">
            <v>0.152</v>
          </cell>
          <cell r="D429">
            <v>271.13099999999997</v>
          </cell>
          <cell r="E429">
            <v>10.0571</v>
          </cell>
        </row>
        <row r="430">
          <cell r="A430" t="str">
            <v>ABELL_2302</v>
          </cell>
          <cell r="B430">
            <v>0.17899999999999999</v>
          </cell>
          <cell r="D430">
            <v>274.99180000000001</v>
          </cell>
          <cell r="E430">
            <v>57.156100000000002</v>
          </cell>
        </row>
        <row r="431">
          <cell r="A431" t="str">
            <v>_HB89__1821+643</v>
          </cell>
          <cell r="B431">
            <v>0.29699999999999999</v>
          </cell>
          <cell r="D431">
            <v>275.48759999999999</v>
          </cell>
          <cell r="E431">
            <v>64.343800000000002</v>
          </cell>
        </row>
        <row r="432">
          <cell r="A432" t="str">
            <v>MACS_J1824.3+4309</v>
          </cell>
          <cell r="B432">
            <v>0.48699999999999999</v>
          </cell>
          <cell r="D432">
            <v>276.07920000000001</v>
          </cell>
          <cell r="E432">
            <v>43.163499999999999</v>
          </cell>
        </row>
        <row r="433">
          <cell r="A433" t="str">
            <v>MACS_J1829.0+6913</v>
          </cell>
          <cell r="B433">
            <v>0.20300000000000001</v>
          </cell>
          <cell r="D433">
            <v>277.27350000000001</v>
          </cell>
          <cell r="E433">
            <v>69.235299999999995</v>
          </cell>
        </row>
        <row r="434">
          <cell r="A434" t="str">
            <v>MCXC_J1852.1+5711</v>
          </cell>
          <cell r="B434">
            <v>0.109</v>
          </cell>
          <cell r="D434">
            <v>283.03579999999999</v>
          </cell>
          <cell r="E434">
            <v>57.194899999999997</v>
          </cell>
        </row>
        <row r="435">
          <cell r="A435" t="str">
            <v>MCXC_J1853.9+6822</v>
          </cell>
          <cell r="B435">
            <v>9.2999999999999999E-2</v>
          </cell>
          <cell r="D435">
            <v>283.50940000000003</v>
          </cell>
          <cell r="E435">
            <v>68.3827</v>
          </cell>
        </row>
        <row r="436">
          <cell r="A436" t="str">
            <v>PLCKESZ_G337.09-25.97</v>
          </cell>
          <cell r="B436">
            <v>0.26400000000000001</v>
          </cell>
          <cell r="D436">
            <v>288.65640000000002</v>
          </cell>
          <cell r="E436">
            <v>-59.472200000000001</v>
          </cell>
        </row>
        <row r="437">
          <cell r="A437" t="str">
            <v>ABELL_2319</v>
          </cell>
          <cell r="B437">
            <v>5.6000000000000001E-2</v>
          </cell>
          <cell r="D437">
            <v>290.29450000000003</v>
          </cell>
          <cell r="E437">
            <v>43.951599999999999</v>
          </cell>
        </row>
        <row r="438">
          <cell r="A438" t="str">
            <v>MACS_J1931.8-2635</v>
          </cell>
          <cell r="B438">
            <v>0.35199999999999998</v>
          </cell>
          <cell r="D438">
            <v>292.95690000000002</v>
          </cell>
          <cell r="E438">
            <v>-26.575900000000001</v>
          </cell>
        </row>
        <row r="439">
          <cell r="A439" t="str">
            <v>ABELL_S0821</v>
          </cell>
          <cell r="B439">
            <v>0.23699999999999999</v>
          </cell>
          <cell r="D439">
            <v>293.71969999999999</v>
          </cell>
          <cell r="E439">
            <v>-50.876100000000001</v>
          </cell>
        </row>
        <row r="440">
          <cell r="A440" t="str">
            <v>CIZA_J1938.3+5409</v>
          </cell>
          <cell r="B440">
            <v>0.26</v>
          </cell>
          <cell r="D440">
            <v>294.57679999999999</v>
          </cell>
          <cell r="E440">
            <v>54.159700000000001</v>
          </cell>
        </row>
        <row r="441">
          <cell r="A441" t="str">
            <v>MCXC_J1947.3-7623</v>
          </cell>
          <cell r="B441">
            <v>0.217</v>
          </cell>
          <cell r="D441">
            <v>296.81209999999999</v>
          </cell>
          <cell r="E441">
            <v>-76.395799999999994</v>
          </cell>
        </row>
        <row r="442">
          <cell r="A442" t="str">
            <v>ABELL_3653</v>
          </cell>
          <cell r="B442">
            <v>0.109</v>
          </cell>
          <cell r="D442">
            <v>298.26409999999998</v>
          </cell>
          <cell r="E442">
            <v>-52.036900000000003</v>
          </cell>
        </row>
        <row r="443">
          <cell r="A443" t="str">
            <v>MCXC_J1958.2-3011</v>
          </cell>
          <cell r="B443">
            <v>0.11700000000000001</v>
          </cell>
          <cell r="D443">
            <v>299.56240000000003</v>
          </cell>
          <cell r="E443">
            <v>-30.186599999999999</v>
          </cell>
        </row>
        <row r="444">
          <cell r="A444" t="str">
            <v>MCXC_J2003.5-2323</v>
          </cell>
          <cell r="B444">
            <v>0.317</v>
          </cell>
          <cell r="D444">
            <v>300.87130000000002</v>
          </cell>
          <cell r="E444">
            <v>-23.3734</v>
          </cell>
        </row>
        <row r="445">
          <cell r="A445" t="str">
            <v>NGC_6868</v>
          </cell>
          <cell r="B445">
            <v>9.4999999999999998E-3</v>
          </cell>
          <cell r="D445">
            <v>302.47539999999998</v>
          </cell>
          <cell r="E445">
            <v>-48.379899999999999</v>
          </cell>
        </row>
        <row r="446">
          <cell r="A446" t="str">
            <v>MCXC_J2011.3-5725</v>
          </cell>
          <cell r="B446">
            <v>0.27900000000000003</v>
          </cell>
          <cell r="D446">
            <v>302.86219999999997</v>
          </cell>
          <cell r="E446">
            <v>-57.419899999999998</v>
          </cell>
        </row>
        <row r="447">
          <cell r="A447" t="str">
            <v>ABELL_3667</v>
          </cell>
          <cell r="B447">
            <v>5.6000000000000001E-2</v>
          </cell>
          <cell r="D447">
            <v>303.17520000000002</v>
          </cell>
          <cell r="E447">
            <v>-56.847099999999998</v>
          </cell>
        </row>
        <row r="448">
          <cell r="A448" t="str">
            <v>MCXC_J2014.8-2430</v>
          </cell>
          <cell r="B448">
            <v>0.161</v>
          </cell>
          <cell r="D448">
            <v>303.71530000000001</v>
          </cell>
          <cell r="E448">
            <v>-24.5062</v>
          </cell>
        </row>
        <row r="449">
          <cell r="A449" t="str">
            <v>SPT-CL_J2023-5535</v>
          </cell>
          <cell r="B449">
            <v>0.23200000000000001</v>
          </cell>
          <cell r="D449">
            <v>305.83890000000002</v>
          </cell>
          <cell r="E449">
            <v>-55.596699999999998</v>
          </cell>
        </row>
        <row r="450">
          <cell r="A450" t="str">
            <v>MCXC_J2031.8-4037</v>
          </cell>
          <cell r="B450">
            <v>0.34200000000000003</v>
          </cell>
          <cell r="D450">
            <v>307.96019999999999</v>
          </cell>
          <cell r="E450">
            <v>-40.6252</v>
          </cell>
        </row>
        <row r="451">
          <cell r="A451" t="str">
            <v>SPT-CLJ2034-5936</v>
          </cell>
          <cell r="B451">
            <v>0.92</v>
          </cell>
          <cell r="D451">
            <v>308.53820000000002</v>
          </cell>
          <cell r="E451">
            <v>-59.605200000000004</v>
          </cell>
        </row>
        <row r="452">
          <cell r="A452" t="str">
            <v>ABELL_3695</v>
          </cell>
          <cell r="B452">
            <v>8.8999999999999996E-2</v>
          </cell>
          <cell r="D452">
            <v>308.68880000000001</v>
          </cell>
          <cell r="E452">
            <v>-35.811999999999998</v>
          </cell>
        </row>
        <row r="453">
          <cell r="A453" t="str">
            <v>SPT-CLJ2043-5035</v>
          </cell>
          <cell r="B453">
            <v>0.72299999999999998</v>
          </cell>
          <cell r="D453">
            <v>310.82310000000001</v>
          </cell>
          <cell r="E453">
            <v>-50.592300000000002</v>
          </cell>
        </row>
        <row r="454">
          <cell r="A454" t="str">
            <v>MACS_J2046.0-3430</v>
          </cell>
          <cell r="B454">
            <v>0.42299999999999999</v>
          </cell>
          <cell r="D454">
            <v>311.50209999999998</v>
          </cell>
          <cell r="E454">
            <v>-34.504800000000003</v>
          </cell>
        </row>
        <row r="455">
          <cell r="A455" t="str">
            <v>MCXC_J2049.9-3216</v>
          </cell>
          <cell r="B455">
            <v>0.32500000000000001</v>
          </cell>
          <cell r="D455">
            <v>312.48399999999998</v>
          </cell>
          <cell r="E455">
            <v>-32.280299999999997</v>
          </cell>
        </row>
        <row r="456">
          <cell r="A456" t="str">
            <v>G345.40-39.34</v>
          </cell>
          <cell r="B456">
            <v>4.7199999999999999E-2</v>
          </cell>
          <cell r="D456">
            <v>312.98719999999997</v>
          </cell>
          <cell r="E456">
            <v>-52.629600000000003</v>
          </cell>
        </row>
        <row r="457">
          <cell r="A457" t="str">
            <v>ABELL_3739</v>
          </cell>
          <cell r="B457">
            <v>0.16500000000000001</v>
          </cell>
          <cell r="D457">
            <v>316.07870000000003</v>
          </cell>
          <cell r="E457">
            <v>-41.3446</v>
          </cell>
        </row>
        <row r="458">
          <cell r="A458" t="str">
            <v>SPT-CLJ2106-5844</v>
          </cell>
          <cell r="B458">
            <v>1.1319999999999999</v>
          </cell>
          <cell r="D458">
            <v>316.52140000000003</v>
          </cell>
          <cell r="E458">
            <v>-58.741900000000001</v>
          </cell>
        </row>
        <row r="459">
          <cell r="A459" t="str">
            <v>IC_1365</v>
          </cell>
          <cell r="B459">
            <v>4.9000000000000002E-2</v>
          </cell>
          <cell r="D459">
            <v>318.48219999999998</v>
          </cell>
          <cell r="E459">
            <v>2.5651999999999999</v>
          </cell>
        </row>
        <row r="460">
          <cell r="A460" t="str">
            <v>ABELL_2345</v>
          </cell>
          <cell r="B460">
            <v>0.17649999999999999</v>
          </cell>
          <cell r="D460">
            <v>321.78969999999998</v>
          </cell>
          <cell r="E460">
            <v>-12.174799999999999</v>
          </cell>
        </row>
        <row r="461">
          <cell r="A461" t="str">
            <v>MACS_J2129-0741</v>
          </cell>
          <cell r="B461">
            <v>0.58899999999999997</v>
          </cell>
          <cell r="D461">
            <v>322.36070000000001</v>
          </cell>
          <cell r="E461">
            <v>-7.6908000000000003</v>
          </cell>
        </row>
        <row r="462">
          <cell r="A462" t="str">
            <v>MCXC_J2129.6+0005</v>
          </cell>
          <cell r="B462">
            <v>0.23499999999999999</v>
          </cell>
          <cell r="D462">
            <v>322.42180000000002</v>
          </cell>
          <cell r="E462">
            <v>0.10390000000000001</v>
          </cell>
        </row>
        <row r="463">
          <cell r="A463" t="str">
            <v>MACS_J2135-0102</v>
          </cell>
          <cell r="B463">
            <v>0.32500000000000001</v>
          </cell>
          <cell r="D463">
            <v>323.79590000000002</v>
          </cell>
          <cell r="E463">
            <v>-1.0484</v>
          </cell>
        </row>
        <row r="464">
          <cell r="A464" t="str">
            <v>SPT-CLJ2135-5726</v>
          </cell>
          <cell r="B464">
            <v>0.42699999999999999</v>
          </cell>
          <cell r="D464">
            <v>323.90940000000001</v>
          </cell>
          <cell r="E464">
            <v>-57.441000000000003</v>
          </cell>
        </row>
        <row r="465">
          <cell r="A465" t="str">
            <v>WBL_671</v>
          </cell>
          <cell r="B465">
            <v>5.0999999999999997E-2</v>
          </cell>
          <cell r="D465">
            <v>324.28489999999999</v>
          </cell>
          <cell r="E465">
            <v>0.44640000000000002</v>
          </cell>
        </row>
        <row r="466">
          <cell r="A466" t="str">
            <v>MACS_J2140.2-2339</v>
          </cell>
          <cell r="B466">
            <v>0.313</v>
          </cell>
          <cell r="D466">
            <v>325.06330000000003</v>
          </cell>
          <cell r="E466">
            <v>-23.661100000000001</v>
          </cell>
        </row>
        <row r="467">
          <cell r="A467" t="str">
            <v>SPT-CLJ2145-5644</v>
          </cell>
          <cell r="B467">
            <v>0.48</v>
          </cell>
          <cell r="D467">
            <v>326.46690000000001</v>
          </cell>
          <cell r="E467">
            <v>-56.747700000000002</v>
          </cell>
        </row>
        <row r="468">
          <cell r="A468" t="str">
            <v>SPT-CLJ2146-4633</v>
          </cell>
          <cell r="B468">
            <v>0.93300000000000005</v>
          </cell>
          <cell r="D468">
            <v>326.6447</v>
          </cell>
          <cell r="E468">
            <v>-46.549199999999999</v>
          </cell>
        </row>
        <row r="469">
          <cell r="A469" t="str">
            <v>ABELL_3809</v>
          </cell>
          <cell r="B469">
            <v>6.2E-2</v>
          </cell>
          <cell r="D469">
            <v>326.74619999999999</v>
          </cell>
          <cell r="E469">
            <v>-43.898699999999998</v>
          </cell>
        </row>
        <row r="470">
          <cell r="A470" t="str">
            <v>SPT-CLJ2148-6116</v>
          </cell>
          <cell r="B470">
            <v>0.57099999999999995</v>
          </cell>
          <cell r="D470">
            <v>327.18430000000001</v>
          </cell>
          <cell r="E470">
            <v>-61.278399999999998</v>
          </cell>
        </row>
        <row r="471">
          <cell r="A471" t="str">
            <v>ABELL_2384</v>
          </cell>
          <cell r="B471">
            <v>9.4E-2</v>
          </cell>
          <cell r="D471">
            <v>328.08879999999999</v>
          </cell>
          <cell r="E471">
            <v>-19.5474</v>
          </cell>
        </row>
        <row r="472">
          <cell r="A472" t="str">
            <v>ABELL_2390</v>
          </cell>
          <cell r="B472">
            <v>0.22800000000000001</v>
          </cell>
          <cell r="D472">
            <v>328.40320000000003</v>
          </cell>
          <cell r="E472">
            <v>17.695399999999999</v>
          </cell>
        </row>
        <row r="473">
          <cell r="A473" t="str">
            <v>ClG_2153.8+3746</v>
          </cell>
          <cell r="B473">
            <v>0.29199999999999998</v>
          </cell>
          <cell r="D473">
            <v>328.96749999999997</v>
          </cell>
          <cell r="E473">
            <v>38.006799999999998</v>
          </cell>
        </row>
        <row r="474">
          <cell r="A474" t="str">
            <v>ABELL_2409</v>
          </cell>
          <cell r="B474">
            <v>0.14799999999999999</v>
          </cell>
          <cell r="D474">
            <v>330.21839999999997</v>
          </cell>
          <cell r="E474">
            <v>20.968699999999998</v>
          </cell>
        </row>
        <row r="475">
          <cell r="A475" t="str">
            <v>ABELL_3827</v>
          </cell>
          <cell r="B475">
            <v>9.8000000000000004E-2</v>
          </cell>
          <cell r="D475">
            <v>330.47129999999999</v>
          </cell>
          <cell r="E475">
            <v>-59.945599999999999</v>
          </cell>
        </row>
        <row r="476">
          <cell r="A476" t="str">
            <v>ABELL_2415</v>
          </cell>
          <cell r="B476">
            <v>5.8000000000000003E-2</v>
          </cell>
          <cell r="D476">
            <v>331.41050000000001</v>
          </cell>
          <cell r="E476">
            <v>-5.5925000000000002</v>
          </cell>
        </row>
        <row r="477">
          <cell r="A477" t="str">
            <v>3C_444</v>
          </cell>
          <cell r="B477">
            <v>0.153</v>
          </cell>
          <cell r="D477">
            <v>333.60660000000001</v>
          </cell>
          <cell r="E477">
            <v>-17.026700000000002</v>
          </cell>
        </row>
        <row r="478">
          <cell r="A478" t="str">
            <v>ABELL_2426</v>
          </cell>
          <cell r="B478">
            <v>9.8000000000000004E-2</v>
          </cell>
          <cell r="D478">
            <v>333.63470000000001</v>
          </cell>
          <cell r="E478">
            <v>-10.3705</v>
          </cell>
        </row>
        <row r="479">
          <cell r="A479" t="str">
            <v>MACS_J2214-1359</v>
          </cell>
          <cell r="B479">
            <v>0.48299999999999998</v>
          </cell>
          <cell r="D479">
            <v>333.73899999999998</v>
          </cell>
          <cell r="E479">
            <v>-14.0038</v>
          </cell>
        </row>
        <row r="480">
          <cell r="A480" t="str">
            <v>ABELL_3854</v>
          </cell>
          <cell r="B480">
            <v>0.14899999999999999</v>
          </cell>
          <cell r="D480">
            <v>334.44099999999997</v>
          </cell>
          <cell r="E480">
            <v>-35.724400000000003</v>
          </cell>
        </row>
        <row r="481">
          <cell r="A481" t="str">
            <v>MCXC_J2218.6-3853</v>
          </cell>
          <cell r="B481">
            <v>0.13800000000000001</v>
          </cell>
          <cell r="D481">
            <v>334.6644</v>
          </cell>
          <cell r="E481">
            <v>-38.9009</v>
          </cell>
        </row>
        <row r="482">
          <cell r="A482" t="str">
            <v>SPT-CLJ2218-4519</v>
          </cell>
          <cell r="B482">
            <v>0.65</v>
          </cell>
          <cell r="D482">
            <v>334.74790000000002</v>
          </cell>
          <cell r="E482">
            <v>-45.315800000000003</v>
          </cell>
        </row>
        <row r="483">
          <cell r="A483" t="str">
            <v>ABELL_2443</v>
          </cell>
          <cell r="B483">
            <v>0.108</v>
          </cell>
          <cell r="D483">
            <v>336.52589999999998</v>
          </cell>
          <cell r="E483">
            <v>17.366199999999999</v>
          </cell>
        </row>
        <row r="484">
          <cell r="A484" t="str">
            <v>ABELL_2445</v>
          </cell>
          <cell r="B484">
            <v>0.16600000000000001</v>
          </cell>
          <cell r="D484">
            <v>336.73360000000002</v>
          </cell>
          <cell r="E484">
            <v>25.835100000000001</v>
          </cell>
        </row>
        <row r="485">
          <cell r="A485" t="str">
            <v>ABELL_3880</v>
          </cell>
          <cell r="B485">
            <v>5.8000000000000003E-2</v>
          </cell>
          <cell r="D485">
            <v>336.97660000000002</v>
          </cell>
          <cell r="E485">
            <v>-30.577000000000002</v>
          </cell>
        </row>
        <row r="486">
          <cell r="A486" t="str">
            <v>MCXC_J2228.6+2036</v>
          </cell>
          <cell r="B486">
            <v>0.41199999999999998</v>
          </cell>
          <cell r="D486">
            <v>337.14240000000001</v>
          </cell>
          <cell r="E486">
            <v>20.6206</v>
          </cell>
        </row>
        <row r="487">
          <cell r="A487" t="str">
            <v>MACS_J2229.8-2756</v>
          </cell>
          <cell r="B487">
            <v>0.32400000000000001</v>
          </cell>
          <cell r="D487">
            <v>337.43849999999998</v>
          </cell>
          <cell r="E487">
            <v>-27.9267</v>
          </cell>
        </row>
        <row r="488">
          <cell r="A488" t="str">
            <v>CGCG_514-050</v>
          </cell>
          <cell r="B488">
            <v>1.7000000000000001E-2</v>
          </cell>
          <cell r="D488">
            <v>337.83589999999998</v>
          </cell>
          <cell r="E488">
            <v>39.3581</v>
          </cell>
        </row>
        <row r="489">
          <cell r="A489" t="str">
            <v>SPT-CLJ2232-5959</v>
          </cell>
          <cell r="B489">
            <v>0.59399999999999997</v>
          </cell>
          <cell r="D489">
            <v>338.14049999999997</v>
          </cell>
          <cell r="E489">
            <v>-59.997999999999998</v>
          </cell>
        </row>
        <row r="490">
          <cell r="A490" t="str">
            <v>SPT-CLJ2233-5339</v>
          </cell>
          <cell r="B490">
            <v>0.48</v>
          </cell>
          <cell r="D490">
            <v>338.31310000000002</v>
          </cell>
          <cell r="E490">
            <v>-53.655200000000001</v>
          </cell>
        </row>
        <row r="491">
          <cell r="A491" t="str">
            <v>ABELL_2457</v>
          </cell>
          <cell r="B491">
            <v>5.8999999999999997E-2</v>
          </cell>
          <cell r="D491">
            <v>338.9221</v>
          </cell>
          <cell r="E491">
            <v>1.4866999999999999</v>
          </cell>
        </row>
        <row r="492">
          <cell r="A492" t="str">
            <v>Stephans_Quintet</v>
          </cell>
          <cell r="B492">
            <v>2.1499999999999998E-2</v>
          </cell>
          <cell r="D492">
            <v>338.99959999999999</v>
          </cell>
          <cell r="E492">
            <v>33.972099999999998</v>
          </cell>
        </row>
        <row r="493">
          <cell r="A493" t="str">
            <v>ABELL_2465</v>
          </cell>
          <cell r="B493">
            <v>0.245</v>
          </cell>
          <cell r="D493">
            <v>339.9126</v>
          </cell>
          <cell r="E493">
            <v>-5.7241999999999997</v>
          </cell>
        </row>
        <row r="494">
          <cell r="A494" t="str">
            <v>CIZA_J2242.8+5301</v>
          </cell>
          <cell r="B494">
            <v>0.192</v>
          </cell>
          <cell r="D494">
            <v>340.66469999999998</v>
          </cell>
          <cell r="E494">
            <v>52.995800000000003</v>
          </cell>
        </row>
        <row r="495">
          <cell r="A495" t="str">
            <v>WHL_J224319.8-093530</v>
          </cell>
          <cell r="B495">
            <v>0.432</v>
          </cell>
          <cell r="D495">
            <v>340.83789999999999</v>
          </cell>
          <cell r="E495">
            <v>-9.5935000000000006</v>
          </cell>
        </row>
        <row r="496">
          <cell r="A496" t="str">
            <v>SPT-CLJ2245-6206</v>
          </cell>
          <cell r="B496">
            <v>0.57999999999999996</v>
          </cell>
          <cell r="D496">
            <v>341.26209999999998</v>
          </cell>
          <cell r="E496">
            <v>-62.116700000000002</v>
          </cell>
        </row>
        <row r="497">
          <cell r="A497" t="str">
            <v>MACS_J2245.0+2637</v>
          </cell>
          <cell r="B497">
            <v>0.30399999999999999</v>
          </cell>
          <cell r="D497">
            <v>341.26920000000001</v>
          </cell>
          <cell r="E497">
            <v>26.634799999999998</v>
          </cell>
        </row>
        <row r="498">
          <cell r="A498" t="str">
            <v>ABELL_3911</v>
          </cell>
          <cell r="B498">
            <v>9.7000000000000003E-2</v>
          </cell>
          <cell r="D498">
            <v>341.61169999999998</v>
          </cell>
          <cell r="E498">
            <v>-52.739800000000002</v>
          </cell>
        </row>
        <row r="499">
          <cell r="A499" t="str">
            <v>ABELL_2485</v>
          </cell>
          <cell r="B499">
            <v>0.247</v>
          </cell>
          <cell r="D499">
            <v>342.12909999999999</v>
          </cell>
          <cell r="E499">
            <v>-16.107900000000001</v>
          </cell>
        </row>
        <row r="500">
          <cell r="A500" t="str">
            <v>ABELL_S1063</v>
          </cell>
          <cell r="B500">
            <v>0.34699999999999998</v>
          </cell>
          <cell r="D500">
            <v>342.18349999999998</v>
          </cell>
          <cell r="E500">
            <v>-44.5304</v>
          </cell>
        </row>
        <row r="501">
          <cell r="A501" t="str">
            <v>ABELL_3921</v>
          </cell>
          <cell r="B501">
            <v>9.2999999999999999E-2</v>
          </cell>
          <cell r="D501">
            <v>342.48610000000002</v>
          </cell>
          <cell r="E501">
            <v>-64.430199999999999</v>
          </cell>
        </row>
        <row r="502">
          <cell r="A502" t="str">
            <v>ABELL_2507</v>
          </cell>
          <cell r="B502">
            <v>0.19600000000000001</v>
          </cell>
          <cell r="D502">
            <v>344.21940000000001</v>
          </cell>
          <cell r="E502">
            <v>5.5045999999999999</v>
          </cell>
        </row>
        <row r="503">
          <cell r="A503" t="str">
            <v>SPT-CLJ2259-6057</v>
          </cell>
          <cell r="B503">
            <v>0.75</v>
          </cell>
          <cell r="D503">
            <v>344.75409999999999</v>
          </cell>
          <cell r="E503">
            <v>-60.960299999999997</v>
          </cell>
        </row>
        <row r="504">
          <cell r="A504" t="str">
            <v>WARP_J2302.8+0843</v>
          </cell>
          <cell r="B504">
            <v>0.72199999999999998</v>
          </cell>
          <cell r="D504">
            <v>345.70060000000001</v>
          </cell>
          <cell r="E504">
            <v>8.7307000000000006</v>
          </cell>
        </row>
        <row r="505">
          <cell r="A505" t="str">
            <v>ABELL_2537</v>
          </cell>
          <cell r="B505">
            <v>0.29499999999999998</v>
          </cell>
          <cell r="D505">
            <v>347.09289999999999</v>
          </cell>
          <cell r="E505">
            <v>-2.1916000000000002</v>
          </cell>
        </row>
        <row r="506">
          <cell r="A506" t="str">
            <v>MCXC_J2311.5+0338</v>
          </cell>
          <cell r="B506">
            <v>0.3</v>
          </cell>
          <cell r="D506">
            <v>347.88850000000002</v>
          </cell>
          <cell r="E506">
            <v>3.6353</v>
          </cell>
        </row>
        <row r="507">
          <cell r="A507" t="str">
            <v>ABELL_2550</v>
          </cell>
          <cell r="B507">
            <v>0.123</v>
          </cell>
          <cell r="D507">
            <v>347.89929999999998</v>
          </cell>
          <cell r="E507">
            <v>-21.746200000000002</v>
          </cell>
        </row>
        <row r="508">
          <cell r="A508" t="str">
            <v>ABELL_2556</v>
          </cell>
          <cell r="B508">
            <v>8.6999999999999994E-2</v>
          </cell>
          <cell r="D508">
            <v>348.25560000000002</v>
          </cell>
          <cell r="E508">
            <v>-21.634399999999999</v>
          </cell>
        </row>
        <row r="509">
          <cell r="A509" t="str">
            <v>ABELL_S1101</v>
          </cell>
          <cell r="B509">
            <v>5.8000000000000003E-2</v>
          </cell>
          <cell r="D509">
            <v>348.49459999999999</v>
          </cell>
          <cell r="E509">
            <v>-42.725299999999997</v>
          </cell>
        </row>
        <row r="510">
          <cell r="A510" t="str">
            <v>RCS_J2318.5+0034</v>
          </cell>
          <cell r="B510">
            <v>0.78</v>
          </cell>
          <cell r="D510">
            <v>349.62959999999998</v>
          </cell>
          <cell r="E510">
            <v>0.56740000000000002</v>
          </cell>
        </row>
        <row r="511">
          <cell r="A511" t="str">
            <v>UGC_12491</v>
          </cell>
          <cell r="B511">
            <v>1.7399999999999999E-2</v>
          </cell>
          <cell r="D511">
            <v>349.65960000000001</v>
          </cell>
          <cell r="E511">
            <v>42.958100000000002</v>
          </cell>
        </row>
        <row r="512">
          <cell r="A512" t="str">
            <v>NGC_7618</v>
          </cell>
          <cell r="B512">
            <v>1.7299999999999999E-2</v>
          </cell>
          <cell r="D512">
            <v>349.95010000000002</v>
          </cell>
          <cell r="E512">
            <v>42.853200000000001</v>
          </cell>
        </row>
        <row r="513">
          <cell r="A513" t="str">
            <v>ABELL_2589</v>
          </cell>
          <cell r="B513">
            <v>4.1399999999999999E-2</v>
          </cell>
          <cell r="D513">
            <v>350.98939999999999</v>
          </cell>
          <cell r="E513">
            <v>16.777200000000001</v>
          </cell>
        </row>
        <row r="514">
          <cell r="A514" t="str">
            <v>ABELL_2597</v>
          </cell>
          <cell r="B514">
            <v>8.5000000000000006E-2</v>
          </cell>
          <cell r="D514">
            <v>351.33260000000001</v>
          </cell>
          <cell r="E514">
            <v>-12.1242</v>
          </cell>
        </row>
        <row r="515">
          <cell r="A515" t="str">
            <v>SPT-CL_J2331-5051</v>
          </cell>
          <cell r="B515">
            <v>0.57099999999999995</v>
          </cell>
          <cell r="D515">
            <v>352.9633</v>
          </cell>
          <cell r="E515">
            <v>-50.864899999999999</v>
          </cell>
        </row>
        <row r="516">
          <cell r="A516" t="str">
            <v>ABELL_2626</v>
          </cell>
          <cell r="B516">
            <v>5.5E-2</v>
          </cell>
          <cell r="D516">
            <v>354.12670000000003</v>
          </cell>
          <cell r="E516">
            <v>21.146799999999999</v>
          </cell>
        </row>
        <row r="517">
          <cell r="A517" t="str">
            <v>ABELL_2627</v>
          </cell>
          <cell r="B517">
            <v>0.126</v>
          </cell>
          <cell r="D517">
            <v>354.17540000000002</v>
          </cell>
          <cell r="E517">
            <v>23.924800000000001</v>
          </cell>
        </row>
        <row r="518">
          <cell r="A518" t="str">
            <v>SPT-CL_J2337-5942</v>
          </cell>
          <cell r="B518">
            <v>0.78100000000000003</v>
          </cell>
          <cell r="D518">
            <v>354.35320000000002</v>
          </cell>
          <cell r="E518">
            <v>-59.706400000000002</v>
          </cell>
        </row>
        <row r="519">
          <cell r="A519" t="str">
            <v>ABELL_2631</v>
          </cell>
          <cell r="B519">
            <v>0.27300000000000002</v>
          </cell>
          <cell r="D519">
            <v>354.40820000000002</v>
          </cell>
          <cell r="E519">
            <v>0.26719999999999999</v>
          </cell>
        </row>
        <row r="520">
          <cell r="A520" t="str">
            <v>ABELL_4023</v>
          </cell>
          <cell r="B520">
            <v>0.193</v>
          </cell>
          <cell r="D520">
            <v>355.02879999999999</v>
          </cell>
          <cell r="E520">
            <v>-85.197400000000002</v>
          </cell>
        </row>
        <row r="521">
          <cell r="A521" t="str">
            <v>SPT-CL_J2341-5119</v>
          </cell>
          <cell r="B521">
            <v>0.998</v>
          </cell>
          <cell r="D521">
            <v>355.30200000000002</v>
          </cell>
          <cell r="E521">
            <v>-51.328699999999998</v>
          </cell>
        </row>
        <row r="522">
          <cell r="A522" t="str">
            <v>ABELL_2645</v>
          </cell>
          <cell r="B522">
            <v>0.251</v>
          </cell>
          <cell r="D522">
            <v>355.32319999999999</v>
          </cell>
          <cell r="E522">
            <v>-9.0165000000000006</v>
          </cell>
        </row>
        <row r="523">
          <cell r="A523" t="str">
            <v>MCXC_J2344.2-0422</v>
          </cell>
          <cell r="B523">
            <v>7.9000000000000001E-2</v>
          </cell>
          <cell r="D523">
            <v>356.07690000000002</v>
          </cell>
          <cell r="E523">
            <v>-4.3815999999999997</v>
          </cell>
        </row>
        <row r="524">
          <cell r="A524" t="str">
            <v>SPT-CL_J2344-4243</v>
          </cell>
          <cell r="B524">
            <v>0.62</v>
          </cell>
          <cell r="D524">
            <v>356.18329999999997</v>
          </cell>
          <cell r="E524">
            <v>-42.720100000000002</v>
          </cell>
        </row>
        <row r="525">
          <cell r="A525" t="str">
            <v>ABELL_2657</v>
          </cell>
          <cell r="B525">
            <v>0.04</v>
          </cell>
          <cell r="D525">
            <v>356.2389</v>
          </cell>
          <cell r="E525">
            <v>9.1920999999999999</v>
          </cell>
        </row>
        <row r="526">
          <cell r="A526" t="str">
            <v>SPT-CLJ2345-6405</v>
          </cell>
          <cell r="B526">
            <v>0.94</v>
          </cell>
          <cell r="D526">
            <v>356.24849999999998</v>
          </cell>
          <cell r="E526">
            <v>-64.096299999999999</v>
          </cell>
        </row>
        <row r="527">
          <cell r="A527" t="str">
            <v>HCG_097</v>
          </cell>
          <cell r="B527">
            <v>2.1999999999999999E-2</v>
          </cell>
          <cell r="D527">
            <v>356.84589999999997</v>
          </cell>
          <cell r="E527">
            <v>-2.3005</v>
          </cell>
        </row>
        <row r="528">
          <cell r="A528" t="str">
            <v>ABELL_4038</v>
          </cell>
          <cell r="B528">
            <v>2.8000000000000001E-2</v>
          </cell>
          <cell r="D528">
            <v>356.93740000000003</v>
          </cell>
          <cell r="E528">
            <v>-28.140599999999999</v>
          </cell>
        </row>
        <row r="529">
          <cell r="A529" t="str">
            <v>ABELL_S1150</v>
          </cell>
          <cell r="B529">
            <v>0.26100000000000001</v>
          </cell>
          <cell r="D529">
            <v>356.95549999999997</v>
          </cell>
          <cell r="E529">
            <v>-35.5867</v>
          </cell>
        </row>
        <row r="530">
          <cell r="A530" t="str">
            <v>ABELL_2665</v>
          </cell>
          <cell r="B530">
            <v>5.6000000000000001E-2</v>
          </cell>
          <cell r="D530">
            <v>357.71089999999998</v>
          </cell>
          <cell r="E530">
            <v>6.1502999999999997</v>
          </cell>
        </row>
        <row r="531">
          <cell r="A531" t="str">
            <v>ABELL_2667</v>
          </cell>
          <cell r="B531">
            <v>0.23</v>
          </cell>
          <cell r="D531">
            <v>357.91410000000002</v>
          </cell>
          <cell r="E531">
            <v>-26.0837</v>
          </cell>
        </row>
        <row r="532">
          <cell r="A532" t="str">
            <v>ABELL_2670</v>
          </cell>
          <cell r="B532">
            <v>7.5999999999999998E-2</v>
          </cell>
          <cell r="D532">
            <v>358.55709999999999</v>
          </cell>
          <cell r="E532">
            <v>-10.4192</v>
          </cell>
        </row>
        <row r="533">
          <cell r="A533" t="str">
            <v>SPT-CL_J2355-5056</v>
          </cell>
          <cell r="B533">
            <v>0.35</v>
          </cell>
          <cell r="D533">
            <v>358.9477</v>
          </cell>
          <cell r="E533">
            <v>-50.928100000000001</v>
          </cell>
        </row>
        <row r="534">
          <cell r="A534" t="str">
            <v>SPT-CL_J2359-5009</v>
          </cell>
          <cell r="B534">
            <v>0.76</v>
          </cell>
          <cell r="D534">
            <v>359.92829999999998</v>
          </cell>
          <cell r="E534">
            <v>-50.168799999999997</v>
          </cell>
        </row>
        <row r="535">
          <cell r="A535" t="str">
            <v>3C_028</v>
          </cell>
          <cell r="B535">
            <v>0.1953</v>
          </cell>
          <cell r="D535">
            <v>13.9635</v>
          </cell>
          <cell r="E535">
            <v>26.407599999999999</v>
          </cell>
        </row>
      </sheetData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3_v2"/>
      <sheetName val="LX COMPUTED"/>
      <sheetName val="XSPEC_CE_out"/>
      <sheetName val="WithIntNH"/>
      <sheetName val="Int_NH"/>
      <sheetName val="Table2_v2"/>
    </sheetNames>
    <sheetDataSet>
      <sheetData sheetId="0" refreshError="1"/>
      <sheetData sheetId="1">
        <row r="1">
          <cell r="A1" t="str">
            <v>Name</v>
          </cell>
          <cell r="T1" t="str">
            <v>Lx_0.5-7_CE</v>
          </cell>
          <cell r="U1" t="str">
            <v>eLx_0.5-7_CE</v>
          </cell>
          <cell r="V1" t="str">
            <v>Lbol_CE</v>
          </cell>
          <cell r="W1" t="str">
            <v>eLbol_CE</v>
          </cell>
          <cell r="AE1" t="str">
            <v>Conc</v>
          </cell>
          <cell r="AF1" t="str">
            <v>eConc</v>
          </cell>
          <cell r="AK1" t="str">
            <v>Lx_CE_0.5-2</v>
          </cell>
          <cell r="AL1" t="str">
            <v>eLx_CE_0.5-2</v>
          </cell>
        </row>
        <row r="2">
          <cell r="A2" t="str">
            <v>2MASSi_J0913454+405628</v>
          </cell>
          <cell r="T2">
            <v>3.8537012614489909</v>
          </cell>
          <cell r="U2">
            <v>0.16723775003142241</v>
          </cell>
          <cell r="V2">
            <v>5.7866903751287389</v>
          </cell>
          <cell r="W2">
            <v>0.33189178109706841</v>
          </cell>
          <cell r="AE2">
            <v>0.78872405756353814</v>
          </cell>
          <cell r="AF2">
            <v>7.5467888126812153E-3</v>
          </cell>
          <cell r="AK2">
            <v>1.5589097707082424</v>
          </cell>
          <cell r="AL2">
            <v>6.7651471888410128E-2</v>
          </cell>
        </row>
        <row r="3">
          <cell r="A3" t="str">
            <v>2MASX_J13312961+1107566</v>
          </cell>
          <cell r="T3">
            <v>9.8662128231887247E-3</v>
          </cell>
          <cell r="U3">
            <v>4.8203531026342304E-3</v>
          </cell>
          <cell r="V3">
            <v>1.5103002321863731E-2</v>
          </cell>
          <cell r="W3">
            <v>7.379013313975601E-3</v>
          </cell>
          <cell r="AE3">
            <v>0.72498298162014974</v>
          </cell>
          <cell r="AF3">
            <v>0.18062678004434726</v>
          </cell>
          <cell r="AK3">
            <v>9.4312850592340701E-3</v>
          </cell>
          <cell r="AL3">
            <v>4.6078596733952889E-3</v>
          </cell>
        </row>
        <row r="4">
          <cell r="A4" t="str">
            <v>2MFGC_06756</v>
          </cell>
          <cell r="T4">
            <v>2.3566023710712227</v>
          </cell>
          <cell r="U4">
            <v>5.2660378326163458E-2</v>
          </cell>
          <cell r="V4">
            <v>3.3188192849579536</v>
          </cell>
          <cell r="W4">
            <v>0.10391496912188897</v>
          </cell>
          <cell r="AE4">
            <v>0.70428280081577166</v>
          </cell>
          <cell r="AF4">
            <v>5.5772918488681822E-3</v>
          </cell>
          <cell r="AK4">
            <v>1.0400365089321169</v>
          </cell>
          <cell r="AL4">
            <v>2.3240541851993368E-2</v>
          </cell>
        </row>
        <row r="5">
          <cell r="A5" t="str">
            <v>3C_028</v>
          </cell>
          <cell r="T5">
            <v>2.6328690545900377</v>
          </cell>
          <cell r="U5">
            <v>3.080081962242542E-2</v>
          </cell>
          <cell r="V5">
            <v>4.0076708411625432</v>
          </cell>
          <cell r="W5">
            <v>0.19277286242010908</v>
          </cell>
          <cell r="AE5">
            <v>0.50447078394676648</v>
          </cell>
          <cell r="AF5">
            <v>4.4870919378101693E-3</v>
          </cell>
          <cell r="AK5">
            <v>1.0595869566348526</v>
          </cell>
          <cell r="AL5">
            <v>1.239565889867871E-2</v>
          </cell>
        </row>
        <row r="6">
          <cell r="A6" t="str">
            <v>3C_089</v>
          </cell>
          <cell r="T6">
            <v>0.40305474130266766</v>
          </cell>
          <cell r="U6">
            <v>1.8108655841373427E-2</v>
          </cell>
          <cell r="V6">
            <v>0.57332443627591356</v>
          </cell>
          <cell r="W6">
            <v>3.0522439019838483E-2</v>
          </cell>
          <cell r="AE6">
            <v>0.65426371419006168</v>
          </cell>
          <cell r="AF6">
            <v>1.2318693136860697E-2</v>
          </cell>
          <cell r="AK6">
            <v>0.17893356738966834</v>
          </cell>
          <cell r="AL6">
            <v>8.0392216200118848E-3</v>
          </cell>
        </row>
        <row r="7">
          <cell r="A7" t="str">
            <v>3C_295</v>
          </cell>
          <cell r="T7">
            <v>2.6543474215354141</v>
          </cell>
          <cell r="U7">
            <v>0.35128790535009058</v>
          </cell>
          <cell r="V7">
            <v>3.5381606339217244</v>
          </cell>
          <cell r="W7">
            <v>0.47372135948531091</v>
          </cell>
          <cell r="AE7">
            <v>0.70019832525341552</v>
          </cell>
          <cell r="AF7">
            <v>3.1075112367736534E-2</v>
          </cell>
          <cell r="AK7">
            <v>1.4944647613335955</v>
          </cell>
          <cell r="AL7">
            <v>0.1977839793574277</v>
          </cell>
        </row>
        <row r="8">
          <cell r="A8" t="str">
            <v>A1882a</v>
          </cell>
          <cell r="T8">
            <v>0.27773691594008632</v>
          </cell>
          <cell r="U8">
            <v>1.7208810644329348E-2</v>
          </cell>
          <cell r="V8">
            <v>0.37266912971361704</v>
          </cell>
          <cell r="W8">
            <v>2.335939391916764E-2</v>
          </cell>
          <cell r="AE8">
            <v>0.34959666926880045</v>
          </cell>
          <cell r="AF8">
            <v>1.9741592257120747E-2</v>
          </cell>
          <cell r="AK8">
            <v>0.14223865702410979</v>
          </cell>
          <cell r="AL8">
            <v>8.8132256626614405E-3</v>
          </cell>
        </row>
        <row r="9">
          <cell r="A9" t="str">
            <v>ABELL_0098N</v>
          </cell>
          <cell r="T9">
            <v>0.2837486838140339</v>
          </cell>
          <cell r="U9">
            <v>2.4076250359475495E-2</v>
          </cell>
          <cell r="V9">
            <v>0.38195333416687793</v>
          </cell>
          <cell r="W9">
            <v>3.3692963511066099E-2</v>
          </cell>
          <cell r="AE9">
            <v>0.55329385640266471</v>
          </cell>
          <cell r="AF9">
            <v>2.6856350878093769E-2</v>
          </cell>
          <cell r="AK9">
            <v>0.14068509184582792</v>
          </cell>
          <cell r="AL9">
            <v>1.1937216580521217E-2</v>
          </cell>
        </row>
        <row r="10">
          <cell r="A10" t="str">
            <v>ABELL_0119</v>
          </cell>
          <cell r="T10">
            <v>1.0131687181289433</v>
          </cell>
          <cell r="U10">
            <v>1.2311145537992622E-2</v>
          </cell>
          <cell r="V10">
            <v>1.4863693857678668</v>
          </cell>
          <cell r="W10">
            <v>5.3419212489907754E-2</v>
          </cell>
          <cell r="AE10">
            <v>0.26532381778163144</v>
          </cell>
          <cell r="AF10">
            <v>4.2267676302635065E-3</v>
          </cell>
          <cell r="AK10">
            <v>0.42175562004828698</v>
          </cell>
          <cell r="AL10">
            <v>5.1248076721807844E-3</v>
          </cell>
        </row>
        <row r="11">
          <cell r="A11" t="str">
            <v>ABELL_0133</v>
          </cell>
          <cell r="T11">
            <v>0.43584531531114595</v>
          </cell>
          <cell r="U11">
            <v>5.1079033614094245E-3</v>
          </cell>
          <cell r="V11">
            <v>0.6016585062273444</v>
          </cell>
          <cell r="W11">
            <v>1.7742356866997558E-2</v>
          </cell>
          <cell r="AE11">
            <v>0.72233758528626513</v>
          </cell>
          <cell r="AF11">
            <v>3.2389108473989876E-3</v>
          </cell>
          <cell r="AK11">
            <v>0.20031139323441913</v>
          </cell>
          <cell r="AL11">
            <v>2.3475558939993701E-3</v>
          </cell>
        </row>
        <row r="12">
          <cell r="A12" t="str">
            <v>ABELL_0141</v>
          </cell>
          <cell r="T12">
            <v>2.569311936937305</v>
          </cell>
          <cell r="U12">
            <v>0.11867672482334407</v>
          </cell>
          <cell r="V12">
            <v>3.9697856055016301</v>
          </cell>
          <cell r="W12">
            <v>0.29870845669275764</v>
          </cell>
          <cell r="AE12">
            <v>0.34563297350343475</v>
          </cell>
          <cell r="AF12">
            <v>1.8903893383780523E-2</v>
          </cell>
          <cell r="AK12">
            <v>1.0271810030965365</v>
          </cell>
          <cell r="AL12">
            <v>4.744557307181841E-2</v>
          </cell>
        </row>
        <row r="13">
          <cell r="A13" t="str">
            <v>ABELL_0209</v>
          </cell>
          <cell r="T13">
            <v>5.3351136738269407</v>
          </cell>
          <cell r="U13">
            <v>0.14817962781156696</v>
          </cell>
          <cell r="V13">
            <v>8.9491970079246492</v>
          </cell>
          <cell r="W13">
            <v>0.46142214078936439</v>
          </cell>
          <cell r="AE13">
            <v>0.42963885429638854</v>
          </cell>
          <cell r="AF13">
            <v>9.9041380521271722E-3</v>
          </cell>
          <cell r="AK13">
            <v>1.9998982121699698</v>
          </cell>
          <cell r="AL13">
            <v>5.554599036833513E-2</v>
          </cell>
        </row>
        <row r="14">
          <cell r="A14" t="str">
            <v>ABELL_0267</v>
          </cell>
          <cell r="T14">
            <v>3.44037183611632</v>
          </cell>
          <cell r="U14">
            <v>0.10284901067968789</v>
          </cell>
          <cell r="V14">
            <v>5.5153217880185554</v>
          </cell>
          <cell r="W14">
            <v>0.29466551576148636</v>
          </cell>
          <cell r="AE14">
            <v>0.54193548387096768</v>
          </cell>
          <cell r="AF14">
            <v>1.0382339361736152E-2</v>
          </cell>
          <cell r="AK14">
            <v>1.3122634720173916</v>
          </cell>
          <cell r="AL14">
            <v>3.9229771163467285E-2</v>
          </cell>
        </row>
        <row r="15">
          <cell r="A15" t="str">
            <v>ABELL_0370</v>
          </cell>
          <cell r="T15">
            <v>5.8066152539222715</v>
          </cell>
          <cell r="U15">
            <v>0.12565970215274061</v>
          </cell>
          <cell r="V15">
            <v>9.6188309869782778</v>
          </cell>
          <cell r="W15">
            <v>0.42700038413082736</v>
          </cell>
          <cell r="AE15">
            <v>0.35890383557533628</v>
          </cell>
          <cell r="AF15">
            <v>8.4957458818189276E-3</v>
          </cell>
          <cell r="AK15">
            <v>2.1973064634168473</v>
          </cell>
          <cell r="AL15">
            <v>4.7551432918642791E-2</v>
          </cell>
        </row>
        <row r="16">
          <cell r="A16" t="str">
            <v>ABELL_0376</v>
          </cell>
          <cell r="T16">
            <v>0.44883908210142032</v>
          </cell>
          <cell r="U16">
            <v>1.6666245437070484E-2</v>
          </cell>
          <cell r="V16">
            <v>0.61490188107960764</v>
          </cell>
          <cell r="W16">
            <v>3.3639247348701738E-2</v>
          </cell>
          <cell r="AE16">
            <v>0.39628820960698696</v>
          </cell>
          <cell r="AF16">
            <v>1.4118442337317523E-2</v>
          </cell>
          <cell r="AK16">
            <v>0.20929434845504383</v>
          </cell>
          <cell r="AL16">
            <v>7.7714956630165425E-3</v>
          </cell>
        </row>
        <row r="17">
          <cell r="A17" t="str">
            <v>ABELL_0383</v>
          </cell>
          <cell r="T17">
            <v>1.7257932953145048</v>
          </cell>
          <cell r="U17">
            <v>5.9870240742186845E-2</v>
          </cell>
          <cell r="V17">
            <v>2.4894291412719096</v>
          </cell>
          <cell r="W17">
            <v>0.10081428472167009</v>
          </cell>
          <cell r="AE17">
            <v>0.66027772345002933</v>
          </cell>
          <cell r="AF17">
            <v>9.1472475689833854E-3</v>
          </cell>
          <cell r="AK17">
            <v>0.73439717032285123</v>
          </cell>
          <cell r="AL17">
            <v>2.5477289491727437E-2</v>
          </cell>
        </row>
        <row r="18">
          <cell r="A18" t="str">
            <v>ABELL_0399</v>
          </cell>
          <cell r="T18">
            <v>2.3375517173039673</v>
          </cell>
          <cell r="U18">
            <v>1.8912016722742141E-2</v>
          </cell>
          <cell r="V18">
            <v>3.5963001859418875</v>
          </cell>
          <cell r="W18">
            <v>0.13516088372722432</v>
          </cell>
          <cell r="AE18">
            <v>0.29533508541392905</v>
          </cell>
          <cell r="AF18">
            <v>3.2715360740739664E-3</v>
          </cell>
          <cell r="AK18">
            <v>0.93633594367447492</v>
          </cell>
          <cell r="AL18">
            <v>7.5754478045516232E-3</v>
          </cell>
        </row>
        <row r="19">
          <cell r="A19" t="str">
            <v>ABELL_0401</v>
          </cell>
          <cell r="T19">
            <v>4.1121988567043761</v>
          </cell>
          <cell r="U19">
            <v>1.5691573072150286E-2</v>
          </cell>
          <cell r="V19">
            <v>6.5889705132611525</v>
          </cell>
          <cell r="W19">
            <v>0.32238136369543996</v>
          </cell>
          <cell r="AE19">
            <v>0.51016225448334751</v>
          </cell>
          <cell r="AF19">
            <v>1.2967511571239413E-3</v>
          </cell>
          <cell r="AK19">
            <v>1.5829369052201123</v>
          </cell>
          <cell r="AL19">
            <v>6.0402648272635494E-3</v>
          </cell>
        </row>
        <row r="20">
          <cell r="A20" t="str">
            <v>ABELL_0402</v>
          </cell>
          <cell r="T20">
            <v>3.8220986102949079</v>
          </cell>
          <cell r="U20">
            <v>0.18541916398703395</v>
          </cell>
          <cell r="V20">
            <v>6.0658534948484455</v>
          </cell>
          <cell r="W20">
            <v>0.51312756096087386</v>
          </cell>
          <cell r="AE20">
            <v>0.60983715520106352</v>
          </cell>
          <cell r="AF20">
            <v>1.4666993190916043E-2</v>
          </cell>
          <cell r="AK20">
            <v>1.5034287408555014</v>
          </cell>
          <cell r="AL20">
            <v>7.2934931477866047E-2</v>
          </cell>
        </row>
        <row r="21">
          <cell r="A21" t="str">
            <v>ABELL_0478</v>
          </cell>
          <cell r="T21">
            <v>5.9987884844101229</v>
          </cell>
          <cell r="U21">
            <v>4.1753611622923799E-2</v>
          </cell>
          <cell r="V21">
            <v>9.5241859078107343</v>
          </cell>
          <cell r="W21">
            <v>0.34610404547128371</v>
          </cell>
          <cell r="AE21">
            <v>0.73327213382292933</v>
          </cell>
          <cell r="AF21">
            <v>1.6001273546935293E-3</v>
          </cell>
          <cell r="AK21">
            <v>2.3255468616372945</v>
          </cell>
          <cell r="AL21">
            <v>1.6186598464683326E-2</v>
          </cell>
        </row>
        <row r="22">
          <cell r="A22" t="str">
            <v>ABELL_0514</v>
          </cell>
          <cell r="T22">
            <v>0.26420587907589815</v>
          </cell>
          <cell r="U22">
            <v>1.1529587932006284E-2</v>
          </cell>
          <cell r="V22">
            <v>0.36042811480408155</v>
          </cell>
          <cell r="W22">
            <v>1.9511181666345041E-2</v>
          </cell>
          <cell r="AE22">
            <v>0.32621359223300972</v>
          </cell>
          <cell r="AF22">
            <v>1.5487681576215481E-2</v>
          </cell>
          <cell r="AK22">
            <v>0.1262942833470152</v>
          </cell>
          <cell r="AL22">
            <v>5.5113120504817767E-3</v>
          </cell>
        </row>
        <row r="23">
          <cell r="A23" t="str">
            <v>ABELL_0539</v>
          </cell>
          <cell r="T23">
            <v>0.26600373566704222</v>
          </cell>
          <cell r="U23">
            <v>9.2564072864486577E-3</v>
          </cell>
          <cell r="V23">
            <v>0.35601388954311131</v>
          </cell>
          <cell r="W23">
            <v>1.3603302522993717E-2</v>
          </cell>
          <cell r="AE23">
            <v>0.41328056693203258</v>
          </cell>
          <cell r="AF23">
            <v>9.4590080943641082E-3</v>
          </cell>
          <cell r="AK23">
            <v>0.1447780847043455</v>
          </cell>
          <cell r="AL23">
            <v>5.0379928492914989E-3</v>
          </cell>
        </row>
        <row r="24">
          <cell r="A24" t="str">
            <v>ABELL_0548A</v>
          </cell>
          <cell r="T24">
            <v>0.23293049689795065</v>
          </cell>
          <cell r="U24">
            <v>1.2653041028740972E-2</v>
          </cell>
          <cell r="V24">
            <v>0.3115490366744722</v>
          </cell>
          <cell r="W24">
            <v>1.8159139724474017E-2</v>
          </cell>
          <cell r="AE24">
            <v>0.35069634828380297</v>
          </cell>
          <cell r="AF24">
            <v>1.9656054857935548E-2</v>
          </cell>
          <cell r="AK24">
            <v>0.12065633329900342</v>
          </cell>
          <cell r="AL24">
            <v>6.5541848574623791E-3</v>
          </cell>
        </row>
        <row r="25">
          <cell r="A25" t="str">
            <v>ABELL_0550</v>
          </cell>
          <cell r="T25">
            <v>1.9751559293833507</v>
          </cell>
          <cell r="U25">
            <v>6.0301864956622195E-2</v>
          </cell>
          <cell r="V25">
            <v>2.9060173698181937</v>
          </cell>
          <cell r="W25">
            <v>0.11242304660121959</v>
          </cell>
          <cell r="AE25">
            <v>0.41715976331360949</v>
          </cell>
          <cell r="AF25">
            <v>1.2849902404356083E-2</v>
          </cell>
          <cell r="AK25">
            <v>0.83196058828981145</v>
          </cell>
          <cell r="AL25">
            <v>2.5399906051947505E-2</v>
          </cell>
        </row>
        <row r="26">
          <cell r="A26" t="str">
            <v>ABELL_0562</v>
          </cell>
          <cell r="T26">
            <v>0.36051307550541656</v>
          </cell>
          <cell r="U26">
            <v>2.1433187878202344E-2</v>
          </cell>
          <cell r="V26">
            <v>0.48428606253465228</v>
          </cell>
          <cell r="W26">
            <v>2.924748645021857E-2</v>
          </cell>
          <cell r="AE26">
            <v>0.37803522321689781</v>
          </cell>
          <cell r="AF26">
            <v>1.6467851189599824E-2</v>
          </cell>
          <cell r="AK26">
            <v>0.20061600140188107</v>
          </cell>
          <cell r="AL26">
            <v>1.1927002767908257E-2</v>
          </cell>
        </row>
        <row r="27">
          <cell r="A27" t="str">
            <v>ABELL_0578</v>
          </cell>
          <cell r="T27">
            <v>0.13875681318357289</v>
          </cell>
          <cell r="U27">
            <v>1.6055561199479484E-2</v>
          </cell>
          <cell r="V27">
            <v>0.18288814214899704</v>
          </cell>
          <cell r="W27">
            <v>2.1406501144479628E-2</v>
          </cell>
          <cell r="AE27">
            <v>0.3555147768978173</v>
          </cell>
          <cell r="AF27">
            <v>3.9693515839931671E-2</v>
          </cell>
          <cell r="AK27">
            <v>8.0228114747792012E-2</v>
          </cell>
          <cell r="AL27">
            <v>9.2832011394488653E-3</v>
          </cell>
        </row>
        <row r="28">
          <cell r="A28" t="str">
            <v>ABELL_0586</v>
          </cell>
          <cell r="T28">
            <v>2.8449895791252175</v>
          </cell>
          <cell r="U28">
            <v>9.4796264582274942E-2</v>
          </cell>
          <cell r="V28">
            <v>4.1860669499650678</v>
          </cell>
          <cell r="W28">
            <v>0.17029661156383458</v>
          </cell>
          <cell r="AE28">
            <v>0.63676656817222455</v>
          </cell>
          <cell r="AF28">
            <v>9.5006894519508323E-3</v>
          </cell>
          <cell r="AK28">
            <v>1.1675669638234012</v>
          </cell>
          <cell r="AL28">
            <v>3.8903828552566778E-2</v>
          </cell>
        </row>
        <row r="29">
          <cell r="A29" t="str">
            <v>ABELL_0598</v>
          </cell>
          <cell r="T29">
            <v>1.5047576886705165</v>
          </cell>
          <cell r="U29">
            <v>6.4858709138669979E-2</v>
          </cell>
          <cell r="V29">
            <v>2.162118252878491</v>
          </cell>
          <cell r="W29">
            <v>0.11573386725317174</v>
          </cell>
          <cell r="AE29">
            <v>0.66878980891719741</v>
          </cell>
          <cell r="AF29">
            <v>1.2584205237361682E-2</v>
          </cell>
          <cell r="AK29">
            <v>0.66509079305938057</v>
          </cell>
          <cell r="AL29">
            <v>2.8667027670055006E-2</v>
          </cell>
        </row>
        <row r="30">
          <cell r="A30" t="str">
            <v>ABELL_0611</v>
          </cell>
          <cell r="T30">
            <v>4.0068931251741065</v>
          </cell>
          <cell r="U30">
            <v>0.11313412322015773</v>
          </cell>
          <cell r="V30">
            <v>6.5795612210387242</v>
          </cell>
          <cell r="W30">
            <v>0.36572551975668377</v>
          </cell>
          <cell r="AE30">
            <v>0.61072834645669283</v>
          </cell>
          <cell r="AF30">
            <v>8.2083767240202464E-3</v>
          </cell>
          <cell r="AK30">
            <v>1.511193724745723</v>
          </cell>
          <cell r="AL30">
            <v>4.2668364671564062E-2</v>
          </cell>
        </row>
        <row r="31">
          <cell r="A31" t="str">
            <v>ABELL_0644</v>
          </cell>
          <cell r="T31">
            <v>2.6706800129560455</v>
          </cell>
          <cell r="U31">
            <v>3.0614395748077006E-2</v>
          </cell>
          <cell r="V31">
            <v>4.0699558726300999</v>
          </cell>
          <cell r="W31">
            <v>0.2100739379410014</v>
          </cell>
          <cell r="AE31">
            <v>0.6207461328480437</v>
          </cell>
          <cell r="AF31">
            <v>3.3297428621934656E-3</v>
          </cell>
          <cell r="AK31">
            <v>1.0684221039324</v>
          </cell>
          <cell r="AL31">
            <v>1.2247478903163488E-2</v>
          </cell>
        </row>
        <row r="32">
          <cell r="A32" t="str">
            <v>ABELL_0665</v>
          </cell>
          <cell r="T32">
            <v>4.0356979560334407</v>
          </cell>
          <cell r="U32">
            <v>5.1115735796268894E-2</v>
          </cell>
          <cell r="V32">
            <v>6.5423641823950192</v>
          </cell>
          <cell r="W32">
            <v>0.35820777728539427</v>
          </cell>
          <cell r="AE32">
            <v>0.46845865116842228</v>
          </cell>
          <cell r="AF32">
            <v>4.2652839616534348E-3</v>
          </cell>
          <cell r="AK32">
            <v>1.5457239574333634</v>
          </cell>
          <cell r="AL32">
            <v>1.9577980880359096E-2</v>
          </cell>
        </row>
        <row r="33">
          <cell r="A33" t="str">
            <v>ABELL_0697</v>
          </cell>
          <cell r="T33">
            <v>10.172274620950638</v>
          </cell>
          <cell r="U33">
            <v>0.26905544984889135</v>
          </cell>
          <cell r="V33">
            <v>19.438554971488905</v>
          </cell>
          <cell r="W33">
            <v>1.4910266503417695</v>
          </cell>
          <cell r="AE33">
            <v>0.49116161616161619</v>
          </cell>
          <cell r="AF33">
            <v>8.2412023213314298E-3</v>
          </cell>
          <cell r="AK33">
            <v>3.5624201879645812</v>
          </cell>
          <cell r="AL33">
            <v>9.4225588861855558E-2</v>
          </cell>
        </row>
        <row r="34">
          <cell r="A34" t="str">
            <v>ABELL_0744</v>
          </cell>
          <cell r="T34">
            <v>0.1325220631933697</v>
          </cell>
          <cell r="U34">
            <v>1.3595632397734422E-2</v>
          </cell>
          <cell r="V34">
            <v>0.1787320235215463</v>
          </cell>
          <cell r="W34">
            <v>1.8519120711621932E-2</v>
          </cell>
          <cell r="AE34">
            <v>0.54771505376344098</v>
          </cell>
          <cell r="AF34">
            <v>2.9512192628363628E-2</v>
          </cell>
          <cell r="AK34">
            <v>7.905974218978104E-2</v>
          </cell>
          <cell r="AL34">
            <v>8.1108546484333285E-3</v>
          </cell>
        </row>
        <row r="35">
          <cell r="A35" t="str">
            <v>ABELL_0754</v>
          </cell>
          <cell r="T35">
            <v>3.5749857067516762</v>
          </cell>
          <cell r="U35">
            <v>1.8606364124466909E-2</v>
          </cell>
          <cell r="V35">
            <v>5.8559048471552746</v>
          </cell>
          <cell r="W35">
            <v>0.25999438149589005</v>
          </cell>
          <cell r="AE35">
            <v>0.33346839546191243</v>
          </cell>
          <cell r="AF35">
            <v>1.666258909183213E-3</v>
          </cell>
          <cell r="AK35">
            <v>1.3537375272721168</v>
          </cell>
          <cell r="AL35">
            <v>7.0456598788102686E-3</v>
          </cell>
        </row>
        <row r="36">
          <cell r="A36" t="str">
            <v>ABELL_0773</v>
          </cell>
          <cell r="T36">
            <v>4.8550205135394098</v>
          </cell>
          <cell r="U36">
            <v>0.11846637937497959</v>
          </cell>
          <cell r="V36">
            <v>7.7220110369368271</v>
          </cell>
          <cell r="W36">
            <v>0.42937793236213628</v>
          </cell>
          <cell r="AE36">
            <v>0.49822015334063524</v>
          </cell>
          <cell r="AF36">
            <v>8.3008161850951327E-3</v>
          </cell>
          <cell r="AK36">
            <v>1.8784745329295585</v>
          </cell>
          <cell r="AL36">
            <v>4.5836279382069446E-2</v>
          </cell>
        </row>
        <row r="37">
          <cell r="A37" t="str">
            <v>ABELL_0795</v>
          </cell>
          <cell r="T37">
            <v>1.5710196106241396</v>
          </cell>
          <cell r="U37">
            <v>4.4427302322064627E-2</v>
          </cell>
          <cell r="V37">
            <v>2.2210897038502604</v>
          </cell>
          <cell r="W37">
            <v>7.5473374484498729E-2</v>
          </cell>
          <cell r="AE37">
            <v>0.58196830470102545</v>
          </cell>
          <cell r="AF37">
            <v>8.5247308537512341E-3</v>
          </cell>
          <cell r="AK37">
            <v>0.70352193191029044</v>
          </cell>
          <cell r="AL37">
            <v>1.9895093191589202E-2</v>
          </cell>
        </row>
        <row r="38">
          <cell r="A38" t="str">
            <v>ABELL_0853</v>
          </cell>
          <cell r="T38">
            <v>0.71734928827380517</v>
          </cell>
          <cell r="U38">
            <v>4.2989484092442583E-2</v>
          </cell>
          <cell r="V38">
            <v>0.99404631806138033</v>
          </cell>
          <cell r="W38">
            <v>6.5736127294021271E-2</v>
          </cell>
          <cell r="AE38">
            <v>0.55718899117944765</v>
          </cell>
          <cell r="AF38">
            <v>2.016131315293395E-2</v>
          </cell>
          <cell r="AK38">
            <v>0.32723001664001938</v>
          </cell>
          <cell r="AL38">
            <v>1.9610320697141932E-2</v>
          </cell>
        </row>
        <row r="39">
          <cell r="A39" t="str">
            <v>ABELL_0868</v>
          </cell>
          <cell r="T39">
            <v>2.3989446792284963</v>
          </cell>
          <cell r="U39">
            <v>9.5080290648963117E-2</v>
          </cell>
          <cell r="V39">
            <v>3.3259139111908884</v>
          </cell>
          <cell r="W39">
            <v>0.14263384308160323</v>
          </cell>
          <cell r="AE39">
            <v>0.35376921652157811</v>
          </cell>
          <cell r="AF39">
            <v>1.4591201576787029E-2</v>
          </cell>
          <cell r="AK39">
            <v>1.1047709814370088</v>
          </cell>
          <cell r="AL39">
            <v>4.3786731276084553E-2</v>
          </cell>
        </row>
        <row r="40">
          <cell r="A40" t="str">
            <v>ABELL_0907</v>
          </cell>
          <cell r="T40">
            <v>2.4333770214605019</v>
          </cell>
          <cell r="U40">
            <v>5.2964262656627049E-2</v>
          </cell>
          <cell r="V40">
            <v>3.5554000264248944</v>
          </cell>
          <cell r="W40">
            <v>0.14861560362420606</v>
          </cell>
          <cell r="AE40">
            <v>0.67134731603270525</v>
          </cell>
          <cell r="AF40">
            <v>5.757216456448601E-3</v>
          </cell>
          <cell r="AK40">
            <v>1.0135612735410464</v>
          </cell>
          <cell r="AL40">
            <v>2.2060915771364268E-2</v>
          </cell>
        </row>
        <row r="41">
          <cell r="A41" t="str">
            <v>ABELL_0963</v>
          </cell>
          <cell r="T41">
            <v>3.7892178264335716</v>
          </cell>
          <cell r="U41">
            <v>6.8437258086236644E-2</v>
          </cell>
          <cell r="V41">
            <v>5.6964486255102633</v>
          </cell>
          <cell r="W41">
            <v>0.28646817079365494</v>
          </cell>
          <cell r="AE41">
            <v>0.57871835443037978</v>
          </cell>
          <cell r="AF41">
            <v>5.7416796892477357E-3</v>
          </cell>
          <cell r="AK41">
            <v>1.5480254598918477</v>
          </cell>
          <cell r="AL41">
            <v>2.7958967463846542E-2</v>
          </cell>
        </row>
        <row r="42">
          <cell r="A42" t="str">
            <v>ABELL_0970</v>
          </cell>
          <cell r="T42">
            <v>0.73841337979769062</v>
          </cell>
          <cell r="U42">
            <v>2.4939867703941153E-2</v>
          </cell>
          <cell r="V42">
            <v>1.0248245042542701</v>
          </cell>
          <cell r="W42">
            <v>4.2532935697260445E-2</v>
          </cell>
          <cell r="AE42">
            <v>0.39037741284932292</v>
          </cell>
          <cell r="AF42">
            <v>1.1269318668360813E-2</v>
          </cell>
          <cell r="AK42">
            <v>0.33590397506850794</v>
          </cell>
          <cell r="AL42">
            <v>1.1345136651954713E-2</v>
          </cell>
        </row>
        <row r="43">
          <cell r="A43" t="str">
            <v>ABELL_0980</v>
          </cell>
          <cell r="T43">
            <v>2.5716326548712658</v>
          </cell>
          <cell r="U43">
            <v>9.0449724627401529E-2</v>
          </cell>
          <cell r="V43">
            <v>3.8983799173125053</v>
          </cell>
          <cell r="W43">
            <v>0.19437215622413487</v>
          </cell>
          <cell r="AE43">
            <v>0.47420446851726467</v>
          </cell>
          <cell r="AF43">
            <v>1.2480406307062146E-2</v>
          </cell>
          <cell r="AK43">
            <v>1.0356530802954813</v>
          </cell>
          <cell r="AL43">
            <v>3.6426095206407209E-2</v>
          </cell>
        </row>
        <row r="44">
          <cell r="A44" t="str">
            <v>ABELL_1033</v>
          </cell>
          <cell r="T44">
            <v>1.2511634988051414</v>
          </cell>
          <cell r="U44">
            <v>2.3828651740451835E-2</v>
          </cell>
          <cell r="V44">
            <v>1.8347910796947389</v>
          </cell>
          <cell r="W44">
            <v>7.9966499809367972E-2</v>
          </cell>
          <cell r="AE44">
            <v>0.57536190746522853</v>
          </cell>
          <cell r="AF44">
            <v>6.3224315245497742E-3</v>
          </cell>
          <cell r="AK44">
            <v>0.52111057128360427</v>
          </cell>
          <cell r="AL44">
            <v>9.9246520005126931E-3</v>
          </cell>
        </row>
        <row r="45">
          <cell r="A45" t="str">
            <v>ABELL_1068</v>
          </cell>
          <cell r="T45">
            <v>1.5659536366896074</v>
          </cell>
          <cell r="U45">
            <v>3.8949038220373884E-2</v>
          </cell>
          <cell r="V45">
            <v>2.2427148839684041</v>
          </cell>
          <cell r="W45">
            <v>9.6362490234571163E-2</v>
          </cell>
          <cell r="AE45">
            <v>0.73387372013651886</v>
          </cell>
          <cell r="AF45">
            <v>5.7052517002147557E-3</v>
          </cell>
          <cell r="AK45">
            <v>0.66897896943690272</v>
          </cell>
          <cell r="AL45">
            <v>1.6639118067573361E-2</v>
          </cell>
        </row>
        <row r="46">
          <cell r="A46" t="str">
            <v>ABELL_1190</v>
          </cell>
          <cell r="T46">
            <v>0.53275686153664437</v>
          </cell>
          <cell r="U46">
            <v>3.0455546552215992E-2</v>
          </cell>
          <cell r="V46">
            <v>0.71875922603286591</v>
          </cell>
          <cell r="W46">
            <v>4.2047113991416536E-2</v>
          </cell>
          <cell r="AE46">
            <v>0.45096213531967722</v>
          </cell>
          <cell r="AF46">
            <v>1.6520477663049087E-2</v>
          </cell>
          <cell r="AK46">
            <v>0.26681048279061365</v>
          </cell>
          <cell r="AL46">
            <v>1.5252471935905494E-2</v>
          </cell>
        </row>
        <row r="47">
          <cell r="A47" t="str">
            <v>ABELL_1201</v>
          </cell>
          <cell r="T47">
            <v>2.0826359940715391</v>
          </cell>
          <cell r="U47">
            <v>4.9455637968050283E-2</v>
          </cell>
          <cell r="V47">
            <v>2.9691090177012911</v>
          </cell>
          <cell r="W47">
            <v>0.1084695673391682</v>
          </cell>
          <cell r="AE47">
            <v>0.42405884898312418</v>
          </cell>
          <cell r="AF47">
            <v>8.2938615311162374E-3</v>
          </cell>
          <cell r="AK47">
            <v>0.8946379351886492</v>
          </cell>
          <cell r="AL47">
            <v>2.1244658193329026E-2</v>
          </cell>
        </row>
        <row r="48">
          <cell r="A48" t="str">
            <v>ABELL_1204</v>
          </cell>
          <cell r="T48">
            <v>1.3328468813793168</v>
          </cell>
          <cell r="U48">
            <v>6.028931596623216E-2</v>
          </cell>
          <cell r="V48">
            <v>1.8541651310569764</v>
          </cell>
          <cell r="W48">
            <v>9.1913997354424889E-2</v>
          </cell>
          <cell r="AE48">
            <v>0.80317422147408912</v>
          </cell>
          <cell r="AF48">
            <v>8.0049249089688222E-3</v>
          </cell>
          <cell r="AK48">
            <v>0.60800112888217483</v>
          </cell>
          <cell r="AL48">
            <v>2.7502012931199787E-2</v>
          </cell>
        </row>
        <row r="49">
          <cell r="A49" t="str">
            <v>ABELL_1285</v>
          </cell>
          <cell r="T49">
            <v>1.9965462649470007</v>
          </cell>
          <cell r="U49">
            <v>4.2072130358059692E-2</v>
          </cell>
          <cell r="V49">
            <v>2.8690451465315574</v>
          </cell>
          <cell r="W49">
            <v>0.12221040903537883</v>
          </cell>
          <cell r="AE49">
            <v>0.41388494318181818</v>
          </cell>
          <cell r="AF49">
            <v>9.2021799306654418E-3</v>
          </cell>
          <cell r="AK49">
            <v>0.85436263137744006</v>
          </cell>
          <cell r="AL49">
            <v>1.8003517690245326E-2</v>
          </cell>
        </row>
        <row r="50">
          <cell r="A50" t="str">
            <v>ABELL_1300</v>
          </cell>
          <cell r="T50">
            <v>8.3621469441535936</v>
          </cell>
          <cell r="U50">
            <v>0.26982934754120835</v>
          </cell>
          <cell r="V50">
            <v>15.686089598292122</v>
          </cell>
          <cell r="W50">
            <v>1.3983364250708994</v>
          </cell>
          <cell r="AE50">
            <v>0.49407928608203194</v>
          </cell>
          <cell r="AF50">
            <v>1.1286222893238758E-2</v>
          </cell>
          <cell r="AK50">
            <v>2.9677286296412588</v>
          </cell>
          <cell r="AL50">
            <v>9.57625218934154E-2</v>
          </cell>
        </row>
        <row r="51">
          <cell r="A51" t="str">
            <v>ABELL_1413</v>
          </cell>
          <cell r="T51">
            <v>3.5361883933286804</v>
          </cell>
          <cell r="U51">
            <v>4.105813636911132E-2</v>
          </cell>
          <cell r="V51">
            <v>5.5637499939246231</v>
          </cell>
          <cell r="W51">
            <v>0.21321005401113788</v>
          </cell>
          <cell r="AE51">
            <v>0.62924400181077411</v>
          </cell>
          <cell r="AF51">
            <v>3.3736794110860173E-3</v>
          </cell>
          <cell r="AK51">
            <v>1.3829649598203591</v>
          </cell>
          <cell r="AL51">
            <v>1.6057392196957281E-2</v>
          </cell>
        </row>
        <row r="52">
          <cell r="A52" t="str">
            <v>ABELL_1423</v>
          </cell>
          <cell r="T52">
            <v>2.77</v>
          </cell>
          <cell r="U52">
            <v>0.09</v>
          </cell>
          <cell r="V52">
            <v>3.69</v>
          </cell>
          <cell r="W52">
            <v>0.18</v>
          </cell>
          <cell r="AE52">
            <v>0.53430353430353428</v>
          </cell>
          <cell r="AF52">
            <v>1.1175970288911331E-2</v>
          </cell>
          <cell r="AK52">
            <v>1.0741244525799563</v>
          </cell>
          <cell r="AL52">
            <v>3.4899350444836122E-2</v>
          </cell>
        </row>
        <row r="53">
          <cell r="A53" t="str">
            <v>ABELL_1446</v>
          </cell>
          <cell r="T53">
            <v>0.61964016824249379</v>
          </cell>
          <cell r="U53">
            <v>1.7271982551262468E-2</v>
          </cell>
          <cell r="V53">
            <v>0.83382748566990683</v>
          </cell>
          <cell r="W53">
            <v>3.3355244493218215E-2</v>
          </cell>
          <cell r="AE53">
            <v>0.35450043693562483</v>
          </cell>
          <cell r="AF53">
            <v>9.4142105705136165E-3</v>
          </cell>
          <cell r="AK53">
            <v>0.30801331896621975</v>
          </cell>
          <cell r="AL53">
            <v>8.5856291173477105E-3</v>
          </cell>
        </row>
        <row r="54">
          <cell r="A54" t="str">
            <v>ABELL_1553</v>
          </cell>
          <cell r="T54">
            <v>3.3351680068639622</v>
          </cell>
          <cell r="U54">
            <v>0.12185264987387501</v>
          </cell>
          <cell r="V54">
            <v>5.3320928701827972</v>
          </cell>
          <cell r="W54">
            <v>0.31885433534978347</v>
          </cell>
          <cell r="AE54">
            <v>0.43912347654807338</v>
          </cell>
          <cell r="AF54">
            <v>1.2930573877566865E-2</v>
          </cell>
          <cell r="AK54">
            <v>1.2510808445650941</v>
          </cell>
          <cell r="AL54">
            <v>4.5709096454198628E-2</v>
          </cell>
        </row>
        <row r="55">
          <cell r="A55" t="str">
            <v>ABELL_1569</v>
          </cell>
          <cell r="T55">
            <v>0.23088510661893089</v>
          </cell>
          <cell r="U55">
            <v>1.5538510478482958E-2</v>
          </cell>
          <cell r="V55">
            <v>0.30796818500138096</v>
          </cell>
          <cell r="W55">
            <v>2.1473816974766771E-2</v>
          </cell>
          <cell r="AE55">
            <v>0.34064155980745114</v>
          </cell>
          <cell r="AF55">
            <v>2.0568077124228829E-2</v>
          </cell>
          <cell r="AK55">
            <v>0.13722838111397737</v>
          </cell>
          <cell r="AL55">
            <v>9.2354360535005404E-3</v>
          </cell>
        </row>
        <row r="56">
          <cell r="A56" t="str">
            <v>ABELL_1576</v>
          </cell>
          <cell r="T56">
            <v>2.422824515009399</v>
          </cell>
          <cell r="U56">
            <v>9.8014696177565655E-2</v>
          </cell>
          <cell r="V56">
            <v>3.8657545073724964</v>
          </cell>
          <cell r="W56">
            <v>0.23984339369443564</v>
          </cell>
          <cell r="AE56">
            <v>0.45880748859405313</v>
          </cell>
          <cell r="AF56">
            <v>1.4673517363140886E-2</v>
          </cell>
          <cell r="AK56">
            <v>0.95191222643921947</v>
          </cell>
          <cell r="AL56">
            <v>3.8509346048031148E-2</v>
          </cell>
        </row>
        <row r="57">
          <cell r="A57" t="str">
            <v>ABELL_1650</v>
          </cell>
          <cell r="T57">
            <v>1.9625051343882791</v>
          </cell>
          <cell r="U57">
            <v>1.6203247519821176E-2</v>
          </cell>
          <cell r="V57">
            <v>2.866475122895495</v>
          </cell>
          <cell r="W57">
            <v>9.6053328182283348E-2</v>
          </cell>
          <cell r="AE57">
            <v>0.61231510147918811</v>
          </cell>
          <cell r="AF57">
            <v>2.4494887648763676E-3</v>
          </cell>
          <cell r="AK57">
            <v>0.82238251995824341</v>
          </cell>
          <cell r="AL57">
            <v>6.7899274724757533E-3</v>
          </cell>
        </row>
        <row r="58">
          <cell r="A58" t="str">
            <v>ABELL_1651</v>
          </cell>
          <cell r="T58">
            <v>2.4162481492461709</v>
          </cell>
          <cell r="U58">
            <v>5.6963363103990035E-2</v>
          </cell>
          <cell r="V58">
            <v>3.6861259459104976</v>
          </cell>
          <cell r="W58">
            <v>0.1215096254574651</v>
          </cell>
          <cell r="AE58">
            <v>0.53428863868986698</v>
          </cell>
          <cell r="AF58">
            <v>7.6509611970369956E-3</v>
          </cell>
          <cell r="AK58">
            <v>0.96020273511158338</v>
          </cell>
          <cell r="AL58">
            <v>2.2636903858848208E-2</v>
          </cell>
        </row>
        <row r="59">
          <cell r="A59" t="str">
            <v>ABELL_1664</v>
          </cell>
          <cell r="T59">
            <v>1.7868115682764185</v>
          </cell>
          <cell r="U59">
            <v>4.1820870388900262E-2</v>
          </cell>
          <cell r="V59">
            <v>2.4932938150206292</v>
          </cell>
          <cell r="W59">
            <v>8.5835945143489772E-2</v>
          </cell>
          <cell r="AE59">
            <v>0.64575163398692803</v>
          </cell>
          <cell r="AF59">
            <v>6.6571744124099309E-3</v>
          </cell>
          <cell r="AK59">
            <v>0.80673341433925871</v>
          </cell>
          <cell r="AL59">
            <v>1.8881841912419175E-2</v>
          </cell>
        </row>
        <row r="60">
          <cell r="A60" t="str">
            <v>ABELL_1682</v>
          </cell>
          <cell r="T60">
            <v>3.0624914912307108</v>
          </cell>
          <cell r="U60">
            <v>8.6685047796474499E-2</v>
          </cell>
          <cell r="V60">
            <v>4.7910808904419104</v>
          </cell>
          <cell r="W60">
            <v>0.22418487271444865</v>
          </cell>
          <cell r="AE60">
            <v>0.37704918032786888</v>
          </cell>
          <cell r="AF60">
            <v>1.1471489809701963E-2</v>
          </cell>
          <cell r="AK60">
            <v>1.2213611453751492</v>
          </cell>
          <cell r="AL60">
            <v>3.4571116219184857E-2</v>
          </cell>
        </row>
        <row r="61">
          <cell r="A61" t="str">
            <v>ABELL_1689</v>
          </cell>
          <cell r="T61">
            <v>7.2819157404904526</v>
          </cell>
          <cell r="U61">
            <v>9.0664476707713659E-2</v>
          </cell>
          <cell r="V61">
            <v>12.850872466407319</v>
          </cell>
          <cell r="W61">
            <v>0.6721609757599909</v>
          </cell>
          <cell r="AE61">
            <v>0.67456189485476514</v>
          </cell>
          <cell r="AF61">
            <v>3.1402242653969579E-3</v>
          </cell>
          <cell r="AK61">
            <v>2.6477786990601784</v>
          </cell>
          <cell r="AL61">
            <v>3.2966526768950691E-2</v>
          </cell>
        </row>
        <row r="62">
          <cell r="A62" t="str">
            <v>ABELL_1736</v>
          </cell>
          <cell r="T62">
            <v>0.58035867709146982</v>
          </cell>
          <cell r="U62">
            <v>1.2645324997304289E-2</v>
          </cell>
          <cell r="V62">
            <v>0.77446521526012246</v>
          </cell>
          <cell r="W62">
            <v>2.1039606191739973E-2</v>
          </cell>
          <cell r="AE62">
            <v>0.23850179014045716</v>
          </cell>
          <cell r="AF62">
            <v>9.3619944806714005E-3</v>
          </cell>
          <cell r="AK62">
            <v>0.30304132549406887</v>
          </cell>
          <cell r="AL62">
            <v>6.6029098896067812E-3</v>
          </cell>
        </row>
        <row r="63">
          <cell r="A63" t="str">
            <v>ABELL_1750C</v>
          </cell>
          <cell r="T63">
            <v>0.37277655019985206</v>
          </cell>
          <cell r="U63">
            <v>1.2794416284893266E-2</v>
          </cell>
          <cell r="V63">
            <v>0.51791743995196449</v>
          </cell>
          <cell r="W63">
            <v>2.0742612960897737E-2</v>
          </cell>
          <cell r="AE63">
            <v>0.49854539886694227</v>
          </cell>
          <cell r="AF63">
            <v>1.1917484360793729E-2</v>
          </cell>
          <cell r="AK63">
            <v>0.16592436004997163</v>
          </cell>
          <cell r="AL63">
            <v>5.694846773880287E-3</v>
          </cell>
        </row>
        <row r="64">
          <cell r="A64" t="str">
            <v>ABELL_1750N</v>
          </cell>
          <cell r="T64">
            <v>0.39549648960285888</v>
          </cell>
          <cell r="U64">
            <v>2.3167069538615789E-2</v>
          </cell>
          <cell r="V64">
            <v>0.53728987493989722</v>
          </cell>
          <cell r="W64">
            <v>3.3060715891352295E-2</v>
          </cell>
          <cell r="AE64">
            <v>0.38638920134983123</v>
          </cell>
          <cell r="AF64">
            <v>2.1436452400376581E-2</v>
          </cell>
          <cell r="AK64">
            <v>0.19901316197604957</v>
          </cell>
          <cell r="AL64">
            <v>1.1657630051858797E-2</v>
          </cell>
        </row>
        <row r="65">
          <cell r="A65" t="str">
            <v>ABELL_1763</v>
          </cell>
          <cell r="T65">
            <v>5.8146464468485544</v>
          </cell>
          <cell r="U65">
            <v>0.1620969834946932</v>
          </cell>
          <cell r="V65">
            <v>9.1204266283292004</v>
          </cell>
          <cell r="W65">
            <v>0.41397289105991875</v>
          </cell>
          <cell r="AE65">
            <v>0.39702667249672063</v>
          </cell>
          <cell r="AF65">
            <v>9.967612246242057E-3</v>
          </cell>
          <cell r="AK65">
            <v>2.2611957438796364</v>
          </cell>
          <cell r="AL65">
            <v>6.3036164369474776E-2</v>
          </cell>
        </row>
        <row r="66">
          <cell r="A66" t="str">
            <v>ABELL_1767</v>
          </cell>
          <cell r="T66">
            <v>1.0070464248563515</v>
          </cell>
          <cell r="U66">
            <v>3.0589452132276297E-2</v>
          </cell>
          <cell r="V66">
            <v>1.4418826413561101</v>
          </cell>
          <cell r="W66">
            <v>5.1583858403825025E-2</v>
          </cell>
          <cell r="AE66">
            <v>0.31436404419705904</v>
          </cell>
          <cell r="AF66">
            <v>1.3078255308620956E-2</v>
          </cell>
          <cell r="AK66">
            <v>0.432722731493492</v>
          </cell>
          <cell r="AL66">
            <v>1.3144132142126574E-2</v>
          </cell>
        </row>
        <row r="67">
          <cell r="A67" t="str">
            <v>ABELL_1831</v>
          </cell>
          <cell r="T67">
            <v>0.44772093658924073</v>
          </cell>
          <cell r="U67">
            <v>1.7368784971963935E-2</v>
          </cell>
          <cell r="V67">
            <v>0.59819491717985396</v>
          </cell>
          <cell r="W67">
            <v>2.4098395840553712E-2</v>
          </cell>
          <cell r="AE67">
            <v>0.44145658263305315</v>
          </cell>
          <cell r="AF67">
            <v>1.5224772029281101E-2</v>
          </cell>
          <cell r="AK67">
            <v>0.2187956673664542</v>
          </cell>
          <cell r="AL67">
            <v>8.4879097418036932E-3</v>
          </cell>
        </row>
        <row r="68">
          <cell r="A68" t="str">
            <v>ABELL_1835</v>
          </cell>
          <cell r="T68">
            <v>9.9719489008671651</v>
          </cell>
          <cell r="U68">
            <v>0.15466407997803885</v>
          </cell>
          <cell r="V68">
            <v>17.738517732492486</v>
          </cell>
          <cell r="W68">
            <v>1.2433576979787178</v>
          </cell>
          <cell r="AE68">
            <v>0.72172808132147404</v>
          </cell>
          <cell r="AF68">
            <v>3.6313184609622078E-3</v>
          </cell>
          <cell r="AK68">
            <v>3.5950573682126334</v>
          </cell>
          <cell r="AL68">
            <v>5.5759034252023124E-2</v>
          </cell>
        </row>
        <row r="69">
          <cell r="A69" t="str">
            <v>ABELL_1914</v>
          </cell>
          <cell r="T69">
            <v>7.8606613716950475</v>
          </cell>
          <cell r="U69">
            <v>0.13327627976182635</v>
          </cell>
          <cell r="V69">
            <v>12.968042363333677</v>
          </cell>
          <cell r="W69">
            <v>0.84175331719455304</v>
          </cell>
          <cell r="AE69">
            <v>0.57527333894028598</v>
          </cell>
          <cell r="AF69">
            <v>5.430352979916825E-3</v>
          </cell>
          <cell r="AK69">
            <v>2.9926872668334146</v>
          </cell>
          <cell r="AL69">
            <v>5.0740542882352656E-2</v>
          </cell>
        </row>
        <row r="70">
          <cell r="A70" t="str">
            <v>ABELL_1930</v>
          </cell>
          <cell r="T70">
            <v>0.80008913042408913</v>
          </cell>
          <cell r="U70">
            <v>3.4858491438880972E-2</v>
          </cell>
          <cell r="V70">
            <v>1.0965001958988616</v>
          </cell>
          <cell r="W70">
            <v>6.3215687000729714E-2</v>
          </cell>
          <cell r="AE70">
            <v>0.59196861297022851</v>
          </cell>
          <cell r="AF70">
            <v>1.2746138072641133E-2</v>
          </cell>
          <cell r="AK70">
            <v>0.36083004738563751</v>
          </cell>
          <cell r="AL70">
            <v>1.5720737402114521E-2</v>
          </cell>
        </row>
        <row r="71">
          <cell r="A71" t="str">
            <v>ABELL_1942_AND_CLUMP</v>
          </cell>
          <cell r="T71">
            <v>1.2015033271737103</v>
          </cell>
          <cell r="U71">
            <v>4.3316659430925157E-2</v>
          </cell>
          <cell r="V71">
            <v>1.7203050239505953</v>
          </cell>
          <cell r="W71">
            <v>7.4108352281858178E-2</v>
          </cell>
          <cell r="AE71">
            <v>0.40745305589791925</v>
          </cell>
          <cell r="AF71">
            <v>1.413018278781049E-2</v>
          </cell>
          <cell r="AK71">
            <v>0.51629126937429204</v>
          </cell>
          <cell r="AL71">
            <v>1.8613359261561924E-2</v>
          </cell>
        </row>
        <row r="72">
          <cell r="A72" t="str">
            <v>ABELL_2009</v>
          </cell>
          <cell r="T72">
            <v>3.023194972042154</v>
          </cell>
          <cell r="U72">
            <v>8.4327503989028357E-2</v>
          </cell>
          <cell r="V72">
            <v>4.6181448074161846</v>
          </cell>
          <cell r="W72">
            <v>0.17947249295378997</v>
          </cell>
          <cell r="AE72">
            <v>0.672686075254051</v>
          </cell>
          <cell r="AF72">
            <v>7.4449667944075943E-3</v>
          </cell>
          <cell r="AK72">
            <v>1.1911723088785307</v>
          </cell>
          <cell r="AL72">
            <v>3.3225970722199856E-2</v>
          </cell>
        </row>
        <row r="73">
          <cell r="A73" t="str">
            <v>ABELL_2034</v>
          </cell>
          <cell r="T73">
            <v>2.5264690629191855</v>
          </cell>
          <cell r="U73">
            <v>2.7063638807107528E-2</v>
          </cell>
          <cell r="V73">
            <v>3.9918094712262819</v>
          </cell>
          <cell r="W73">
            <v>0.19933071820885792</v>
          </cell>
          <cell r="AE73">
            <v>0.39558914250462679</v>
          </cell>
          <cell r="AF73">
            <v>3.7531528548768352E-3</v>
          </cell>
          <cell r="AK73">
            <v>0.97939549947718008</v>
          </cell>
          <cell r="AL73">
            <v>1.049132421060836E-2</v>
          </cell>
        </row>
        <row r="74">
          <cell r="A74" t="str">
            <v>ABELL_2061</v>
          </cell>
          <cell r="T74">
            <v>1.0319178891422338</v>
          </cell>
          <cell r="U74">
            <v>2.3052078763851451E-2</v>
          </cell>
          <cell r="V74">
            <v>1.4229504828362369</v>
          </cell>
          <cell r="W74">
            <v>5.1916431712225097E-2</v>
          </cell>
          <cell r="AE74">
            <v>0.25056535504296701</v>
          </cell>
          <cell r="AF74">
            <v>7.1168893536137767E-3</v>
          </cell>
          <cell r="AK74">
            <v>0.48163507574753889</v>
          </cell>
          <cell r="AL74">
            <v>1.0759276312958166E-2</v>
          </cell>
        </row>
        <row r="75">
          <cell r="A75" t="str">
            <v>ABELL_2069</v>
          </cell>
          <cell r="T75">
            <v>1.446124873020036</v>
          </cell>
          <cell r="U75">
            <v>2.8964474960343246E-2</v>
          </cell>
          <cell r="V75">
            <v>2.1053519608780076</v>
          </cell>
          <cell r="W75">
            <v>6.5457664607091653E-2</v>
          </cell>
          <cell r="AE75">
            <v>0.32019704433497537</v>
          </cell>
          <cell r="AF75">
            <v>7.4052667887871525E-3</v>
          </cell>
          <cell r="AK75">
            <v>0.61038240241566311</v>
          </cell>
          <cell r="AL75">
            <v>1.2225365970008926E-2</v>
          </cell>
        </row>
        <row r="76">
          <cell r="A76" t="str">
            <v>ABELL_2092</v>
          </cell>
          <cell r="T76">
            <v>0.10350003780021089</v>
          </cell>
          <cell r="U76">
            <v>1.6275207286301625E-2</v>
          </cell>
          <cell r="V76">
            <v>0.13579343273039177</v>
          </cell>
          <cell r="W76">
            <v>2.1679707460246417E-2</v>
          </cell>
          <cell r="AE76">
            <v>0.40510346578646694</v>
          </cell>
          <cell r="AF76">
            <v>7.244551963727458E-2</v>
          </cell>
          <cell r="AK76">
            <v>5.6071143620759455E-2</v>
          </cell>
          <cell r="AL76">
            <v>8.8170932552643928E-3</v>
          </cell>
        </row>
        <row r="77">
          <cell r="A77" t="str">
            <v>ABELL_2104</v>
          </cell>
          <cell r="T77">
            <v>3.531657337876732</v>
          </cell>
          <cell r="U77">
            <v>5.0067465949139016E-2</v>
          </cell>
          <cell r="V77">
            <v>5.4792183020882206</v>
          </cell>
          <cell r="W77">
            <v>0.31204439796412414</v>
          </cell>
          <cell r="AE77">
            <v>0.49494850416871017</v>
          </cell>
          <cell r="AF77">
            <v>4.7250634811774623E-3</v>
          </cell>
          <cell r="AK77">
            <v>1.3981314069068971</v>
          </cell>
          <cell r="AL77">
            <v>1.9820976360582634E-2</v>
          </cell>
        </row>
        <row r="78">
          <cell r="A78" t="str">
            <v>ABELL_2107</v>
          </cell>
          <cell r="T78">
            <v>0.38968602639365235</v>
          </cell>
          <cell r="U78">
            <v>8.8093222959443312E-3</v>
          </cell>
          <cell r="V78">
            <v>0.52765734484215543</v>
          </cell>
          <cell r="W78">
            <v>1.9862702013165371E-2</v>
          </cell>
          <cell r="AE78">
            <v>0.50439514441188782</v>
          </cell>
          <cell r="AF78">
            <v>7.264534506537368E-3</v>
          </cell>
          <cell r="AK78">
            <v>0.18961783764022666</v>
          </cell>
          <cell r="AL78">
            <v>4.2865397568692763E-3</v>
          </cell>
        </row>
        <row r="79">
          <cell r="A79" t="str">
            <v>ABELL_2111</v>
          </cell>
          <cell r="T79">
            <v>3.1566387727585954</v>
          </cell>
          <cell r="U79">
            <v>6.5046810514688663E-2</v>
          </cell>
          <cell r="V79">
            <v>5.0952945960133853</v>
          </cell>
          <cell r="W79">
            <v>0.22232034204124088</v>
          </cell>
          <cell r="AE79">
            <v>0.42197624190064797</v>
          </cell>
          <cell r="AF79">
            <v>9.1170215629481858E-3</v>
          </cell>
          <cell r="AK79">
            <v>1.2210243703270334</v>
          </cell>
          <cell r="AL79">
            <v>2.5160858295189395E-2</v>
          </cell>
        </row>
        <row r="80">
          <cell r="A80" t="str">
            <v>ABELL_2125</v>
          </cell>
          <cell r="T80">
            <v>0.53319721123346098</v>
          </cell>
          <cell r="U80">
            <v>3.4607708594929378E-2</v>
          </cell>
          <cell r="V80">
            <v>0.71661279303540748</v>
          </cell>
          <cell r="W80">
            <v>4.7615669986134881E-2</v>
          </cell>
          <cell r="AE80">
            <v>0.305852417302799</v>
          </cell>
          <cell r="AF80">
            <v>2.6104757978456489E-2</v>
          </cell>
          <cell r="AK80">
            <v>0.2844121984627106</v>
          </cell>
          <cell r="AL80">
            <v>1.8460063702266823E-2</v>
          </cell>
        </row>
        <row r="81">
          <cell r="A81" t="str">
            <v>ABELL_2142</v>
          </cell>
          <cell r="T81">
            <v>4.1263616209278506</v>
          </cell>
          <cell r="U81">
            <v>4.0142322290548101E-2</v>
          </cell>
          <cell r="V81">
            <v>6.5661500246558928</v>
          </cell>
          <cell r="W81">
            <v>0.24027823087174008</v>
          </cell>
          <cell r="AE81">
            <v>0.69604816301327566</v>
          </cell>
          <cell r="AF81">
            <v>2.4353908864089341E-3</v>
          </cell>
          <cell r="AK81">
            <v>1.5961604921706649</v>
          </cell>
          <cell r="AL81">
            <v>1.5527865657529833E-2</v>
          </cell>
        </row>
        <row r="82">
          <cell r="A82" t="str">
            <v>ABELL_2146</v>
          </cell>
          <cell r="T82">
            <v>4.3496069269433031</v>
          </cell>
          <cell r="U82">
            <v>5.0328295185757245E-2</v>
          </cell>
          <cell r="V82">
            <v>7.0725353171200265</v>
          </cell>
          <cell r="W82">
            <v>0.44319546233460155</v>
          </cell>
          <cell r="AE82">
            <v>0.59377764671188438</v>
          </cell>
          <cell r="AF82">
            <v>4.2416745810751871E-3</v>
          </cell>
          <cell r="AK82">
            <v>1.6600403640782793</v>
          </cell>
          <cell r="AL82">
            <v>1.9207942893891893E-2</v>
          </cell>
        </row>
        <row r="83">
          <cell r="A83" t="str">
            <v>ABELL_2151</v>
          </cell>
          <cell r="T83">
            <v>0.1650094665101039</v>
          </cell>
          <cell r="U83">
            <v>1.8001032710193154E-2</v>
          </cell>
          <cell r="V83">
            <v>0.22112124056320423</v>
          </cell>
          <cell r="W83">
            <v>2.4479917979293768E-2</v>
          </cell>
          <cell r="AE83">
            <v>0.61588999236058062</v>
          </cell>
          <cell r="AF83">
            <v>2.6770099108813523E-2</v>
          </cell>
          <cell r="AK83">
            <v>9.2326580125210042E-2</v>
          </cell>
          <cell r="AL83">
            <v>1.0071990559113824E-2</v>
          </cell>
        </row>
        <row r="84">
          <cell r="A84" t="str">
            <v>ABELL_2163</v>
          </cell>
          <cell r="T84">
            <v>18.884232001588437</v>
          </cell>
          <cell r="U84">
            <v>0.14135619187959439</v>
          </cell>
          <cell r="V84">
            <v>37.564740177538042</v>
          </cell>
          <cell r="W84">
            <v>3.0497742177048557</v>
          </cell>
          <cell r="AE84">
            <v>0.49391647484380136</v>
          </cell>
          <cell r="AF84">
            <v>2.6353767453224717E-3</v>
          </cell>
          <cell r="AK84">
            <v>6.5612751720830627</v>
          </cell>
          <cell r="AL84">
            <v>4.911382533966846E-2</v>
          </cell>
        </row>
        <row r="85">
          <cell r="A85" t="str">
            <v>ABELL_2187</v>
          </cell>
          <cell r="T85">
            <v>2.0990077905449511</v>
          </cell>
          <cell r="U85">
            <v>9.8377476792125329E-2</v>
          </cell>
          <cell r="V85">
            <v>3.2614430023043348</v>
          </cell>
          <cell r="W85">
            <v>0.23364624627273994</v>
          </cell>
          <cell r="AE85">
            <v>0.48000000000000004</v>
          </cell>
          <cell r="AF85">
            <v>1.5914409069097683E-2</v>
          </cell>
          <cell r="AK85">
            <v>0.8249790675524773</v>
          </cell>
          <cell r="AL85">
            <v>3.8665582585123315E-2</v>
          </cell>
        </row>
        <row r="86">
          <cell r="A86" t="str">
            <v>ABELL_2204</v>
          </cell>
          <cell r="T86">
            <v>5.2190278676388093</v>
          </cell>
          <cell r="U86">
            <v>4.5715774480551453E-2</v>
          </cell>
          <cell r="V86">
            <v>8.7008570503452027</v>
          </cell>
          <cell r="W86">
            <v>0.44995456138739404</v>
          </cell>
          <cell r="AE86">
            <v>0.79357119574756163</v>
          </cell>
          <cell r="AF86">
            <v>1.6547091129317593E-3</v>
          </cell>
          <cell r="AK86">
            <v>1.9521394702456591</v>
          </cell>
          <cell r="AL86">
            <v>1.7099653429654759E-2</v>
          </cell>
        </row>
        <row r="87">
          <cell r="A87" t="str">
            <v>ABELL_2218</v>
          </cell>
          <cell r="T87">
            <v>3.7767857856618483</v>
          </cell>
          <cell r="U87">
            <v>7.9880205887173747E-2</v>
          </cell>
          <cell r="V87">
            <v>5.6696975569128085</v>
          </cell>
          <cell r="W87">
            <v>0.22216312529557991</v>
          </cell>
          <cell r="AE87">
            <v>0.46207744314689608</v>
          </cell>
          <cell r="AF87">
            <v>7.3758678239741107E-3</v>
          </cell>
          <cell r="AK87">
            <v>1.5495947795388205</v>
          </cell>
          <cell r="AL87">
            <v>3.2774416410158914E-2</v>
          </cell>
        </row>
        <row r="88">
          <cell r="A88" t="str">
            <v>ABELL_2219</v>
          </cell>
          <cell r="T88">
            <v>12.878456025745827</v>
          </cell>
          <cell r="U88">
            <v>8.650202855150628E-2</v>
          </cell>
          <cell r="V88">
            <v>23.542782470125413</v>
          </cell>
          <cell r="W88">
            <v>1.1352597060886971</v>
          </cell>
          <cell r="AE88">
            <v>0.44319425860600897</v>
          </cell>
          <cell r="AF88">
            <v>2.6548535498975637E-3</v>
          </cell>
          <cell r="AK88">
            <v>4.6183831493605378</v>
          </cell>
          <cell r="AL88">
            <v>3.102076135905776E-2</v>
          </cell>
        </row>
        <row r="89">
          <cell r="A89" t="str">
            <v>ABELL_2249</v>
          </cell>
          <cell r="T89">
            <v>1.1162379875315041</v>
          </cell>
          <cell r="U89">
            <v>4.4821354166828441E-2</v>
          </cell>
          <cell r="V89">
            <v>1.6094513062245603</v>
          </cell>
          <cell r="W89">
            <v>7.4896216756617687E-2</v>
          </cell>
          <cell r="AE89">
            <v>0.27188476998660116</v>
          </cell>
          <cell r="AF89">
            <v>1.0940128258253492E-2</v>
          </cell>
          <cell r="AK89">
            <v>0.4807366391963</v>
          </cell>
          <cell r="AL89">
            <v>1.9303470592358821E-2</v>
          </cell>
        </row>
        <row r="90">
          <cell r="A90" t="str">
            <v>ABELL_2255</v>
          </cell>
          <cell r="T90">
            <v>1.7998585999816019</v>
          </cell>
          <cell r="U90">
            <v>2.6932012664403475E-2</v>
          </cell>
          <cell r="V90">
            <v>2.6512460605914372</v>
          </cell>
          <cell r="W90">
            <v>7.0885403780066733E-2</v>
          </cell>
          <cell r="AE90">
            <v>0.21851773200254831</v>
          </cell>
          <cell r="AF90">
            <v>4.6097191033248582E-3</v>
          </cell>
          <cell r="AK90">
            <v>0.74081150207504942</v>
          </cell>
          <cell r="AL90">
            <v>1.1085062324354222E-2</v>
          </cell>
        </row>
        <row r="91">
          <cell r="A91" t="str">
            <v>ABELL_2259</v>
          </cell>
          <cell r="T91">
            <v>2.7790359397662887</v>
          </cell>
          <cell r="U91">
            <v>0.12684410399831328</v>
          </cell>
          <cell r="V91">
            <v>4.0731779497483238</v>
          </cell>
          <cell r="W91">
            <v>0.23678102193227574</v>
          </cell>
          <cell r="AE91">
            <v>0.48366282262493132</v>
          </cell>
          <cell r="AF91">
            <v>1.5285471845614485E-2</v>
          </cell>
          <cell r="AK91">
            <v>1.1422763494834491</v>
          </cell>
          <cell r="AL91">
            <v>5.213715231076764E-2</v>
          </cell>
        </row>
        <row r="92">
          <cell r="A92" t="str">
            <v>ABELL_2261</v>
          </cell>
          <cell r="T92">
            <v>6.0592867891167135</v>
          </cell>
          <cell r="U92">
            <v>0.14306555280731689</v>
          </cell>
          <cell r="V92">
            <v>9.8895017382910417</v>
          </cell>
          <cell r="W92">
            <v>0.45646160986696749</v>
          </cell>
          <cell r="AE92">
            <v>0.62559829817408263</v>
          </cell>
          <cell r="AF92">
            <v>6.9521864762325395E-3</v>
          </cell>
          <cell r="AK92">
            <v>2.2993738164895325</v>
          </cell>
          <cell r="AL92">
            <v>5.4290413643665644E-2</v>
          </cell>
        </row>
        <row r="93">
          <cell r="A93" t="str">
            <v>ABELL_2294</v>
          </cell>
          <cell r="T93">
            <v>4.2528619026326817</v>
          </cell>
          <cell r="U93">
            <v>0.17682037763478525</v>
          </cell>
          <cell r="V93">
            <v>6.6336342650963651</v>
          </cell>
          <cell r="W93">
            <v>0.40935436711325135</v>
          </cell>
          <cell r="AE93">
            <v>0.46589000839630557</v>
          </cell>
          <cell r="AF93">
            <v>1.4436889829561594E-2</v>
          </cell>
          <cell r="AK93">
            <v>1.6640530831020237</v>
          </cell>
          <cell r="AL93">
            <v>6.9185997875050628E-2</v>
          </cell>
        </row>
        <row r="94">
          <cell r="A94" t="str">
            <v>ABELL_2302</v>
          </cell>
          <cell r="T94">
            <v>1.179986046782223</v>
          </cell>
          <cell r="U94">
            <v>5.7798118938195107E-2</v>
          </cell>
          <cell r="V94">
            <v>1.6674060360644525</v>
          </cell>
          <cell r="W94">
            <v>9.3746185724069245E-2</v>
          </cell>
          <cell r="AE94">
            <v>0.25856547223397186</v>
          </cell>
          <cell r="AF94">
            <v>2.0531109238388173E-2</v>
          </cell>
          <cell r="AK94">
            <v>0.52433170482631819</v>
          </cell>
          <cell r="AL94">
            <v>2.5682834404067559E-2</v>
          </cell>
        </row>
        <row r="95">
          <cell r="A95" t="str">
            <v>ABELL_2319</v>
          </cell>
          <cell r="T95">
            <v>5.5236728243294335</v>
          </cell>
          <cell r="U95">
            <v>4.6321373042263046E-2</v>
          </cell>
          <cell r="V95">
            <v>9.1696229309201982</v>
          </cell>
          <cell r="W95">
            <v>0.837462079850119</v>
          </cell>
          <cell r="AE95">
            <v>0.42640052571053061</v>
          </cell>
          <cell r="AF95">
            <v>3.1400308000873703E-3</v>
          </cell>
          <cell r="AK95">
            <v>2.075038360749045</v>
          </cell>
          <cell r="AL95">
            <v>1.7401216372175555E-2</v>
          </cell>
        </row>
        <row r="96">
          <cell r="A96" t="str">
            <v>ABELL_2345</v>
          </cell>
          <cell r="T96">
            <v>1.8054579860008437</v>
          </cell>
          <cell r="U96">
            <v>8.3880095876448763E-2</v>
          </cell>
          <cell r="V96">
            <v>2.6937874545848852</v>
          </cell>
          <cell r="W96">
            <v>0.17468360950224582</v>
          </cell>
          <cell r="AE96">
            <v>0.25725617450874344</v>
          </cell>
          <cell r="AF96">
            <v>1.4617047837692274E-2</v>
          </cell>
          <cell r="AK96">
            <v>0.7358171397615042</v>
          </cell>
          <cell r="AL96">
            <v>3.4185460259555676E-2</v>
          </cell>
        </row>
        <row r="97">
          <cell r="A97" t="str">
            <v>ABELL_2384</v>
          </cell>
          <cell r="T97">
            <v>0.88640578206223208</v>
          </cell>
          <cell r="U97">
            <v>1.8282119255033532E-2</v>
          </cell>
          <cell r="V97">
            <v>1.279495624654851</v>
          </cell>
          <cell r="W97">
            <v>6.9540835796278247E-2</v>
          </cell>
          <cell r="AE97">
            <v>0.5674358141046475</v>
          </cell>
          <cell r="AF97">
            <v>7.4589961626914617E-3</v>
          </cell>
          <cell r="AK97">
            <v>0.37197719906461674</v>
          </cell>
          <cell r="AL97">
            <v>7.6720297307077178E-3</v>
          </cell>
        </row>
        <row r="98">
          <cell r="A98" t="str">
            <v>ABELL_2390</v>
          </cell>
          <cell r="T98">
            <v>12.503872004390635</v>
          </cell>
          <cell r="U98">
            <v>9.057277701674632E-2</v>
          </cell>
          <cell r="V98">
            <v>22.039979010182844</v>
          </cell>
          <cell r="W98">
            <v>1.8400991465479912</v>
          </cell>
          <cell r="AE98">
            <v>0.55597784775762837</v>
          </cell>
          <cell r="AF98">
            <v>2.3689054435104551E-3</v>
          </cell>
          <cell r="AK98">
            <v>4.552220991947272</v>
          </cell>
          <cell r="AL98">
            <v>3.2974369594459506E-2</v>
          </cell>
        </row>
        <row r="99">
          <cell r="A99" t="str">
            <v>ABELL_2409</v>
          </cell>
          <cell r="T99">
            <v>3.9095313582125115</v>
          </cell>
          <cell r="U99">
            <v>0.13918552900151579</v>
          </cell>
          <cell r="V99">
            <v>5.7009587505169783</v>
          </cell>
          <cell r="W99">
            <v>0.2443928304888438</v>
          </cell>
          <cell r="AE99">
            <v>0.46676300578034685</v>
          </cell>
          <cell r="AF99">
            <v>1.2171049215345063E-2</v>
          </cell>
          <cell r="AK99">
            <v>1.6298491629036713</v>
          </cell>
          <cell r="AL99">
            <v>5.8025220198040461E-2</v>
          </cell>
        </row>
        <row r="100">
          <cell r="A100" t="str">
            <v>ABELL_2415</v>
          </cell>
          <cell r="T100">
            <v>0.35622951842327177</v>
          </cell>
          <cell r="U100">
            <v>1.7097184299398226E-2</v>
          </cell>
          <cell r="V100">
            <v>0.47194425372530346</v>
          </cell>
          <cell r="W100">
            <v>2.3190289718691168E-2</v>
          </cell>
          <cell r="AE100">
            <v>0.53277942180742088</v>
          </cell>
          <cell r="AF100">
            <v>2.0122994511619707E-2</v>
          </cell>
          <cell r="AK100">
            <v>0.19367011506894144</v>
          </cell>
          <cell r="AL100">
            <v>9.2951692079738628E-3</v>
          </cell>
        </row>
        <row r="101">
          <cell r="A101" t="str">
            <v>ABELL_2426</v>
          </cell>
          <cell r="T101">
            <v>1.4603239159663994</v>
          </cell>
          <cell r="U101">
            <v>4.6244908416283002E-2</v>
          </cell>
          <cell r="V101">
            <v>2.1581283696701212</v>
          </cell>
          <cell r="W101">
            <v>9.1254776489229097E-2</v>
          </cell>
          <cell r="AE101">
            <v>0.50562082664187302</v>
          </cell>
          <cell r="AF101">
            <v>1.2287973206555959E-2</v>
          </cell>
          <cell r="AK101">
            <v>0.60608395727423947</v>
          </cell>
          <cell r="AL101">
            <v>1.9193205555479299E-2</v>
          </cell>
        </row>
        <row r="102">
          <cell r="A102" t="str">
            <v>ABELL_2443</v>
          </cell>
          <cell r="T102">
            <v>1.5597709450345949</v>
          </cell>
          <cell r="U102">
            <v>4.9330460657588442E-2</v>
          </cell>
          <cell r="V102">
            <v>2.2477939334697079</v>
          </cell>
          <cell r="W102">
            <v>8.7323363210643462E-2</v>
          </cell>
          <cell r="AE102">
            <v>0.51597027887677305</v>
          </cell>
          <cell r="AF102">
            <v>1.0130791466817802E-2</v>
          </cell>
          <cell r="AK102">
            <v>0.67788123639650666</v>
          </cell>
          <cell r="AL102">
            <v>2.1439169494103891E-2</v>
          </cell>
        </row>
        <row r="103">
          <cell r="A103" t="str">
            <v>ABELL_2445</v>
          </cell>
          <cell r="T103">
            <v>1.5530640460750809</v>
          </cell>
          <cell r="U103">
            <v>5.86026950188967E-2</v>
          </cell>
          <cell r="V103">
            <v>2.1052558399064347</v>
          </cell>
          <cell r="W103">
            <v>8.4628248557267097E-2</v>
          </cell>
          <cell r="AE103">
            <v>0.54636711281070738</v>
          </cell>
          <cell r="AF103">
            <v>1.2115082492144229E-2</v>
          </cell>
          <cell r="AK103">
            <v>0.72677885620258598</v>
          </cell>
          <cell r="AL103">
            <v>2.7423981492495194E-2</v>
          </cell>
        </row>
        <row r="104">
          <cell r="A104" t="str">
            <v>ABELL_2457</v>
          </cell>
          <cell r="T104">
            <v>0.47637431680216041</v>
          </cell>
          <cell r="U104">
            <v>2.308617378724356E-2</v>
          </cell>
          <cell r="V104">
            <v>0.64940637981219351</v>
          </cell>
          <cell r="W104">
            <v>3.3098062457789644E-2</v>
          </cell>
          <cell r="AE104">
            <v>0.36251072698295944</v>
          </cell>
          <cell r="AF104">
            <v>2.0641927821712935E-2</v>
          </cell>
          <cell r="AK104">
            <v>0.22602817850161622</v>
          </cell>
          <cell r="AL104">
            <v>1.0953835304831353E-2</v>
          </cell>
        </row>
        <row r="105">
          <cell r="A105" t="str">
            <v>ABELL_2485</v>
          </cell>
          <cell r="T105">
            <v>2.359902851104752</v>
          </cell>
          <cell r="U105">
            <v>9.9161302493536205E-2</v>
          </cell>
          <cell r="V105">
            <v>3.6180810877635596</v>
          </cell>
          <cell r="W105">
            <v>0.22339338700441441</v>
          </cell>
          <cell r="AE105">
            <v>0.51282051282051289</v>
          </cell>
          <cell r="AF105">
            <v>1.6687020998694679E-2</v>
          </cell>
          <cell r="AK105">
            <v>0.93631557777697916</v>
          </cell>
          <cell r="AL105">
            <v>3.9343260335436524E-2</v>
          </cell>
        </row>
        <row r="106">
          <cell r="A106" t="str">
            <v>ABELL_2507</v>
          </cell>
          <cell r="T106">
            <v>1.0299300119413373</v>
          </cell>
          <cell r="U106">
            <v>6.8538623763408663E-2</v>
          </cell>
          <cell r="V106">
            <v>1.4134825536474249</v>
          </cell>
          <cell r="W106">
            <v>0.10157404999124288</v>
          </cell>
          <cell r="AE106">
            <v>0.23536804308797127</v>
          </cell>
          <cell r="AF106">
            <v>2.1272891213431889E-2</v>
          </cell>
          <cell r="AK106">
            <v>0.47257647150540311</v>
          </cell>
          <cell r="AL106">
            <v>3.1448487377211121E-2</v>
          </cell>
        </row>
        <row r="107">
          <cell r="A107" t="str">
            <v>ABELL_2537</v>
          </cell>
          <cell r="T107">
            <v>4.1121178748691767</v>
          </cell>
          <cell r="U107">
            <v>0.10252340112904626</v>
          </cell>
          <cell r="V107">
            <v>6.2608496098378916</v>
          </cell>
          <cell r="W107">
            <v>0.2820563141455727</v>
          </cell>
          <cell r="AE107">
            <v>0.54227769110764434</v>
          </cell>
          <cell r="AF107">
            <v>8.1582272935026064E-3</v>
          </cell>
          <cell r="AK107">
            <v>1.6627746196867337</v>
          </cell>
          <cell r="AL107">
            <v>4.1456328468396295E-2</v>
          </cell>
        </row>
        <row r="108">
          <cell r="A108" t="str">
            <v>ABELL_2550</v>
          </cell>
          <cell r="T108">
            <v>0.18833952604628126</v>
          </cell>
          <cell r="U108">
            <v>1.2837685065612812E-2</v>
          </cell>
          <cell r="V108">
            <v>0.25932026173460249</v>
          </cell>
          <cell r="W108">
            <v>1.7830955235322049E-2</v>
          </cell>
          <cell r="AE108">
            <v>0.6296081997024302</v>
          </cell>
          <cell r="AF108">
            <v>1.8913735982689195E-2</v>
          </cell>
          <cell r="AK108">
            <v>0.12173222213830816</v>
          </cell>
          <cell r="AL108">
            <v>8.297567499266181E-3</v>
          </cell>
        </row>
        <row r="109">
          <cell r="A109" t="str">
            <v>ABELL_2556</v>
          </cell>
          <cell r="T109">
            <v>0.67955139581668189</v>
          </cell>
          <cell r="U109">
            <v>1.4593244003689176E-2</v>
          </cell>
          <cell r="V109">
            <v>0.91501865512859182</v>
          </cell>
          <cell r="W109">
            <v>3.0720240739386579E-2</v>
          </cell>
          <cell r="AE109">
            <v>0.67569035762788587</v>
          </cell>
          <cell r="AF109">
            <v>6.5727071597357026E-3</v>
          </cell>
          <cell r="AK109">
            <v>0.32973885252053803</v>
          </cell>
          <cell r="AL109">
            <v>7.0810825523295396E-3</v>
          </cell>
        </row>
        <row r="110">
          <cell r="A110" t="str">
            <v>ABELL_2597</v>
          </cell>
          <cell r="T110">
            <v>0.71634205799152795</v>
          </cell>
          <cell r="U110">
            <v>1.053554141198125E-2</v>
          </cell>
          <cell r="V110">
            <v>0.98716149708555223</v>
          </cell>
          <cell r="W110">
            <v>2.2370422572089613E-2</v>
          </cell>
          <cell r="AE110">
            <v>0.82285868198958512</v>
          </cell>
          <cell r="AF110">
            <v>2.3161868182390742E-3</v>
          </cell>
          <cell r="AK110">
            <v>0.33279275360898758</v>
          </cell>
          <cell r="AL110">
            <v>4.8945218253487327E-3</v>
          </cell>
        </row>
        <row r="111">
          <cell r="A111" t="str">
            <v>ABELL_2631</v>
          </cell>
          <cell r="T111">
            <v>6.138784015269712</v>
          </cell>
          <cell r="U111">
            <v>0.23707747224503922</v>
          </cell>
          <cell r="V111">
            <v>9.8771202819382058</v>
          </cell>
          <cell r="W111">
            <v>0.70477766814790299</v>
          </cell>
          <cell r="AE111">
            <v>0.375</v>
          </cell>
          <cell r="AF111">
            <v>1.4640834572130066E-2</v>
          </cell>
          <cell r="AK111">
            <v>2.3681313487959739</v>
          </cell>
          <cell r="AL111">
            <v>9.1456319805400074E-2</v>
          </cell>
        </row>
        <row r="112">
          <cell r="A112" t="str">
            <v>ABELL_2657</v>
          </cell>
          <cell r="T112">
            <v>0.54916117053599434</v>
          </cell>
          <cell r="U112">
            <v>1.5981780195165159E-2</v>
          </cell>
          <cell r="V112">
            <v>0.74034242662266203</v>
          </cell>
          <cell r="W112">
            <v>2.6170429157685898E-2</v>
          </cell>
          <cell r="AE112">
            <v>0.44612794612794615</v>
          </cell>
          <cell r="AF112">
            <v>9.8775292298946167E-3</v>
          </cell>
          <cell r="AK112">
            <v>0.27441196540989038</v>
          </cell>
          <cell r="AL112">
            <v>7.9859828942816392E-3</v>
          </cell>
        </row>
        <row r="113">
          <cell r="A113" t="str">
            <v>ABELL_2665</v>
          </cell>
          <cell r="T113">
            <v>0.43752270936640897</v>
          </cell>
          <cell r="U113">
            <v>1.2827047145671754E-2</v>
          </cell>
          <cell r="V113">
            <v>0.60195877925781671</v>
          </cell>
          <cell r="W113">
            <v>2.0577561549967732E-2</v>
          </cell>
          <cell r="AE113">
            <v>0.50737302020753683</v>
          </cell>
          <cell r="AF113">
            <v>1.4856766053276257E-2</v>
          </cell>
          <cell r="AK113">
            <v>0.20613618844049622</v>
          </cell>
          <cell r="AL113">
            <v>6.0433859796314507E-3</v>
          </cell>
        </row>
        <row r="114">
          <cell r="A114" t="str">
            <v>ABELL_2667</v>
          </cell>
          <cell r="T114">
            <v>6.3523490845420385</v>
          </cell>
          <cell r="U114">
            <v>0.18306938556058736</v>
          </cell>
          <cell r="V114">
            <v>10.623838975613317</v>
          </cell>
          <cell r="W114">
            <v>0.64073504401758374</v>
          </cell>
          <cell r="AE114">
            <v>0.65968127490039841</v>
          </cell>
          <cell r="AF114">
            <v>8.1729597808466864E-3</v>
          </cell>
          <cell r="AK114">
            <v>2.4001236805239428</v>
          </cell>
          <cell r="AL114">
            <v>6.9169556272049654E-2</v>
          </cell>
        </row>
        <row r="115">
          <cell r="A115" t="str">
            <v>ABELL_2670</v>
          </cell>
          <cell r="T115">
            <v>0.63765440263835027</v>
          </cell>
          <cell r="U115">
            <v>1.8789200570555081E-2</v>
          </cell>
          <cell r="V115">
            <v>0.87412321717042263</v>
          </cell>
          <cell r="W115">
            <v>4.4267851561824161E-2</v>
          </cell>
          <cell r="AE115">
            <v>0.50884198516828294</v>
          </cell>
          <cell r="AF115">
            <v>9.7800395783607403E-3</v>
          </cell>
          <cell r="AK115">
            <v>0.29770592910714977</v>
          </cell>
          <cell r="AL115">
            <v>8.7722383628082105E-3</v>
          </cell>
        </row>
        <row r="116">
          <cell r="A116" t="str">
            <v>ABELL_2717</v>
          </cell>
          <cell r="T116">
            <v>0.18010274928862305</v>
          </cell>
          <cell r="U116">
            <v>8.2874347792960372E-3</v>
          </cell>
          <cell r="V116">
            <v>0.23928914445337235</v>
          </cell>
          <cell r="W116">
            <v>1.1367760810815425E-2</v>
          </cell>
          <cell r="AE116">
            <v>0.57547169811320753</v>
          </cell>
          <cell r="AF116">
            <v>1.3236991236708278E-2</v>
          </cell>
          <cell r="AK116">
            <v>0.10198452461448991</v>
          </cell>
          <cell r="AL116">
            <v>4.6928217341404375E-3</v>
          </cell>
        </row>
        <row r="117">
          <cell r="A117" t="str">
            <v>ABELL_2744</v>
          </cell>
          <cell r="T117">
            <v>11.078466056943164</v>
          </cell>
          <cell r="U117">
            <v>0.15151544109668638</v>
          </cell>
          <cell r="V117">
            <v>19.911985627741313</v>
          </cell>
          <cell r="W117">
            <v>0.50189751313117803</v>
          </cell>
          <cell r="AE117">
            <v>0.32881125996269289</v>
          </cell>
          <cell r="AF117">
            <v>5.0467593548991583E-3</v>
          </cell>
          <cell r="AK117">
            <v>3.9908378292206801</v>
          </cell>
          <cell r="AL117">
            <v>5.4580981783190916E-2</v>
          </cell>
        </row>
        <row r="118">
          <cell r="A118" t="str">
            <v>ABELL_2813</v>
          </cell>
          <cell r="T118">
            <v>6.2713130258852319</v>
          </cell>
          <cell r="U118">
            <v>0.21493604032062136</v>
          </cell>
          <cell r="V118">
            <v>10.022446796498823</v>
          </cell>
          <cell r="W118">
            <v>0.58575236577858425</v>
          </cell>
          <cell r="AE118">
            <v>0.46250274906531774</v>
          </cell>
          <cell r="AF118">
            <v>1.2203183361559913E-2</v>
          </cell>
          <cell r="AK118">
            <v>2.4110839579734606</v>
          </cell>
          <cell r="AL118">
            <v>8.2634822511388845E-2</v>
          </cell>
        </row>
        <row r="119">
          <cell r="A119" t="str">
            <v>ABELL_2895</v>
          </cell>
          <cell r="T119">
            <v>3.9757670759802965</v>
          </cell>
          <cell r="U119">
            <v>0.13376729088690098</v>
          </cell>
          <cell r="V119">
            <v>6.6940503294221241</v>
          </cell>
          <cell r="W119">
            <v>0.46223472561923185</v>
          </cell>
          <cell r="AE119">
            <v>0.43823648923201952</v>
          </cell>
          <cell r="AF119">
            <v>1.2523951246342818E-2</v>
          </cell>
          <cell r="AK119">
            <v>1.4757319714891892</v>
          </cell>
          <cell r="AL119">
            <v>4.9651970079917361E-2</v>
          </cell>
        </row>
        <row r="120">
          <cell r="A120" t="str">
            <v>ABELL_3017</v>
          </cell>
          <cell r="T120">
            <v>3.4890578990762164</v>
          </cell>
          <cell r="U120">
            <v>0.16065508268357165</v>
          </cell>
          <cell r="V120">
            <v>5.5117297390151139</v>
          </cell>
          <cell r="W120">
            <v>0.44545538164564147</v>
          </cell>
          <cell r="AE120">
            <v>0.52049571020019059</v>
          </cell>
          <cell r="AF120">
            <v>1.6045088586994508E-2</v>
          </cell>
          <cell r="AK120">
            <v>1.3946735514275135</v>
          </cell>
          <cell r="AL120">
            <v>6.4218307979498276E-2</v>
          </cell>
        </row>
        <row r="121">
          <cell r="A121" t="str">
            <v>ABELL_3088</v>
          </cell>
          <cell r="T121">
            <v>4.3980195983112527</v>
          </cell>
          <cell r="U121">
            <v>0.14913397901355724</v>
          </cell>
          <cell r="V121">
            <v>7.1458374245196534</v>
          </cell>
          <cell r="W121">
            <v>0.47099440721562363</v>
          </cell>
          <cell r="AE121">
            <v>0.60113295568143954</v>
          </cell>
          <cell r="AF121">
            <v>1.0532762477017944E-2</v>
          </cell>
          <cell r="AK121">
            <v>1.6899150110102088</v>
          </cell>
          <cell r="AL121">
            <v>5.7303916945586987E-2</v>
          </cell>
        </row>
        <row r="122">
          <cell r="A122" t="str">
            <v>ABELL_3094</v>
          </cell>
          <cell r="T122">
            <v>0.20018767418846406</v>
          </cell>
          <cell r="U122">
            <v>1.1547436139162691E-2</v>
          </cell>
          <cell r="V122">
            <v>0.2678649047325532</v>
          </cell>
          <cell r="W122">
            <v>1.5469168034851139E-2</v>
          </cell>
          <cell r="AE122">
            <v>0.35501230012300128</v>
          </cell>
          <cell r="AF122">
            <v>1.9729455877391795E-2</v>
          </cell>
          <cell r="AK122">
            <v>0.10719652658486155</v>
          </cell>
          <cell r="AL122">
            <v>6.1834228810380776E-3</v>
          </cell>
        </row>
        <row r="123">
          <cell r="A123" t="str">
            <v>ABELL_3112</v>
          </cell>
          <cell r="T123">
            <v>1.2229273421388804</v>
          </cell>
          <cell r="U123">
            <v>1.5824211528766129E-2</v>
          </cell>
          <cell r="V123">
            <v>1.7666662783002529</v>
          </cell>
          <cell r="W123">
            <v>4.555279633553154E-2</v>
          </cell>
          <cell r="AE123">
            <v>0.76200021670820228</v>
          </cell>
          <cell r="AF123">
            <v>2.520582032507746E-3</v>
          </cell>
          <cell r="AK123">
            <v>0.51868473831476458</v>
          </cell>
          <cell r="AL123">
            <v>6.7115819010802958E-3</v>
          </cell>
        </row>
        <row r="124">
          <cell r="A124" t="str">
            <v>ABELL_3120</v>
          </cell>
          <cell r="T124">
            <v>8.3968521783380462E-2</v>
          </cell>
          <cell r="U124">
            <v>1.4701051352855907E-2</v>
          </cell>
          <cell r="V124">
            <v>0.11632137844629628</v>
          </cell>
          <cell r="W124">
            <v>2.0525773357373021E-2</v>
          </cell>
          <cell r="AE124">
            <v>0.68111748802352612</v>
          </cell>
          <cell r="AF124">
            <v>4.0775605870457844E-2</v>
          </cell>
          <cell r="AK124">
            <v>5.25810088500996E-2</v>
          </cell>
          <cell r="AL124">
            <v>9.2057844400838442E-3</v>
          </cell>
        </row>
        <row r="125">
          <cell r="A125" t="str">
            <v>ABELL_3126</v>
          </cell>
          <cell r="T125">
            <v>1.0460290847987053</v>
          </cell>
          <cell r="U125">
            <v>3.8132764080833534E-2</v>
          </cell>
          <cell r="V125">
            <v>1.4652963252665725</v>
          </cell>
          <cell r="W125">
            <v>6.082958210313319E-2</v>
          </cell>
          <cell r="AE125">
            <v>0.53498286383014293</v>
          </cell>
          <cell r="AF125">
            <v>1.1708486973161876E-2</v>
          </cell>
          <cell r="AK125">
            <v>0.46152703187276889</v>
          </cell>
          <cell r="AL125">
            <v>1.6824868140945044E-2</v>
          </cell>
        </row>
        <row r="126">
          <cell r="A126" t="str">
            <v>ABELL_3128</v>
          </cell>
          <cell r="T126">
            <v>0.27662081046474485</v>
          </cell>
          <cell r="U126">
            <v>1.4231739998935424E-2</v>
          </cell>
          <cell r="V126">
            <v>0.37118339972112607</v>
          </cell>
          <cell r="W126">
            <v>1.9838359832428071E-2</v>
          </cell>
          <cell r="AE126">
            <v>0.41432903714935565</v>
          </cell>
          <cell r="AF126">
            <v>1.7154127823505002E-2</v>
          </cell>
          <cell r="AK126">
            <v>0.15612058847235161</v>
          </cell>
          <cell r="AL126">
            <v>8.0321781281979098E-3</v>
          </cell>
        </row>
        <row r="127">
          <cell r="A127" t="str">
            <v>ABELL_3158</v>
          </cell>
          <cell r="T127">
            <v>1.7829693706340339</v>
          </cell>
          <cell r="U127">
            <v>1.7235370582795666E-2</v>
          </cell>
          <cell r="V127">
            <v>2.5755430235580046</v>
          </cell>
          <cell r="W127">
            <v>6.3462385871024762E-2</v>
          </cell>
          <cell r="AE127">
            <v>0.38242351529694063</v>
          </cell>
          <cell r="AF127">
            <v>3.475710662791134E-3</v>
          </cell>
          <cell r="AK127">
            <v>0.75064611468406017</v>
          </cell>
          <cell r="AL127">
            <v>7.2562457752792502E-3</v>
          </cell>
        </row>
        <row r="128">
          <cell r="A128" t="str">
            <v>ABELL_3292</v>
          </cell>
          <cell r="T128">
            <v>1.4775258982708972</v>
          </cell>
          <cell r="U128">
            <v>7.2329573587531254E-2</v>
          </cell>
          <cell r="V128">
            <v>2.040214825579151</v>
          </cell>
          <cell r="W128">
            <v>0.10805939728636142</v>
          </cell>
          <cell r="AE128">
            <v>0.47857981220657275</v>
          </cell>
          <cell r="AF128">
            <v>1.6562552863512645E-2</v>
          </cell>
          <cell r="AK128">
            <v>0.69382980876200984</v>
          </cell>
          <cell r="AL128">
            <v>3.3965167222316572E-2</v>
          </cell>
        </row>
        <row r="129">
          <cell r="A129" t="str">
            <v>ABELL_3322</v>
          </cell>
          <cell r="T129">
            <v>3.2455065271487995</v>
          </cell>
          <cell r="U129">
            <v>8.400309208878276E-2</v>
          </cell>
          <cell r="V129">
            <v>5.1112191777762517</v>
          </cell>
          <cell r="W129">
            <v>0.28931666199822059</v>
          </cell>
          <cell r="AE129">
            <v>0.52018317503392131</v>
          </cell>
          <cell r="AF129">
            <v>1.2281209740667539E-2</v>
          </cell>
          <cell r="AK129">
            <v>1.2942459012766183</v>
          </cell>
          <cell r="AL129">
            <v>3.3498825752164264E-2</v>
          </cell>
        </row>
        <row r="130">
          <cell r="A130" t="str">
            <v>ABELL_3343</v>
          </cell>
          <cell r="T130">
            <v>2.5852958825185843</v>
          </cell>
          <cell r="U130">
            <v>8.899098562536642E-2</v>
          </cell>
          <cell r="V130">
            <v>3.9664214988644209</v>
          </cell>
          <cell r="W130">
            <v>0.19499640676313204</v>
          </cell>
          <cell r="AE130">
            <v>0.53635192343088534</v>
          </cell>
          <cell r="AF130">
            <v>1.2451375092975399E-2</v>
          </cell>
          <cell r="AK130">
            <v>1.0340676808782223</v>
          </cell>
          <cell r="AL130">
            <v>3.5594650015472018E-2</v>
          </cell>
        </row>
        <row r="131">
          <cell r="A131" t="str">
            <v>ABELL_3364</v>
          </cell>
          <cell r="T131">
            <v>2.5738915904677526</v>
          </cell>
          <cell r="U131">
            <v>7.099784194575956E-2</v>
          </cell>
          <cell r="V131">
            <v>4.0414750193920437</v>
          </cell>
          <cell r="W131">
            <v>0.18892226889781127</v>
          </cell>
          <cell r="AE131">
            <v>0.51723013371018589</v>
          </cell>
          <cell r="AF131">
            <v>9.497180223551574E-3</v>
          </cell>
          <cell r="AK131">
            <v>1.0135584365562691</v>
          </cell>
          <cell r="AL131">
            <v>2.7957844824511743E-2</v>
          </cell>
        </row>
        <row r="132">
          <cell r="A132" t="str">
            <v>ABELL_3378</v>
          </cell>
          <cell r="T132">
            <v>2.8590630306569293</v>
          </cell>
          <cell r="U132">
            <v>0.11174336417740748</v>
          </cell>
          <cell r="V132">
            <v>3.95506922901501</v>
          </cell>
          <cell r="W132">
            <v>0.1661754460029834</v>
          </cell>
          <cell r="AE132">
            <v>0.60979171470294369</v>
          </cell>
          <cell r="AF132">
            <v>1.2329791152614285E-2</v>
          </cell>
          <cell r="AK132">
            <v>1.2896076226065702</v>
          </cell>
          <cell r="AL132">
            <v>5.040290916068943E-2</v>
          </cell>
        </row>
        <row r="133">
          <cell r="A133" t="str">
            <v>ABELL_3391</v>
          </cell>
          <cell r="T133">
            <v>0.91488441923868602</v>
          </cell>
          <cell r="U133">
            <v>2.0212891699011783E-2</v>
          </cell>
          <cell r="V133">
            <v>1.3401762082324367</v>
          </cell>
          <cell r="W133">
            <v>3.4561915776720104E-2</v>
          </cell>
          <cell r="AE133">
            <v>0.36694280777920524</v>
          </cell>
          <cell r="AF133">
            <v>7.4765605502599098E-3</v>
          </cell>
          <cell r="AK133">
            <v>0.38388037710743983</v>
          </cell>
          <cell r="AL133">
            <v>8.4812161237868174E-3</v>
          </cell>
        </row>
        <row r="134">
          <cell r="A134" t="str">
            <v>ABELL_3395_SW</v>
          </cell>
          <cell r="T134">
            <v>0.54961122046428135</v>
          </cell>
          <cell r="U134">
            <v>1.7757175914761052E-2</v>
          </cell>
          <cell r="V134">
            <v>0.76797594253754209</v>
          </cell>
          <cell r="W134">
            <v>2.7613566207461512E-2</v>
          </cell>
          <cell r="AE134">
            <v>0.32480626614448793</v>
          </cell>
          <cell r="AF134">
            <v>1.1038249748593437E-2</v>
          </cell>
          <cell r="AK134">
            <v>0.25037452063700594</v>
          </cell>
          <cell r="AL134">
            <v>8.0892533521597261E-3</v>
          </cell>
        </row>
        <row r="135">
          <cell r="A135" t="str">
            <v>ABELL_3399</v>
          </cell>
          <cell r="T135">
            <v>2.8225603283997658</v>
          </cell>
          <cell r="U135">
            <v>6.8716859314274709E-2</v>
          </cell>
          <cell r="V135">
            <v>4.3658718888637864</v>
          </cell>
          <cell r="W135">
            <v>0.16746045398619652</v>
          </cell>
          <cell r="AE135">
            <v>0.39928516721981105</v>
          </cell>
          <cell r="AF135">
            <v>9.6386040938875109E-3</v>
          </cell>
          <cell r="AK135">
            <v>1.1172515979082815</v>
          </cell>
          <cell r="AL135">
            <v>2.7200134608155065E-2</v>
          </cell>
        </row>
        <row r="136">
          <cell r="A136" t="str">
            <v>ABELL_3404</v>
          </cell>
          <cell r="T136">
            <v>5.8337246242750984</v>
          </cell>
          <cell r="U136">
            <v>0.14361274422619633</v>
          </cell>
          <cell r="V136">
            <v>9.5947091223850052</v>
          </cell>
          <cell r="W136">
            <v>0.47107778263366001</v>
          </cell>
          <cell r="AE136">
            <v>0.5269685790611881</v>
          </cell>
          <cell r="AF136">
            <v>9.5466482615942979E-3</v>
          </cell>
          <cell r="AK136">
            <v>2.2695830262225258</v>
          </cell>
          <cell r="AL136">
            <v>5.5871860198665753E-2</v>
          </cell>
        </row>
        <row r="137">
          <cell r="A137" t="str">
            <v>ABELL_3411</v>
          </cell>
          <cell r="T137">
            <v>2.5117436019715038</v>
          </cell>
          <cell r="U137">
            <v>5.1624703499187651E-2</v>
          </cell>
          <cell r="V137">
            <v>3.7332512730172263</v>
          </cell>
          <cell r="W137">
            <v>0.12742610653765588</v>
          </cell>
          <cell r="AE137">
            <v>0.37717171717171721</v>
          </cell>
          <cell r="AF137">
            <v>8.3147712478043676E-3</v>
          </cell>
          <cell r="AK137">
            <v>1.0240087280890069</v>
          </cell>
          <cell r="AL137">
            <v>2.1046792724656059E-2</v>
          </cell>
        </row>
        <row r="138">
          <cell r="A138" t="str">
            <v>ABELL_3444</v>
          </cell>
          <cell r="T138">
            <v>6.4001236082151696</v>
          </cell>
          <cell r="U138">
            <v>0.12449861882026012</v>
          </cell>
          <cell r="V138">
            <v>10.101585035046648</v>
          </cell>
          <cell r="W138">
            <v>0.32736733566516762</v>
          </cell>
          <cell r="AE138">
            <v>0.67810331534309942</v>
          </cell>
          <cell r="AF138">
            <v>4.8688730006693935E-3</v>
          </cell>
          <cell r="AK138">
            <v>2.4788489339552515</v>
          </cell>
          <cell r="AL138">
            <v>4.8219891901051477E-2</v>
          </cell>
        </row>
        <row r="139">
          <cell r="A139" t="str">
            <v>ABELL_3528B</v>
          </cell>
          <cell r="T139">
            <v>0.51830220149168682</v>
          </cell>
          <cell r="U139">
            <v>2.3375586825938141E-2</v>
          </cell>
          <cell r="V139">
            <v>0.77506019799250669</v>
          </cell>
          <cell r="W139">
            <v>4.5789091209436313E-2</v>
          </cell>
          <cell r="AE139">
            <v>0.53902075307568031</v>
          </cell>
          <cell r="AF139">
            <v>1.4440027098108025E-2</v>
          </cell>
          <cell r="AK139">
            <v>0.21061835298846748</v>
          </cell>
          <cell r="AL139">
            <v>9.4989517375163538E-3</v>
          </cell>
        </row>
        <row r="140">
          <cell r="A140" t="str">
            <v>ABELL_3532</v>
          </cell>
          <cell r="T140">
            <v>0.81418858364561397</v>
          </cell>
          <cell r="U140">
            <v>3.0772934811049344E-2</v>
          </cell>
          <cell r="V140">
            <v>1.1462857110362885</v>
          </cell>
          <cell r="W140">
            <v>4.9529737588247483E-2</v>
          </cell>
          <cell r="AE140">
            <v>0.3873461208130547</v>
          </cell>
          <cell r="AF140">
            <v>1.2741397531317063E-2</v>
          </cell>
          <cell r="AK140">
            <v>0.35059059867156012</v>
          </cell>
          <cell r="AL140">
            <v>1.325086331962449E-2</v>
          </cell>
        </row>
        <row r="141">
          <cell r="A141" t="str">
            <v>ABELL_3562</v>
          </cell>
          <cell r="T141">
            <v>0.71627885674801051</v>
          </cell>
          <cell r="U141">
            <v>1.6291056870788082E-2</v>
          </cell>
          <cell r="V141">
            <v>1.005261042193786</v>
          </cell>
          <cell r="W141">
            <v>3.7419491709437536E-2</v>
          </cell>
          <cell r="AE141">
            <v>0.44866071428571425</v>
          </cell>
          <cell r="AF141">
            <v>7.9445567854816972E-3</v>
          </cell>
          <cell r="AK141">
            <v>0.31658701297898861</v>
          </cell>
          <cell r="AL141">
            <v>7.200459687459501E-3</v>
          </cell>
        </row>
        <row r="142">
          <cell r="A142" t="str">
            <v>ABELL_3653</v>
          </cell>
          <cell r="T142">
            <v>0.44861118961926205</v>
          </cell>
          <cell r="U142">
            <v>2.096849549907262E-2</v>
          </cell>
          <cell r="V142">
            <v>0.62172178841182135</v>
          </cell>
          <cell r="W142">
            <v>3.0817355707464626E-2</v>
          </cell>
          <cell r="AE142">
            <v>0.29307440800554835</v>
          </cell>
          <cell r="AF142">
            <v>1.3246911499051252E-2</v>
          </cell>
          <cell r="AK142">
            <v>0.20365312626743193</v>
          </cell>
          <cell r="AL142">
            <v>9.5189325641541252E-3</v>
          </cell>
        </row>
        <row r="143">
          <cell r="A143" t="str">
            <v>ABELL_3667</v>
          </cell>
          <cell r="T143">
            <v>1.2304857558766489</v>
          </cell>
          <cell r="U143">
            <v>5.2772564383628262E-3</v>
          </cell>
          <cell r="V143">
            <v>1.862801962552151</v>
          </cell>
          <cell r="W143">
            <v>9.8141648157285925E-3</v>
          </cell>
          <cell r="AE143">
            <v>0.50824679291386676</v>
          </cell>
          <cell r="AF143">
            <v>1.569172703046525E-3</v>
          </cell>
          <cell r="AK143">
            <v>0.49470676208293324</v>
          </cell>
          <cell r="AL143">
            <v>2.1216779087733688E-3</v>
          </cell>
        </row>
        <row r="144">
          <cell r="A144" t="str">
            <v>ABELL_3695</v>
          </cell>
          <cell r="T144">
            <v>1.6151032745967191</v>
          </cell>
          <cell r="U144">
            <v>3.2294169606944909E-2</v>
          </cell>
          <cell r="V144">
            <v>2.4484381941072515</v>
          </cell>
          <cell r="W144">
            <v>8.3566026748847347E-2</v>
          </cell>
          <cell r="AE144">
            <v>0.26820540347110394</v>
          </cell>
          <cell r="AF144">
            <v>8.6847514558959955E-3</v>
          </cell>
          <cell r="AK144">
            <v>0.66108026468709202</v>
          </cell>
          <cell r="AL144">
            <v>1.3218373417600618E-2</v>
          </cell>
        </row>
        <row r="145">
          <cell r="A145" t="str">
            <v>ABELL_3739</v>
          </cell>
          <cell r="T145">
            <v>2.4738834273343184</v>
          </cell>
          <cell r="U145">
            <v>0.11481727477698012</v>
          </cell>
          <cell r="V145">
            <v>3.6390485036973037</v>
          </cell>
          <cell r="W145">
            <v>0.21162413185303902</v>
          </cell>
          <cell r="AE145">
            <v>0.43602635228848818</v>
          </cell>
          <cell r="AF145">
            <v>1.6839195527440114E-2</v>
          </cell>
          <cell r="AK145">
            <v>1.0106647446185741</v>
          </cell>
          <cell r="AL145">
            <v>4.6906725841692407E-2</v>
          </cell>
        </row>
        <row r="146">
          <cell r="A146" t="str">
            <v>ABELL_3809</v>
          </cell>
          <cell r="T146">
            <v>0.37484979958772968</v>
          </cell>
          <cell r="U146">
            <v>1.5931758202062371E-2</v>
          </cell>
          <cell r="V146">
            <v>0.49594791816252476</v>
          </cell>
          <cell r="W146">
            <v>2.143605502892653E-2</v>
          </cell>
          <cell r="AE146">
            <v>0.49146524648368151</v>
          </cell>
          <cell r="AF146">
            <v>1.9568938111423104E-2</v>
          </cell>
          <cell r="AK146">
            <v>0.20089565361034514</v>
          </cell>
          <cell r="AL146">
            <v>8.5384091993257836E-3</v>
          </cell>
        </row>
        <row r="147">
          <cell r="A147" t="str">
            <v>ABELL_3854</v>
          </cell>
          <cell r="T147">
            <v>1.9487622278794716</v>
          </cell>
          <cell r="U147">
            <v>8.0276062314345975E-2</v>
          </cell>
          <cell r="V147">
            <v>2.8082587293057872</v>
          </cell>
          <cell r="W147">
            <v>0.14028708233015483</v>
          </cell>
          <cell r="AE147">
            <v>0.51427730350309087</v>
          </cell>
          <cell r="AF147">
            <v>1.3749205964179684E-2</v>
          </cell>
          <cell r="AK147">
            <v>0.84495493531824195</v>
          </cell>
          <cell r="AL147">
            <v>3.4806532100239644E-2</v>
          </cell>
        </row>
        <row r="148">
          <cell r="A148" t="str">
            <v>ABELL_3880</v>
          </cell>
          <cell r="T148">
            <v>0.2758625683337092</v>
          </cell>
          <cell r="U148">
            <v>1.5588766820353213E-2</v>
          </cell>
          <cell r="V148">
            <v>0.36736281541777571</v>
          </cell>
          <cell r="W148">
            <v>2.1889361505845986E-2</v>
          </cell>
          <cell r="AE148">
            <v>0.64327861817401566</v>
          </cell>
          <cell r="AF148">
            <v>1.4913160606301703E-2</v>
          </cell>
          <cell r="AK148">
            <v>0.14968364110590124</v>
          </cell>
          <cell r="AL148">
            <v>8.4584994336696397E-3</v>
          </cell>
        </row>
        <row r="149">
          <cell r="A149" t="str">
            <v>ABELL_3911</v>
          </cell>
          <cell r="T149">
            <v>1.8759286569486644</v>
          </cell>
          <cell r="U149">
            <v>5.5881095576934603E-2</v>
          </cell>
          <cell r="V149">
            <v>2.8429941901589468</v>
          </cell>
          <cell r="W149">
            <v>0.1170881614608161</v>
          </cell>
          <cell r="AE149">
            <v>0.28911715221818829</v>
          </cell>
          <cell r="AF149">
            <v>9.1162263198639303E-3</v>
          </cell>
          <cell r="AK149">
            <v>0.76406794970579039</v>
          </cell>
          <cell r="AL149">
            <v>2.276043599346228E-2</v>
          </cell>
        </row>
        <row r="150">
          <cell r="A150" t="str">
            <v>ABELL_3921</v>
          </cell>
          <cell r="T150">
            <v>1.6500971073087671</v>
          </cell>
          <cell r="U150">
            <v>3.2428813550064994E-2</v>
          </cell>
          <cell r="V150">
            <v>2.4198681573148249</v>
          </cell>
          <cell r="W150">
            <v>0.1336517064069708</v>
          </cell>
          <cell r="AE150">
            <v>0.47394713106223546</v>
          </cell>
          <cell r="AF150">
            <v>6.8377220396888729E-3</v>
          </cell>
          <cell r="AK150">
            <v>0.68198683042351127</v>
          </cell>
          <cell r="AL150">
            <v>1.3402861970635208E-2</v>
          </cell>
        </row>
        <row r="151">
          <cell r="A151" t="str">
            <v>ABELL_S0295</v>
          </cell>
          <cell r="T151">
            <v>8.3689742100262432</v>
          </cell>
          <cell r="U151">
            <v>0.31683236125796027</v>
          </cell>
          <cell r="V151">
            <v>12.974869563202537</v>
          </cell>
          <cell r="W151">
            <v>0.71704127527139427</v>
          </cell>
          <cell r="AE151">
            <v>0.36176661615068195</v>
          </cell>
          <cell r="AF151">
            <v>1.402677725027252E-2</v>
          </cell>
          <cell r="AK151">
            <v>3.3318123273555202</v>
          </cell>
          <cell r="AL151">
            <v>0.12613564583336426</v>
          </cell>
        </row>
        <row r="152">
          <cell r="A152" t="str">
            <v>ABELL_S0520</v>
          </cell>
          <cell r="T152">
            <v>5.771036494328257</v>
          </cell>
          <cell r="U152">
            <v>0.22736326066580731</v>
          </cell>
          <cell r="V152">
            <v>9.5474970624662898</v>
          </cell>
          <cell r="W152">
            <v>0.64004734874564539</v>
          </cell>
          <cell r="AE152">
            <v>0.25020231518947256</v>
          </cell>
          <cell r="AF152">
            <v>1.2756950663283565E-2</v>
          </cell>
          <cell r="AK152">
            <v>2.1972091886855756</v>
          </cell>
          <cell r="AL152">
            <v>8.6564111316120573E-2</v>
          </cell>
        </row>
        <row r="153">
          <cell r="A153" t="str">
            <v>ABELL_S0579</v>
          </cell>
          <cell r="T153">
            <v>1.3422561149258754</v>
          </cell>
          <cell r="U153">
            <v>5.2681779818847696E-2</v>
          </cell>
          <cell r="V153">
            <v>1.8906672624731862</v>
          </cell>
          <cell r="W153">
            <v>8.627778329149402E-2</v>
          </cell>
          <cell r="AE153">
            <v>0.45266030013642566</v>
          </cell>
          <cell r="AF153">
            <v>1.8223149424652155E-2</v>
          </cell>
          <cell r="AK153">
            <v>0.59023498104197825</v>
          </cell>
          <cell r="AL153">
            <v>2.3165943493840897E-2</v>
          </cell>
        </row>
        <row r="154">
          <cell r="A154" t="str">
            <v>ABELL_S0592</v>
          </cell>
          <cell r="T154">
            <v>7.0710401307357253</v>
          </cell>
          <cell r="U154">
            <v>0.17856198763131093</v>
          </cell>
          <cell r="V154">
            <v>11.765888068076192</v>
          </cell>
          <cell r="W154">
            <v>0.57721680048489954</v>
          </cell>
          <cell r="AE154">
            <v>0.58514692183927519</v>
          </cell>
          <cell r="AF154">
            <v>8.1067507814818508E-3</v>
          </cell>
          <cell r="AK154">
            <v>2.6570516691807669</v>
          </cell>
          <cell r="AL154">
            <v>6.7097402718126684E-2</v>
          </cell>
        </row>
        <row r="155">
          <cell r="A155" t="str">
            <v>ABELL_S0780</v>
          </cell>
          <cell r="T155">
            <v>4.7330661453225984</v>
          </cell>
          <cell r="U155">
            <v>7.4357771334152889E-2</v>
          </cell>
          <cell r="V155">
            <v>7.3664346400561787</v>
          </cell>
          <cell r="W155">
            <v>0.285778966064824</v>
          </cell>
          <cell r="AE155">
            <v>0.65354135710747885</v>
          </cell>
          <cell r="AF155">
            <v>5.0370882344901282E-3</v>
          </cell>
          <cell r="AK155">
            <v>1.85579417092017</v>
          </cell>
          <cell r="AL155">
            <v>2.9155037003001882E-2</v>
          </cell>
        </row>
        <row r="156">
          <cell r="A156" t="str">
            <v>ABELL_S1063</v>
          </cell>
          <cell r="T156">
            <v>19.565662967205917</v>
          </cell>
          <cell r="U156">
            <v>0.37909360055559466</v>
          </cell>
          <cell r="V156">
            <v>35.917885770758531</v>
          </cell>
          <cell r="W156">
            <v>1.8073806646705035</v>
          </cell>
          <cell r="AE156">
            <v>0.57670950341107408</v>
          </cell>
          <cell r="AF156">
            <v>6.0812758516293622E-3</v>
          </cell>
          <cell r="AK156">
            <v>6.9786774233243509</v>
          </cell>
          <cell r="AL156">
            <v>0.13521504259571074</v>
          </cell>
        </row>
        <row r="157">
          <cell r="A157" t="str">
            <v>ABELL_S1101</v>
          </cell>
          <cell r="T157">
            <v>0.44653009909184904</v>
          </cell>
          <cell r="U157">
            <v>9.4067596704420324E-3</v>
          </cell>
          <cell r="V157">
            <v>0.60117360364591244</v>
          </cell>
          <cell r="W157">
            <v>1.6535339199143514E-2</v>
          </cell>
          <cell r="AE157">
            <v>0.77880069669071916</v>
          </cell>
          <cell r="AF157">
            <v>3.8795941035276445E-3</v>
          </cell>
          <cell r="AK157">
            <v>0.25068042751361769</v>
          </cell>
          <cell r="AL157">
            <v>5.2809218023603345E-3</v>
          </cell>
        </row>
        <row r="158">
          <cell r="A158" t="str">
            <v>Abell_222</v>
          </cell>
          <cell r="T158">
            <v>1.4058885709983453</v>
          </cell>
          <cell r="U158">
            <v>6.2516671157973366E-2</v>
          </cell>
          <cell r="V158">
            <v>1.9192009791630291</v>
          </cell>
          <cell r="W158">
            <v>9.1559711764208754E-2</v>
          </cell>
          <cell r="AE158">
            <v>0.35221930520788813</v>
          </cell>
          <cell r="AF158">
            <v>1.5832018330992903E-2</v>
          </cell>
          <cell r="AK158">
            <v>0.66775225449287789</v>
          </cell>
          <cell r="AL158">
            <v>2.9693425901799814E-2</v>
          </cell>
        </row>
        <row r="159">
          <cell r="A159" t="str">
            <v>Abell_223</v>
          </cell>
          <cell r="T159">
            <v>1.1303537592720172</v>
          </cell>
          <cell r="U159">
            <v>5.7942503626548805E-2</v>
          </cell>
          <cell r="V159">
            <v>1.6474577145479621</v>
          </cell>
          <cell r="W159">
            <v>0.10738223522923476</v>
          </cell>
          <cell r="AE159">
            <v>0.48719385753516786</v>
          </cell>
          <cell r="AF159">
            <v>1.6008730833774496E-2</v>
          </cell>
          <cell r="AK159">
            <v>0.47366109625948127</v>
          </cell>
          <cell r="AL159">
            <v>2.4280106614981822E-2</v>
          </cell>
        </row>
        <row r="160">
          <cell r="A160" t="str">
            <v>Abell_2276</v>
          </cell>
          <cell r="T160">
            <v>0.44569690532818984</v>
          </cell>
          <cell r="U160">
            <v>4.1992418928209471E-2</v>
          </cell>
          <cell r="V160">
            <v>0.59643770228419779</v>
          </cell>
          <cell r="W160">
            <v>5.7272482884035927E-2</v>
          </cell>
          <cell r="AE160">
            <v>0.57274411814251225</v>
          </cell>
          <cell r="AF160">
            <v>2.6518759741284915E-2</v>
          </cell>
          <cell r="AK160">
            <v>0.23969832463350185</v>
          </cell>
          <cell r="AL160">
            <v>2.2583761170583406E-2</v>
          </cell>
        </row>
        <row r="161">
          <cell r="A161" t="str">
            <v>BLOX_J1023.6+0411.1</v>
          </cell>
          <cell r="T161">
            <v>7.1232222453739942</v>
          </cell>
          <cell r="U161">
            <v>0.11697036529107652</v>
          </cell>
          <cell r="V161">
            <v>11.420901205323878</v>
          </cell>
          <cell r="W161">
            <v>0.58228126277909054</v>
          </cell>
          <cell r="AE161">
            <v>0.76151738311354678</v>
          </cell>
          <cell r="AF161">
            <v>3.3568424509716264E-3</v>
          </cell>
          <cell r="AK161">
            <v>2.7459057880218851</v>
          </cell>
          <cell r="AL161">
            <v>4.5090493040335793E-2</v>
          </cell>
        </row>
        <row r="162">
          <cell r="A162" t="str">
            <v>BLOX_J1056.9-0337.3</v>
          </cell>
          <cell r="T162">
            <v>6.0447185209847385</v>
          </cell>
          <cell r="U162">
            <v>0.35380266438306923</v>
          </cell>
          <cell r="V162">
            <v>9.6895105758643609</v>
          </cell>
          <cell r="W162">
            <v>0.92273844288056461</v>
          </cell>
          <cell r="AE162">
            <v>0.31766231107775234</v>
          </cell>
          <cell r="AF162">
            <v>1.7332335419365418E-2</v>
          </cell>
          <cell r="AK162">
            <v>2.3683274736820388</v>
          </cell>
          <cell r="AL162">
            <v>0.13862027940778684</v>
          </cell>
        </row>
        <row r="163">
          <cell r="A163" t="str">
            <v>Bullet_Cluster</v>
          </cell>
          <cell r="T163">
            <v>22.025256706196394</v>
          </cell>
          <cell r="U163">
            <v>0.12796062333613822</v>
          </cell>
          <cell r="V163">
            <v>42.504744167169903</v>
          </cell>
          <cell r="W163">
            <v>3.094301686689295</v>
          </cell>
          <cell r="AE163">
            <v>0.35745007680491553</v>
          </cell>
          <cell r="AF163">
            <v>2.206224926315723E-3</v>
          </cell>
          <cell r="AK163">
            <v>7.7463351007031598</v>
          </cell>
          <cell r="AL163">
            <v>4.5004055175335164E-2</v>
          </cell>
        </row>
        <row r="164">
          <cell r="A164" t="str">
            <v>CIZA_J0107.7+5408</v>
          </cell>
          <cell r="T164">
            <v>4.2384652830390408</v>
          </cell>
          <cell r="U164">
            <v>7.2915121895163651E-2</v>
          </cell>
          <cell r="V164">
            <v>6.4598819034825494</v>
          </cell>
          <cell r="W164">
            <v>0.54838500444096283</v>
          </cell>
          <cell r="AE164">
            <v>0.41574724172517558</v>
          </cell>
          <cell r="AF164">
            <v>6.9231836836195146E-3</v>
          </cell>
          <cell r="AK164">
            <v>1.7193594998321853</v>
          </cell>
          <cell r="AL164">
            <v>2.9578467473486351E-2</v>
          </cell>
        </row>
        <row r="165">
          <cell r="A165" t="str">
            <v>CIZA_J0616.3-2156</v>
          </cell>
          <cell r="T165">
            <v>2.7672119258002166</v>
          </cell>
          <cell r="U165">
            <v>6.5940337200953603E-2</v>
          </cell>
          <cell r="V165">
            <v>4.3267140570912677</v>
          </cell>
          <cell r="W165">
            <v>0.18377355653752264</v>
          </cell>
          <cell r="AE165">
            <v>0.33634126333059888</v>
          </cell>
          <cell r="AF165">
            <v>8.9192558071735668E-3</v>
          </cell>
          <cell r="AK165">
            <v>1.0865583881198118</v>
          </cell>
          <cell r="AL165">
            <v>2.5891774255933066E-2</v>
          </cell>
        </row>
        <row r="166">
          <cell r="A166" t="str">
            <v>CIZA_J1804.4+1002</v>
          </cell>
          <cell r="T166">
            <v>4.9187264064520457</v>
          </cell>
          <cell r="U166">
            <v>0.15107965526841854</v>
          </cell>
          <cell r="V166">
            <v>7.5597834515276743</v>
          </cell>
          <cell r="W166">
            <v>0.35055645830577753</v>
          </cell>
          <cell r="AE166">
            <v>0.50069204152249136</v>
          </cell>
          <cell r="AF166">
            <v>1.0696428755109766E-2</v>
          </cell>
          <cell r="AK166">
            <v>1.9903765289905702</v>
          </cell>
          <cell r="AL166">
            <v>6.1134809096070525E-2</v>
          </cell>
        </row>
        <row r="167">
          <cell r="A167" t="str">
            <v>CIZA_J1938.3+5409</v>
          </cell>
          <cell r="T167">
            <v>8.295850396145795</v>
          </cell>
          <cell r="U167">
            <v>0.35203129007739831</v>
          </cell>
          <cell r="V167">
            <v>12.832684114119633</v>
          </cell>
          <cell r="W167">
            <v>0.77325048986931544</v>
          </cell>
          <cell r="AE167">
            <v>0.57360872059667245</v>
          </cell>
          <cell r="AF167">
            <v>1.3428096834402485E-2</v>
          </cell>
          <cell r="AK167">
            <v>3.2617732281677356</v>
          </cell>
          <cell r="AL167">
            <v>0.13841211962854064</v>
          </cell>
        </row>
        <row r="168">
          <cell r="A168" t="str">
            <v>CIZA_J2242.8+5301</v>
          </cell>
          <cell r="T168">
            <v>4.2359068538048259</v>
          </cell>
          <cell r="U168">
            <v>6.5090720810089917E-2</v>
          </cell>
          <cell r="V168">
            <v>6.8399001989670252</v>
          </cell>
          <cell r="W168">
            <v>0.52745648182647353</v>
          </cell>
          <cell r="AE168">
            <v>0.25129943502824853</v>
          </cell>
          <cell r="AF168">
            <v>5.5149018099110237E-3</v>
          </cell>
          <cell r="AK168">
            <v>1.6366272430830529</v>
          </cell>
          <cell r="AL168">
            <v>2.5149100446818892E-2</v>
          </cell>
        </row>
        <row r="169">
          <cell r="A169" t="str">
            <v>ClG_2153.8+3746</v>
          </cell>
          <cell r="T169">
            <v>11.228394060088274</v>
          </cell>
          <cell r="U169">
            <v>0.16553707397720888</v>
          </cell>
          <cell r="V169">
            <v>18.708000193261419</v>
          </cell>
          <cell r="W169">
            <v>1.2752743869930903</v>
          </cell>
          <cell r="AE169">
            <v>0.40674157303370789</v>
          </cell>
          <cell r="AF169">
            <v>5.1034960080525429E-3</v>
          </cell>
          <cell r="AK169">
            <v>4.2375591825142367</v>
          </cell>
          <cell r="AL169">
            <v>6.2473150133915523E-2</v>
          </cell>
        </row>
        <row r="170">
          <cell r="A170" t="str">
            <v>Cl_0016+16</v>
          </cell>
          <cell r="T170">
            <v>14.322141702154884</v>
          </cell>
          <cell r="U170">
            <v>0.32260914129957208</v>
          </cell>
          <cell r="V170">
            <v>25.361821292569072</v>
          </cell>
          <cell r="W170">
            <v>1.4098200853406704</v>
          </cell>
          <cell r="AE170">
            <v>0.38749831483395497</v>
          </cell>
          <cell r="AF170">
            <v>9.1047715224646421E-3</v>
          </cell>
          <cell r="AK170">
            <v>5.2531159608279241</v>
          </cell>
          <cell r="AL170">
            <v>0.11832750048931516</v>
          </cell>
        </row>
        <row r="171">
          <cell r="A171" t="str">
            <v>ESO3060170-A</v>
          </cell>
          <cell r="T171">
            <v>0.16001584609808051</v>
          </cell>
          <cell r="U171">
            <v>7.1127536163561912E-3</v>
          </cell>
          <cell r="V171">
            <v>0.21400877475789865</v>
          </cell>
          <cell r="W171">
            <v>1.0922025311492467E-2</v>
          </cell>
          <cell r="AE171">
            <v>0.58823529411764708</v>
          </cell>
          <cell r="AF171">
            <v>1.2792913587849052E-2</v>
          </cell>
          <cell r="AK171">
            <v>9.2203765083333347E-2</v>
          </cell>
          <cell r="AL171">
            <v>4.0984857408194091E-3</v>
          </cell>
        </row>
        <row r="172">
          <cell r="A172" t="str">
            <v>G139.59+24.18</v>
          </cell>
          <cell r="T172">
            <v>7.3408619233316417</v>
          </cell>
          <cell r="U172">
            <v>0.27598278604891857</v>
          </cell>
          <cell r="V172">
            <v>11.519079954439309</v>
          </cell>
          <cell r="W172">
            <v>0.66648166192660285</v>
          </cell>
          <cell r="AE172">
            <v>0.56685447299711422</v>
          </cell>
          <cell r="AF172">
            <v>1.2110315296883995E-2</v>
          </cell>
          <cell r="AK172">
            <v>2.8643671101276413</v>
          </cell>
          <cell r="AL172">
            <v>0.10768708410212696</v>
          </cell>
        </row>
        <row r="173">
          <cell r="A173" t="str">
            <v>GALEX_J094712.4+762313</v>
          </cell>
          <cell r="T173">
            <v>6.4093090948034481</v>
          </cell>
          <cell r="U173">
            <v>0.15757235154627217</v>
          </cell>
          <cell r="V173">
            <v>10.592898505839269</v>
          </cell>
          <cell r="W173">
            <v>0.47711876462167113</v>
          </cell>
          <cell r="AE173">
            <v>0.80635872825434918</v>
          </cell>
          <cell r="AF173">
            <v>4.2131039796110877E-3</v>
          </cell>
          <cell r="AK173">
            <v>2.4020058138617348</v>
          </cell>
          <cell r="AL173">
            <v>5.9053120846501772E-2</v>
          </cell>
        </row>
        <row r="174">
          <cell r="A174" t="str">
            <v>GMBCG_J029.95560-08.83299</v>
          </cell>
          <cell r="T174">
            <v>4.3597938416454944</v>
          </cell>
          <cell r="U174">
            <v>0.11420872250324189</v>
          </cell>
          <cell r="V174">
            <v>7.4603088067698105</v>
          </cell>
          <cell r="W174">
            <v>0.37232663301949975</v>
          </cell>
          <cell r="AE174">
            <v>0.70892216831892008</v>
          </cell>
          <cell r="AF174">
            <v>6.2247011244389054E-3</v>
          </cell>
          <cell r="AK174">
            <v>1.6522673393057619</v>
          </cell>
          <cell r="AL174">
            <v>4.3282629617349119E-2</v>
          </cell>
        </row>
        <row r="175">
          <cell r="A175" t="str">
            <v>GMBCG_J215.94948+24.07846</v>
          </cell>
          <cell r="T175">
            <v>5.1915596015886569</v>
          </cell>
          <cell r="U175">
            <v>0.14519659839246463</v>
          </cell>
          <cell r="V175">
            <v>7.9867496217430842</v>
          </cell>
          <cell r="W175">
            <v>0.28217804514112671</v>
          </cell>
          <cell r="AE175">
            <v>0.73946594126464216</v>
          </cell>
          <cell r="AF175">
            <v>6.1219604966096016E-3</v>
          </cell>
          <cell r="AK175">
            <v>2.05739880298768</v>
          </cell>
          <cell r="AL175">
            <v>5.7540956987015383E-2</v>
          </cell>
        </row>
        <row r="176">
          <cell r="A176" t="str">
            <v>Hercules_A</v>
          </cell>
          <cell r="T176">
            <v>1.6211423614726685</v>
          </cell>
          <cell r="U176">
            <v>2.9043914491364745E-2</v>
          </cell>
          <cell r="V176">
            <v>2.227500601121621</v>
          </cell>
          <cell r="W176">
            <v>0.15205271257205025</v>
          </cell>
          <cell r="AE176">
            <v>0.58435555555555552</v>
          </cell>
          <cell r="AF176">
            <v>5.6048259435767245E-3</v>
          </cell>
          <cell r="AK176">
            <v>0.76650837097100111</v>
          </cell>
          <cell r="AL176">
            <v>1.3732540776476633E-2</v>
          </cell>
        </row>
        <row r="177">
          <cell r="A177" t="str">
            <v>IC_1365</v>
          </cell>
          <cell r="T177">
            <v>0.52813424081169191</v>
          </cell>
          <cell r="U177">
            <v>2.496766205328519E-2</v>
          </cell>
          <cell r="V177">
            <v>0.71699700916666964</v>
          </cell>
          <cell r="W177">
            <v>3.5987293148113407E-2</v>
          </cell>
          <cell r="AE177">
            <v>0.42131400577142469</v>
          </cell>
          <cell r="AF177">
            <v>1.3893729378720389E-2</v>
          </cell>
          <cell r="AK177">
            <v>0.24786928868673735</v>
          </cell>
          <cell r="AL177">
            <v>1.1718074979965657E-2</v>
          </cell>
        </row>
        <row r="178">
          <cell r="A178" t="str">
            <v>LCDCS_0829</v>
          </cell>
          <cell r="T178">
            <v>17.693506224192934</v>
          </cell>
          <cell r="U178">
            <v>0.23762423880735445</v>
          </cell>
          <cell r="V178">
            <v>35.256649476233108</v>
          </cell>
          <cell r="W178">
            <v>5.1684054903482082</v>
          </cell>
          <cell r="AE178">
            <v>0.7668933839766805</v>
          </cell>
          <cell r="AF178">
            <v>2.7967361995463484E-3</v>
          </cell>
          <cell r="AK178">
            <v>6.1441170119409856</v>
          </cell>
          <cell r="AL178">
            <v>8.25156478092227E-2</v>
          </cell>
        </row>
        <row r="179">
          <cell r="A179" t="str">
            <v>MACS_J0011.7-1523</v>
          </cell>
          <cell r="T179">
            <v>5.2028968802324211</v>
          </cell>
          <cell r="U179">
            <v>0.18533478057209124</v>
          </cell>
          <cell r="V179">
            <v>7.6234642397004571</v>
          </cell>
          <cell r="W179">
            <v>0.33002190462300984</v>
          </cell>
          <cell r="AE179">
            <v>0.57946498819826908</v>
          </cell>
          <cell r="AF179">
            <v>1.0733212052991917E-2</v>
          </cell>
          <cell r="AK179">
            <v>2.1748275065167584</v>
          </cell>
          <cell r="AL179">
            <v>7.747052997222309E-2</v>
          </cell>
        </row>
        <row r="180">
          <cell r="A180" t="str">
            <v>MACS_J0025.4-1222</v>
          </cell>
          <cell r="T180">
            <v>7.570676311043699</v>
          </cell>
          <cell r="U180">
            <v>0.29924390611468193</v>
          </cell>
          <cell r="V180">
            <v>12.224757410114119</v>
          </cell>
          <cell r="W180">
            <v>0.65062476417304593</v>
          </cell>
          <cell r="AE180">
            <v>0.31272043263578653</v>
          </cell>
          <cell r="AF180">
            <v>1.5848674458179449E-2</v>
          </cell>
          <cell r="AK180">
            <v>2.9115897092001415</v>
          </cell>
          <cell r="AL180">
            <v>0.1150855540228805</v>
          </cell>
        </row>
        <row r="181">
          <cell r="A181" t="str">
            <v>MACS_J0242.6-2132</v>
          </cell>
          <cell r="T181">
            <v>4.2859903289322254</v>
          </cell>
          <cell r="U181">
            <v>0.28661322076372664</v>
          </cell>
          <cell r="V181">
            <v>6.1342261726863496</v>
          </cell>
          <cell r="W181">
            <v>0.47843420405223341</v>
          </cell>
          <cell r="AE181">
            <v>0.78493557978196238</v>
          </cell>
          <cell r="AF181">
            <v>1.271310462609437E-2</v>
          </cell>
          <cell r="AK181">
            <v>1.9152483862622531</v>
          </cell>
          <cell r="AL181">
            <v>0.12807670256360831</v>
          </cell>
        </row>
        <row r="182">
          <cell r="A182" t="str">
            <v>MACS_J0308.9+2645</v>
          </cell>
          <cell r="T182">
            <v>9.9856625114933717</v>
          </cell>
          <cell r="U182">
            <v>0.30707593493414875</v>
          </cell>
          <cell r="V182">
            <v>17.253862996362962</v>
          </cell>
          <cell r="W182">
            <v>1.2666288277301998</v>
          </cell>
          <cell r="AE182">
            <v>0.52428163333893463</v>
          </cell>
          <cell r="AF182">
            <v>1.034467809192152E-2</v>
          </cell>
          <cell r="AK182">
            <v>3.7005538002767615</v>
          </cell>
          <cell r="AL182">
            <v>0.11379825992378352</v>
          </cell>
        </row>
        <row r="183">
          <cell r="A183" t="str">
            <v>MACS_J0329.6-0211</v>
          </cell>
          <cell r="T183">
            <v>6.3649269731069955</v>
          </cell>
          <cell r="U183">
            <v>0.16285138892921722</v>
          </cell>
          <cell r="V183">
            <v>9.973847212993201</v>
          </cell>
          <cell r="W183">
            <v>0.37844812317577431</v>
          </cell>
          <cell r="AE183">
            <v>0.66208812408364848</v>
          </cell>
          <cell r="AF183">
            <v>7.0397606622229969E-3</v>
          </cell>
          <cell r="AK183">
            <v>2.4751422203535669</v>
          </cell>
          <cell r="AL183">
            <v>6.3328353975625279E-2</v>
          </cell>
        </row>
        <row r="184">
          <cell r="A184" t="str">
            <v>MACS_J0358.8-2955</v>
          </cell>
          <cell r="T184">
            <v>11.170097038092651</v>
          </cell>
          <cell r="U184">
            <v>0.31427445952287747</v>
          </cell>
          <cell r="V184">
            <v>18.523192593189378</v>
          </cell>
          <cell r="W184">
            <v>0.7626520198220913</v>
          </cell>
          <cell r="AE184">
            <v>0.50931025439286648</v>
          </cell>
          <cell r="AF184">
            <v>9.8212860349693124E-3</v>
          </cell>
          <cell r="AK184">
            <v>4.2543154419498581</v>
          </cell>
          <cell r="AL184">
            <v>0.11969660438929601</v>
          </cell>
        </row>
        <row r="185">
          <cell r="A185" t="str">
            <v>MACS_J0416.1-2403</v>
          </cell>
          <cell r="T185">
            <v>8.0400197610740136</v>
          </cell>
          <cell r="U185">
            <v>0.31785034390718259</v>
          </cell>
          <cell r="V185">
            <v>13.467741730884701</v>
          </cell>
          <cell r="W185">
            <v>0.84060610182839479</v>
          </cell>
          <cell r="AE185">
            <v>0.34362747470835958</v>
          </cell>
          <cell r="AF185">
            <v>1.4042300835307374E-2</v>
          </cell>
          <cell r="AK185">
            <v>3.0294320938336297</v>
          </cell>
          <cell r="AL185">
            <v>0.11976413758712542</v>
          </cell>
        </row>
        <row r="186">
          <cell r="A186" t="str">
            <v>MACS_J0417.5-1154</v>
          </cell>
          <cell r="T186">
            <v>18.481126586293573</v>
          </cell>
          <cell r="U186">
            <v>0.36834356102785809</v>
          </cell>
          <cell r="V186">
            <v>33.769221764654439</v>
          </cell>
          <cell r="W186">
            <v>2.0935280718859746</v>
          </cell>
          <cell r="AE186">
            <v>0.5232577387849694</v>
          </cell>
          <cell r="AF186">
            <v>6.6313889991754136E-3</v>
          </cell>
          <cell r="AK186">
            <v>6.6779836498156895</v>
          </cell>
          <cell r="AL186">
            <v>0.13309752879909473</v>
          </cell>
        </row>
        <row r="187">
          <cell r="A187" t="str">
            <v>MACS_J0429.6-0253</v>
          </cell>
          <cell r="T187">
            <v>4.6493451157350085</v>
          </cell>
          <cell r="U187">
            <v>0.21206474622504215</v>
          </cell>
          <cell r="V187">
            <v>7.1614225822006565</v>
          </cell>
          <cell r="W187">
            <v>0.47637876296183557</v>
          </cell>
          <cell r="AE187">
            <v>0.7116336633663366</v>
          </cell>
          <cell r="AF187">
            <v>1.1558451742923631E-2</v>
          </cell>
          <cell r="AK187">
            <v>1.8387113000044051</v>
          </cell>
          <cell r="AL187">
            <v>8.3866831889271062E-2</v>
          </cell>
        </row>
        <row r="188">
          <cell r="A188" t="str">
            <v>MACS_J0553.4-3342</v>
          </cell>
          <cell r="T188">
            <v>11.980980755090583</v>
          </cell>
          <cell r="U188">
            <v>0.20763335475257291</v>
          </cell>
          <cell r="V188">
            <v>21.908539114932115</v>
          </cell>
          <cell r="W188">
            <v>1.0503373758238277</v>
          </cell>
          <cell r="AE188">
            <v>0.42439774474628394</v>
          </cell>
          <cell r="AF188">
            <v>6.436876325530117E-3</v>
          </cell>
          <cell r="AK188">
            <v>4.3243359173956</v>
          </cell>
          <cell r="AL188">
            <v>7.4941809185729305E-2</v>
          </cell>
        </row>
        <row r="189">
          <cell r="A189" t="str">
            <v>MACS_J0712.3+5931</v>
          </cell>
          <cell r="T189">
            <v>2.1457910880921967</v>
          </cell>
          <cell r="U189">
            <v>0.16800312601594927</v>
          </cell>
          <cell r="V189">
            <v>3.0102086884837571</v>
          </cell>
          <cell r="W189">
            <v>0.26395018956571198</v>
          </cell>
          <cell r="AE189">
            <v>0.56634328358208952</v>
          </cell>
          <cell r="AF189">
            <v>2.1852550580732082E-2</v>
          </cell>
          <cell r="AK189">
            <v>0.95098150196567566</v>
          </cell>
          <cell r="AL189">
            <v>7.4456393262227721E-2</v>
          </cell>
        </row>
        <row r="190">
          <cell r="A190" t="str">
            <v>MACS_J0717+3745</v>
          </cell>
          <cell r="T190">
            <v>22.88662206754044</v>
          </cell>
          <cell r="U190">
            <v>0.33519856787579849</v>
          </cell>
          <cell r="V190">
            <v>44.40251440358162</v>
          </cell>
          <cell r="W190">
            <v>4.1260171698405346</v>
          </cell>
          <cell r="AE190">
            <v>0.29804334936425325</v>
          </cell>
          <cell r="AF190">
            <v>5.7901819892611723E-3</v>
          </cell>
          <cell r="AK190">
            <v>8.0453963775634278</v>
          </cell>
          <cell r="AL190">
            <v>0.11783326240953723</v>
          </cell>
        </row>
        <row r="191">
          <cell r="A191" t="str">
            <v>MACS_J0744.9+3927</v>
          </cell>
          <cell r="T191">
            <v>11.432610508207452</v>
          </cell>
          <cell r="U191">
            <v>0.54165420174534562</v>
          </cell>
          <cell r="V191">
            <v>18.721648695726543</v>
          </cell>
          <cell r="W191">
            <v>1.2279752340734451</v>
          </cell>
          <cell r="AE191">
            <v>0.57658190419869892</v>
          </cell>
          <cell r="AF191">
            <v>1.4729609271421832E-2</v>
          </cell>
          <cell r="AK191">
            <v>4.3801958740908011</v>
          </cell>
          <cell r="AL191">
            <v>0.20752491287669239</v>
          </cell>
        </row>
        <row r="192">
          <cell r="A192" t="str">
            <v>MACS_J1108.9+0906</v>
          </cell>
          <cell r="T192">
            <v>4.8784892838036935</v>
          </cell>
          <cell r="U192">
            <v>0.20256919723390382</v>
          </cell>
          <cell r="V192">
            <v>7.4572166289929127</v>
          </cell>
          <cell r="W192">
            <v>0.42819424869999906</v>
          </cell>
          <cell r="AE192">
            <v>0.42505081300813008</v>
          </cell>
          <cell r="AF192">
            <v>1.8256353385938388E-2</v>
          </cell>
          <cell r="AK192">
            <v>1.9636891894728801</v>
          </cell>
          <cell r="AL192">
            <v>8.1538140106002341E-2</v>
          </cell>
        </row>
        <row r="193">
          <cell r="A193" t="str">
            <v>MACS_J1115.8+0129</v>
          </cell>
          <cell r="T193">
            <v>6.6896405125120753</v>
          </cell>
          <cell r="U193">
            <v>0.19713545237598309</v>
          </cell>
          <cell r="V193">
            <v>11.726555880163069</v>
          </cell>
          <cell r="W193">
            <v>0.77504584230590856</v>
          </cell>
          <cell r="AE193">
            <v>0.69980609906575009</v>
          </cell>
          <cell r="AF193">
            <v>7.6299474098380365E-3</v>
          </cell>
          <cell r="AK193">
            <v>2.4726934613518656</v>
          </cell>
          <cell r="AL193">
            <v>7.2867225552556272E-2</v>
          </cell>
        </row>
        <row r="194">
          <cell r="A194" t="str">
            <v>MACS_J1149.6+2223</v>
          </cell>
          <cell r="T194">
            <v>12.557094158738991</v>
          </cell>
          <cell r="U194">
            <v>0.51011834849366022</v>
          </cell>
          <cell r="V194">
            <v>21.235338757296041</v>
          </cell>
          <cell r="W194">
            <v>1.4359841374867433</v>
          </cell>
          <cell r="AE194">
            <v>0.29694061187762449</v>
          </cell>
          <cell r="AF194">
            <v>1.4239946104857393E-2</v>
          </cell>
          <cell r="AK194">
            <v>4.7072628508882364</v>
          </cell>
          <cell r="AL194">
            <v>0.19122745446242681</v>
          </cell>
        </row>
        <row r="195">
          <cell r="A195" t="str">
            <v>MACS_J1206.2-0847</v>
          </cell>
          <cell r="T195">
            <v>15.022617426959059</v>
          </cell>
          <cell r="U195">
            <v>0.47875412100238629</v>
          </cell>
          <cell r="V195">
            <v>27.047657819120619</v>
          </cell>
          <cell r="W195">
            <v>2.129670480118333</v>
          </cell>
          <cell r="AE195">
            <v>0.53053357679042401</v>
          </cell>
          <cell r="AF195">
            <v>1.0505519376058294E-2</v>
          </cell>
          <cell r="AK195">
            <v>5.4198592135537407</v>
          </cell>
          <cell r="AL195">
            <v>0.17272488941142211</v>
          </cell>
        </row>
        <row r="196">
          <cell r="A196" t="str">
            <v>MACS_J1311.0-0311</v>
          </cell>
          <cell r="T196">
            <v>3.6899816759080819</v>
          </cell>
          <cell r="U196">
            <v>0.18393027418942495</v>
          </cell>
          <cell r="V196">
            <v>5.4247146924184539</v>
          </cell>
          <cell r="W196">
            <v>0.31542802960349231</v>
          </cell>
          <cell r="AE196">
            <v>0.68703058459156019</v>
          </cell>
          <cell r="AF196">
            <v>1.2581849388655478E-2</v>
          </cell>
          <cell r="AK196">
            <v>1.5362025779284039</v>
          </cell>
          <cell r="AL196">
            <v>7.6573323714226288E-2</v>
          </cell>
        </row>
        <row r="197">
          <cell r="A197" t="str">
            <v>MACS_J1359.2-1929</v>
          </cell>
          <cell r="T197">
            <v>2.3704870553897122</v>
          </cell>
          <cell r="U197">
            <v>0.20431403038047494</v>
          </cell>
          <cell r="V197">
            <v>3.5686579654568562</v>
          </cell>
          <cell r="W197">
            <v>0.41584497777674878</v>
          </cell>
          <cell r="AE197">
            <v>0.70583254938852313</v>
          </cell>
          <cell r="AF197">
            <v>2.0411536358209866E-2</v>
          </cell>
          <cell r="AK197">
            <v>0.97631455327580363</v>
          </cell>
          <cell r="AL197">
            <v>8.4149272549433246E-2</v>
          </cell>
        </row>
        <row r="198">
          <cell r="A198" t="str">
            <v>MACS_J1427.6-2521</v>
          </cell>
          <cell r="T198">
            <v>1.7735086485068672</v>
          </cell>
          <cell r="U198">
            <v>0.11129086135179217</v>
          </cell>
          <cell r="V198">
            <v>2.4866547380349577</v>
          </cell>
          <cell r="W198">
            <v>0.17282881738728595</v>
          </cell>
          <cell r="AE198">
            <v>0.69239976062238184</v>
          </cell>
          <cell r="AF198">
            <v>1.6201185451438893E-2</v>
          </cell>
          <cell r="AK198">
            <v>0.78143983740207268</v>
          </cell>
          <cell r="AL198">
            <v>4.903675698018134E-2</v>
          </cell>
        </row>
        <row r="199">
          <cell r="A199" t="str">
            <v>MACS_J1532.8+3021</v>
          </cell>
          <cell r="T199">
            <v>5.3762193862888346</v>
          </cell>
          <cell r="U199">
            <v>7.8285396148758082E-2</v>
          </cell>
          <cell r="V199">
            <v>8.4252882455811573</v>
          </cell>
          <cell r="W199">
            <v>0.41344702482232709</v>
          </cell>
          <cell r="AE199">
            <v>0.78636704119850187</v>
          </cell>
          <cell r="AF199">
            <v>2.9167636828832852E-3</v>
          </cell>
          <cell r="AK199">
            <v>2.1167517904251989</v>
          </cell>
          <cell r="AL199">
            <v>3.0822914869256961E-2</v>
          </cell>
        </row>
        <row r="200">
          <cell r="A200" t="str">
            <v>MACS_J1621.3+3810</v>
          </cell>
          <cell r="T200">
            <v>4.1179104557851725</v>
          </cell>
          <cell r="U200">
            <v>0.16690614904984508</v>
          </cell>
          <cell r="V200">
            <v>6.5638294929855512</v>
          </cell>
          <cell r="W200">
            <v>0.3902622175458148</v>
          </cell>
          <cell r="AE200">
            <v>0.64702855672755333</v>
          </cell>
          <cell r="AF200">
            <v>1.1016138043665741E-2</v>
          </cell>
          <cell r="AK200">
            <v>1.6032091030218436</v>
          </cell>
          <cell r="AL200">
            <v>6.4980882993972505E-2</v>
          </cell>
        </row>
        <row r="201">
          <cell r="A201" t="str">
            <v>MACS_J1720.2+3536</v>
          </cell>
          <cell r="T201">
            <v>5.7437646904296633</v>
          </cell>
          <cell r="U201">
            <v>0.18349251063534028</v>
          </cell>
          <cell r="V201">
            <v>9.4387565900758226</v>
          </cell>
          <cell r="W201">
            <v>0.53858589137256341</v>
          </cell>
          <cell r="AE201">
            <v>0.6333333333333333</v>
          </cell>
          <cell r="AF201">
            <v>9.2241689514613728E-3</v>
          </cell>
          <cell r="AK201">
            <v>2.172604377223462</v>
          </cell>
          <cell r="AL201">
            <v>6.9406853045061168E-2</v>
          </cell>
        </row>
        <row r="202">
          <cell r="A202" t="str">
            <v>MACS_J1829.0+6913</v>
          </cell>
          <cell r="T202">
            <v>0.77445219630691975</v>
          </cell>
          <cell r="U202">
            <v>4.9912126156957996E-2</v>
          </cell>
          <cell r="V202">
            <v>1.059998975503071</v>
          </cell>
          <cell r="W202">
            <v>7.2898212306052812E-2</v>
          </cell>
          <cell r="AE202">
            <v>0.63400221593007511</v>
          </cell>
          <cell r="AF202">
            <v>1.7696652570083446E-2</v>
          </cell>
          <cell r="AK202">
            <v>0.36038775624314501</v>
          </cell>
          <cell r="AL202">
            <v>2.3226377613502495E-2</v>
          </cell>
        </row>
        <row r="203">
          <cell r="A203" t="str">
            <v>MACS_J1931.8-2635</v>
          </cell>
          <cell r="T203">
            <v>8.0134196730592855</v>
          </cell>
          <cell r="U203">
            <v>0.11487306338239756</v>
          </cell>
          <cell r="V203">
            <v>12.767262851264141</v>
          </cell>
          <cell r="W203">
            <v>0.66399240160663142</v>
          </cell>
          <cell r="AE203">
            <v>0.74406438631790739</v>
          </cell>
          <cell r="AF203">
            <v>3.3502359166885775E-3</v>
          </cell>
          <cell r="AK203">
            <v>3.0781102301415131</v>
          </cell>
          <cell r="AL203">
            <v>4.4124976101502678E-2</v>
          </cell>
        </row>
        <row r="204">
          <cell r="A204" t="str">
            <v>MACS_J2046.0-3430</v>
          </cell>
          <cell r="T204">
            <v>3.6003338471738031</v>
          </cell>
          <cell r="U204">
            <v>0.20187221955723614</v>
          </cell>
          <cell r="V204">
            <v>5.2808717182385871</v>
          </cell>
          <cell r="W204">
            <v>0.34325609476652574</v>
          </cell>
          <cell r="AE204">
            <v>0.73473099751100901</v>
          </cell>
          <cell r="AF204">
            <v>1.3238367448796447E-2</v>
          </cell>
          <cell r="AK204">
            <v>1.5350170698807717</v>
          </cell>
          <cell r="AL204">
            <v>8.6069046957499368E-2</v>
          </cell>
        </row>
        <row r="205">
          <cell r="A205" t="str">
            <v>MACS_J2140.2-2339</v>
          </cell>
          <cell r="T205">
            <v>3.2633585967591889</v>
          </cell>
          <cell r="U205">
            <v>0.10453343491336024</v>
          </cell>
          <cell r="V205">
            <v>4.7491991845851835</v>
          </cell>
          <cell r="W205">
            <v>0.2835358155472173</v>
          </cell>
          <cell r="AE205">
            <v>0.79504594486616065</v>
          </cell>
          <cell r="AF205">
            <v>5.7131411257928437E-3</v>
          </cell>
          <cell r="AK205">
            <v>1.375025158200939</v>
          </cell>
          <cell r="AL205">
            <v>4.4045451524013846E-2</v>
          </cell>
        </row>
        <row r="206">
          <cell r="A206" t="str">
            <v>MACS_J2214-1359</v>
          </cell>
          <cell r="T206">
            <v>9.4533251559999396</v>
          </cell>
          <cell r="U206">
            <v>0.40468609379796966</v>
          </cell>
          <cell r="V206">
            <v>15.435304199764666</v>
          </cell>
          <cell r="W206">
            <v>1.0760299270774834</v>
          </cell>
          <cell r="AE206">
            <v>0.47295423023578365</v>
          </cell>
          <cell r="AF206">
            <v>1.3400323005215476E-2</v>
          </cell>
          <cell r="AK206">
            <v>3.6021978661226717</v>
          </cell>
          <cell r="AL206">
            <v>0.1542059920157659</v>
          </cell>
        </row>
        <row r="207">
          <cell r="A207" t="str">
            <v>MACS_J2229.8-2756</v>
          </cell>
          <cell r="T207">
            <v>3.374445928104961</v>
          </cell>
          <cell r="U207">
            <v>0.16938984258291467</v>
          </cell>
          <cell r="V207">
            <v>4.9924797101169593</v>
          </cell>
          <cell r="W207">
            <v>0.31754310460030938</v>
          </cell>
          <cell r="AE207">
            <v>0.74503893494096962</v>
          </cell>
          <cell r="AF207">
            <v>1.0971998258820193E-2</v>
          </cell>
          <cell r="AK207">
            <v>1.370539925351715</v>
          </cell>
          <cell r="AL207">
            <v>6.8798121871018317E-2</v>
          </cell>
        </row>
        <row r="208">
          <cell r="A208" t="str">
            <v>MACS_J2245.0+2637</v>
          </cell>
          <cell r="T208">
            <v>3.9930034021272887</v>
          </cell>
          <cell r="U208">
            <v>0.23604752015256489</v>
          </cell>
          <cell r="V208">
            <v>5.9653458606553746</v>
          </cell>
          <cell r="W208">
            <v>0.47068522289649328</v>
          </cell>
          <cell r="AE208">
            <v>0.67533742331288349</v>
          </cell>
          <cell r="AF208">
            <v>1.5713022551913258E-2</v>
          </cell>
          <cell r="AK208">
            <v>1.6238184343538793</v>
          </cell>
          <cell r="AL208">
            <v>9.5992483853895527E-2</v>
          </cell>
        </row>
        <row r="209">
          <cell r="A209" t="str">
            <v>MCXC_J0035.4-2015</v>
          </cell>
          <cell r="T209">
            <v>9.0040542286118548</v>
          </cell>
          <cell r="U209">
            <v>0.33827209239888861</v>
          </cell>
          <cell r="V209">
            <v>14.164579095291719</v>
          </cell>
          <cell r="W209">
            <v>0.86071670330567429</v>
          </cell>
          <cell r="AE209">
            <v>0.49654679685639436</v>
          </cell>
          <cell r="AF209">
            <v>1.2447845799324918E-2</v>
          </cell>
          <cell r="AK209">
            <v>3.4884404740002926</v>
          </cell>
          <cell r="AL209">
            <v>0.1310567471483316</v>
          </cell>
        </row>
        <row r="210">
          <cell r="A210" t="str">
            <v>MCXC_J0220.9-3829</v>
          </cell>
          <cell r="T210">
            <v>1.9938318260605203</v>
          </cell>
          <cell r="U210">
            <v>0.11655119865574368</v>
          </cell>
          <cell r="V210">
            <v>2.7596910800101</v>
          </cell>
          <cell r="W210">
            <v>0.17489476806948645</v>
          </cell>
          <cell r="AE210">
            <v>0.57272421901242865</v>
          </cell>
          <cell r="AF210">
            <v>1.8566840239672332E-2</v>
          </cell>
          <cell r="AK210">
            <v>0.87249419130171346</v>
          </cell>
          <cell r="AL210">
            <v>5.1002417800357525E-2</v>
          </cell>
        </row>
        <row r="211">
          <cell r="A211" t="str">
            <v>MCXC_J0301.6+0155</v>
          </cell>
          <cell r="T211">
            <v>1.579667761972684</v>
          </cell>
          <cell r="U211">
            <v>8.9565247057450281E-2</v>
          </cell>
          <cell r="V211">
            <v>2.1880401573321886</v>
          </cell>
          <cell r="W211">
            <v>0.13533750788359017</v>
          </cell>
          <cell r="AE211">
            <v>0.68793840889649271</v>
          </cell>
          <cell r="AF211">
            <v>1.3282036042199734E-2</v>
          </cell>
          <cell r="AK211">
            <v>0.72707892953770603</v>
          </cell>
          <cell r="AL211">
            <v>4.1224493860017898E-2</v>
          </cell>
        </row>
        <row r="212">
          <cell r="A212" t="str">
            <v>MCXC_J0303.7-7752</v>
          </cell>
          <cell r="T212">
            <v>6.3160954460764742</v>
          </cell>
          <cell r="U212">
            <v>0.203749933984261</v>
          </cell>
          <cell r="V212">
            <v>10.932336159216611</v>
          </cell>
          <cell r="W212">
            <v>0.7223047183260366</v>
          </cell>
          <cell r="AE212">
            <v>0.47679655374975527</v>
          </cell>
          <cell r="AF212">
            <v>1.1222995919539118E-2</v>
          </cell>
          <cell r="AK212">
            <v>2.3245613063354282</v>
          </cell>
          <cell r="AL212">
            <v>7.4987659187833691E-2</v>
          </cell>
        </row>
        <row r="213">
          <cell r="A213" t="str">
            <v>MCXC_J0331.1-2100</v>
          </cell>
          <cell r="T213">
            <v>2.2008752089586645</v>
          </cell>
          <cell r="U213">
            <v>8.563078929695532E-2</v>
          </cell>
          <cell r="V213">
            <v>3.2733183322063555</v>
          </cell>
          <cell r="W213">
            <v>0.17297805863278029</v>
          </cell>
          <cell r="AE213">
            <v>0.71528678951466396</v>
          </cell>
          <cell r="AF213">
            <v>9.9602082920262278E-3</v>
          </cell>
          <cell r="AK213">
            <v>0.91716742020263353</v>
          </cell>
          <cell r="AL213">
            <v>3.568479020969282E-2</v>
          </cell>
        </row>
        <row r="214">
          <cell r="A214" t="str">
            <v>MCXC_J0340.8-4542</v>
          </cell>
          <cell r="T214">
            <v>0.15965694518330761</v>
          </cell>
          <cell r="U214">
            <v>1.786703817375369E-2</v>
          </cell>
          <cell r="V214">
            <v>0.21375123380123637</v>
          </cell>
          <cell r="W214">
            <v>2.4519403638143145E-2</v>
          </cell>
          <cell r="AE214">
            <v>0.25131810193321619</v>
          </cell>
          <cell r="AF214">
            <v>3.4460650614840556E-2</v>
          </cell>
          <cell r="AK214">
            <v>9.3783855748699366E-2</v>
          </cell>
          <cell r="AL214">
            <v>1.0495251107428879E-2</v>
          </cell>
        </row>
        <row r="215">
          <cell r="A215" t="str">
            <v>MCXC_J0352.9+1941</v>
          </cell>
          <cell r="T215">
            <v>0.98896344390938529</v>
          </cell>
          <cell r="U215">
            <v>4.4542900051525315E-2</v>
          </cell>
          <cell r="V215">
            <v>1.3213844755602333</v>
          </cell>
          <cell r="W215">
            <v>8.0449769146461278E-2</v>
          </cell>
          <cell r="AE215">
            <v>0.7241558982909545</v>
          </cell>
          <cell r="AF215">
            <v>9.9581160139431222E-3</v>
          </cell>
          <cell r="AK215">
            <v>0.53277242948730885</v>
          </cell>
          <cell r="AL215">
            <v>2.3996062971803751E-2</v>
          </cell>
        </row>
        <row r="216">
          <cell r="A216" t="str">
            <v>MCXC_J0425.8-0833</v>
          </cell>
          <cell r="T216">
            <v>0.36461261704618098</v>
          </cell>
          <cell r="U216">
            <v>1.751793196913096E-2</v>
          </cell>
          <cell r="V216">
            <v>0.48832181995403051</v>
          </cell>
          <cell r="W216">
            <v>2.3867607950085992E-2</v>
          </cell>
          <cell r="AE216">
            <v>0.66147704590818368</v>
          </cell>
          <cell r="AF216">
            <v>1.2903684290844018E-2</v>
          </cell>
          <cell r="AK216">
            <v>0.1928962045277865</v>
          </cell>
          <cell r="AL216">
            <v>9.2677609880772189E-3</v>
          </cell>
        </row>
        <row r="217">
          <cell r="A217" t="str">
            <v>MCXC_J0437.1+0043</v>
          </cell>
          <cell r="T217">
            <v>4.3283408548123035</v>
          </cell>
          <cell r="U217">
            <v>0.15420470428776578</v>
          </cell>
          <cell r="V217">
            <v>6.5984551910682256</v>
          </cell>
          <cell r="W217">
            <v>0.33335833803523618</v>
          </cell>
          <cell r="AE217">
            <v>0.61634637647603607</v>
          </cell>
          <cell r="AF217">
            <v>9.3884646803141601E-3</v>
          </cell>
          <cell r="AK217">
            <v>1.7412605209032681</v>
          </cell>
          <cell r="AL217">
            <v>6.2035447928116855E-2</v>
          </cell>
        </row>
        <row r="218">
          <cell r="A218" t="str">
            <v>MCXC_J0439.0+0520</v>
          </cell>
          <cell r="T218">
            <v>1.8101363151866556</v>
          </cell>
          <cell r="U218">
            <v>0.10677909260272672</v>
          </cell>
          <cell r="V218">
            <v>2.5715580441706027</v>
          </cell>
          <cell r="W218">
            <v>0.17146201818036344</v>
          </cell>
          <cell r="AE218">
            <v>0.73371686870762276</v>
          </cell>
          <cell r="AF218">
            <v>1.3002569314832815E-2</v>
          </cell>
          <cell r="AK218">
            <v>0.80020923994656756</v>
          </cell>
          <cell r="AL218">
            <v>4.7203967909456156E-2</v>
          </cell>
        </row>
        <row r="219">
          <cell r="A219" t="str">
            <v>MCXC_J0439.0+0715</v>
          </cell>
          <cell r="T219">
            <v>4.821192353507965</v>
          </cell>
          <cell r="U219">
            <v>0.16878835899128472</v>
          </cell>
          <cell r="V219">
            <v>7.2344455545704545</v>
          </cell>
          <cell r="W219">
            <v>0.35074817496079796</v>
          </cell>
          <cell r="AE219">
            <v>0.55384378370050835</v>
          </cell>
          <cell r="AF219">
            <v>1.0137284710437223E-2</v>
          </cell>
          <cell r="AK219">
            <v>1.9609318288424471</v>
          </cell>
          <cell r="AL219">
            <v>6.8651578533942562E-2</v>
          </cell>
        </row>
        <row r="220">
          <cell r="A220" t="str">
            <v>MCXC_J0454.1-0300</v>
          </cell>
          <cell r="T220">
            <v>14.22695914641425</v>
          </cell>
          <cell r="U220">
            <v>0.27346680650009181</v>
          </cell>
          <cell r="V220">
            <v>26.096874343432809</v>
          </cell>
          <cell r="W220">
            <v>1.3406390341161956</v>
          </cell>
          <cell r="AE220">
            <v>0.45819536423841056</v>
          </cell>
          <cell r="AF220">
            <v>7.2630276936663839E-3</v>
          </cell>
          <cell r="AK220">
            <v>5.1239651498207257</v>
          </cell>
          <cell r="AL220">
            <v>9.8491488709476202E-2</v>
          </cell>
        </row>
        <row r="221">
          <cell r="A221" t="str">
            <v>MCXC_J0510.7-0801</v>
          </cell>
          <cell r="T221">
            <v>7.6212736930471534</v>
          </cell>
          <cell r="U221">
            <v>0.21964966540592709</v>
          </cell>
          <cell r="V221">
            <v>11.938386805945031</v>
          </cell>
          <cell r="W221">
            <v>0.50865531900314909</v>
          </cell>
          <cell r="AE221">
            <v>0.36119293078055964</v>
          </cell>
          <cell r="AF221">
            <v>1.0217204306919142E-2</v>
          </cell>
          <cell r="AK221">
            <v>2.9787068404135515</v>
          </cell>
          <cell r="AL221">
            <v>8.5848112427201195E-2</v>
          </cell>
        </row>
        <row r="222">
          <cell r="A222" t="str">
            <v>MCXC_J0528.2-2942</v>
          </cell>
          <cell r="T222">
            <v>1.4340275477010427</v>
          </cell>
          <cell r="U222">
            <v>7.5068921131240154E-2</v>
          </cell>
          <cell r="V222">
            <v>1.977527533892848</v>
          </cell>
          <cell r="W222">
            <v>0.110469221882044</v>
          </cell>
          <cell r="AE222">
            <v>0.40984544934172867</v>
          </cell>
          <cell r="AF222">
            <v>1.830887426856672E-2</v>
          </cell>
          <cell r="AK222">
            <v>0.62570479424291314</v>
          </cell>
          <cell r="AL222">
            <v>3.2754589635158336E-2</v>
          </cell>
        </row>
        <row r="223">
          <cell r="A223" t="str">
            <v>MCXC_J0532.9-3701</v>
          </cell>
          <cell r="T223">
            <v>5.9245127360624537</v>
          </cell>
          <cell r="U223">
            <v>0.18187166333953855</v>
          </cell>
          <cell r="V223">
            <v>10.149115330386886</v>
          </cell>
          <cell r="W223">
            <v>0.73930581683739971</v>
          </cell>
          <cell r="AE223">
            <v>0.55860097528165464</v>
          </cell>
          <cell r="AF223">
            <v>1.0060227029535957E-2</v>
          </cell>
          <cell r="AK223">
            <v>2.2254367989497825</v>
          </cell>
          <cell r="AL223">
            <v>6.8316823731062792E-2</v>
          </cell>
        </row>
        <row r="224">
          <cell r="A224" t="str">
            <v>MCXC_J0547.0-3904</v>
          </cell>
          <cell r="T224">
            <v>0.79402594403039906</v>
          </cell>
          <cell r="U224">
            <v>5.4785813608252708E-2</v>
          </cell>
          <cell r="V224">
            <v>1.1340547113542361</v>
          </cell>
          <cell r="W224">
            <v>9.3753806380447252E-2</v>
          </cell>
          <cell r="AE224">
            <v>0.72895368477197975</v>
          </cell>
          <cell r="AF224">
            <v>1.500986021628645E-2</v>
          </cell>
          <cell r="AK224">
            <v>0.35589784750188386</v>
          </cell>
          <cell r="AL224">
            <v>2.455606555857081E-2</v>
          </cell>
        </row>
        <row r="225">
          <cell r="A225" t="str">
            <v>MCXC_J0819.6+6336</v>
          </cell>
          <cell r="T225">
            <v>0.66396081170307808</v>
          </cell>
          <cell r="U225">
            <v>4.185785411642659E-2</v>
          </cell>
          <cell r="V225">
            <v>0.90189979882657845</v>
          </cell>
          <cell r="W225">
            <v>6.0155736775966771E-2</v>
          </cell>
          <cell r="AE225">
            <v>0.51255107997664917</v>
          </cell>
          <cell r="AF225">
            <v>2.1138434703194386E-2</v>
          </cell>
          <cell r="AK225">
            <v>0.33668606264340839</v>
          </cell>
          <cell r="AL225">
            <v>2.1225584168157494E-2</v>
          </cell>
        </row>
        <row r="226">
          <cell r="A226" t="str">
            <v>MCXC_J1000.5+4409</v>
          </cell>
          <cell r="T226">
            <v>0.92035314432384296</v>
          </cell>
          <cell r="U226">
            <v>6.9920643914695879E-2</v>
          </cell>
          <cell r="V226">
            <v>1.2363607338600719</v>
          </cell>
          <cell r="W226">
            <v>9.6511543139297523E-2</v>
          </cell>
          <cell r="AE226">
            <v>0.55109961190168177</v>
          </cell>
          <cell r="AF226">
            <v>2.1846630546852399E-2</v>
          </cell>
          <cell r="AK226">
            <v>0.47320907397651868</v>
          </cell>
          <cell r="AL226">
            <v>3.5950421164718541E-2</v>
          </cell>
        </row>
        <row r="227">
          <cell r="A227" t="str">
            <v>MCXC_J1010.5-1239</v>
          </cell>
          <cell r="T227">
            <v>3.5977390757840397</v>
          </cell>
          <cell r="U227">
            <v>8.2967579062212221E-2</v>
          </cell>
          <cell r="V227">
            <v>5.4990036400953368</v>
          </cell>
          <cell r="W227">
            <v>0.19375705082882491</v>
          </cell>
          <cell r="AE227">
            <v>0.42377176106236214</v>
          </cell>
          <cell r="AF227">
            <v>9.1852561801879055E-3</v>
          </cell>
          <cell r="AK227">
            <v>1.461693949333198</v>
          </cell>
          <cell r="AL227">
            <v>3.3708172202463228E-2</v>
          </cell>
        </row>
        <row r="228">
          <cell r="A228" t="str">
            <v>MCXC_J1053.7+5452</v>
          </cell>
          <cell r="T228">
            <v>0.17721386397255492</v>
          </cell>
          <cell r="U228">
            <v>2.7953123906290803E-2</v>
          </cell>
          <cell r="V228">
            <v>0.24465837320987688</v>
          </cell>
          <cell r="W228">
            <v>3.8728947469367676E-2</v>
          </cell>
          <cell r="AE228">
            <v>0.27960057061340943</v>
          </cell>
          <cell r="AF228">
            <v>4.0607415139100794E-2</v>
          </cell>
          <cell r="AK228">
            <v>0.11371858082817757</v>
          </cell>
          <cell r="AL228">
            <v>1.7937589695746894E-2</v>
          </cell>
        </row>
        <row r="229">
          <cell r="A229" t="str">
            <v>MCXC_J1130.0+3637</v>
          </cell>
          <cell r="T229">
            <v>6.4578347390614452E-2</v>
          </cell>
          <cell r="U229">
            <v>6.2454486762659458E-3</v>
          </cell>
          <cell r="V229">
            <v>9.3932723005229132E-2</v>
          </cell>
          <cell r="W229">
            <v>9.2912270693283547E-3</v>
          </cell>
          <cell r="AE229">
            <v>0.50832359813084105</v>
          </cell>
          <cell r="AF229">
            <v>2.8230670799295129E-2</v>
          </cell>
          <cell r="AK229">
            <v>4.5109551718872674E-2</v>
          </cell>
          <cell r="AL229">
            <v>4.3625983236376372E-3</v>
          </cell>
        </row>
        <row r="230">
          <cell r="A230" t="str">
            <v>MCXC_J1215.4-3900</v>
          </cell>
          <cell r="T230">
            <v>1.4801115198150057</v>
          </cell>
          <cell r="U230">
            <v>3.7807976867900973E-2</v>
          </cell>
          <cell r="V230">
            <v>2.1405574490818005</v>
          </cell>
          <cell r="W230">
            <v>7.5114348361937824E-2</v>
          </cell>
          <cell r="AE230">
            <v>0.28218111002921126</v>
          </cell>
          <cell r="AF230">
            <v>1.6275563396811101E-2</v>
          </cell>
          <cell r="AK230">
            <v>0.6247155038852702</v>
          </cell>
          <cell r="AL230">
            <v>1.5957736294671558E-2</v>
          </cell>
        </row>
        <row r="231">
          <cell r="A231" t="str">
            <v>MCXC_J1234.2+0947</v>
          </cell>
          <cell r="T231">
            <v>1.5651175026207813</v>
          </cell>
          <cell r="U231">
            <v>0.10988499557637048</v>
          </cell>
          <cell r="V231">
            <v>2.1659159775944183</v>
          </cell>
          <cell r="W231">
            <v>0.16471049301384244</v>
          </cell>
          <cell r="AE231">
            <v>0.22288628575982153</v>
          </cell>
          <cell r="AF231">
            <v>1.606047818358523E-2</v>
          </cell>
          <cell r="AK231">
            <v>0.73044042191346348</v>
          </cell>
          <cell r="AL231">
            <v>5.1283333293737188E-2</v>
          </cell>
        </row>
        <row r="232">
          <cell r="A232" t="str">
            <v>MCXC_J1252.5-3116</v>
          </cell>
          <cell r="T232">
            <v>0.20696749228850206</v>
          </cell>
          <cell r="U232">
            <v>1.6559832863295192E-2</v>
          </cell>
          <cell r="V232">
            <v>0.27297600451069659</v>
          </cell>
          <cell r="W232">
            <v>2.2041558979260436E-2</v>
          </cell>
          <cell r="AE232">
            <v>0.70560242266926243</v>
          </cell>
          <cell r="AF232">
            <v>1.9420857464577113E-2</v>
          </cell>
          <cell r="AK232">
            <v>0.11344994430171264</v>
          </cell>
          <cell r="AL232">
            <v>9.0773294647049311E-3</v>
          </cell>
        </row>
        <row r="233">
          <cell r="A233" t="str">
            <v>MCXC_J1514.9-1523</v>
          </cell>
          <cell r="T233">
            <v>4.9269356946477343</v>
          </cell>
          <cell r="U233">
            <v>8.3405804460838479E-2</v>
          </cell>
          <cell r="V233">
            <v>8.2642903943066539</v>
          </cell>
          <cell r="W233">
            <v>0.29335498957654299</v>
          </cell>
          <cell r="AE233">
            <v>0.24039117580168298</v>
          </cell>
          <cell r="AF233">
            <v>7.1089718501650516E-3</v>
          </cell>
          <cell r="AK233">
            <v>1.8663801880196866</v>
          </cell>
          <cell r="AL233">
            <v>3.1595082757150297E-2</v>
          </cell>
        </row>
        <row r="234">
          <cell r="A234" t="str">
            <v>MCXC_J1524.2-3154</v>
          </cell>
          <cell r="T234">
            <v>1.2860290522618496</v>
          </cell>
          <cell r="U234">
            <v>1.7082409151627714E-2</v>
          </cell>
          <cell r="V234">
            <v>1.7581766151197831</v>
          </cell>
          <cell r="W234">
            <v>4.9525699794449395E-2</v>
          </cell>
          <cell r="AE234">
            <v>0.75141110065851369</v>
          </cell>
          <cell r="AF234">
            <v>3.387637968058476E-3</v>
          </cell>
          <cell r="AK234">
            <v>0.60293965227207369</v>
          </cell>
          <cell r="AL234">
            <v>8.0088873697968209E-3</v>
          </cell>
        </row>
        <row r="235">
          <cell r="A235" t="str">
            <v>MCXC_J1558.3-1410</v>
          </cell>
          <cell r="T235">
            <v>1.8815604714114169</v>
          </cell>
          <cell r="U235">
            <v>1.940350847105396E-2</v>
          </cell>
          <cell r="V235">
            <v>2.6574856361286123</v>
          </cell>
          <cell r="W235">
            <v>6.6134722863063725E-2</v>
          </cell>
          <cell r="AE235">
            <v>0.66564899620686457</v>
          </cell>
          <cell r="AF235">
            <v>3.0495016107160017E-3</v>
          </cell>
          <cell r="AK235">
            <v>0.81904753403119912</v>
          </cell>
          <cell r="AL235">
            <v>8.4463911770259765E-3</v>
          </cell>
        </row>
        <row r="236">
          <cell r="A236" t="str">
            <v>MCXC_J1750.2+3504</v>
          </cell>
          <cell r="T236">
            <v>1.5103182561551378</v>
          </cell>
          <cell r="U236">
            <v>7.6455059264382466E-2</v>
          </cell>
          <cell r="V236">
            <v>2.1190305803328378</v>
          </cell>
          <cell r="W236">
            <v>0.11865989039781011</v>
          </cell>
          <cell r="AE236">
            <v>0.67851373182552499</v>
          </cell>
          <cell r="AF236">
            <v>1.2889851980771709E-2</v>
          </cell>
          <cell r="AK236">
            <v>0.69036705945555288</v>
          </cell>
          <cell r="AL236">
            <v>3.4947637181596811E-2</v>
          </cell>
        </row>
        <row r="237">
          <cell r="A237" t="str">
            <v>MCXC_J1852.1+5711</v>
          </cell>
          <cell r="T237">
            <v>0.39450370605847673</v>
          </cell>
          <cell r="U237">
            <v>1.9063576123496597E-2</v>
          </cell>
          <cell r="V237">
            <v>0.54006582912866752</v>
          </cell>
          <cell r="W237">
            <v>2.8507309415410773E-2</v>
          </cell>
          <cell r="AE237">
            <v>0.61329588014981273</v>
          </cell>
          <cell r="AF237">
            <v>1.5192045637511481E-2</v>
          </cell>
          <cell r="AK237">
            <v>0.1880646632849714</v>
          </cell>
          <cell r="AL237">
            <v>9.0878361080374264E-3</v>
          </cell>
        </row>
        <row r="238">
          <cell r="A238" t="str">
            <v>MCXC_J1853.9+6822</v>
          </cell>
          <cell r="T238">
            <v>1.0135821004163705</v>
          </cell>
          <cell r="U238">
            <v>3.6415856466146639E-2</v>
          </cell>
          <cell r="V238">
            <v>1.4087324076787149</v>
          </cell>
          <cell r="W238">
            <v>5.4944988389090156E-2</v>
          </cell>
          <cell r="AE238">
            <v>0.4546789480710185</v>
          </cell>
          <cell r="AF238">
            <v>1.3789599702394351E-2</v>
          </cell>
          <cell r="AK238">
            <v>0.46811371997054529</v>
          </cell>
          <cell r="AL238">
            <v>1.6818333738607538E-2</v>
          </cell>
        </row>
        <row r="239">
          <cell r="A239" t="str">
            <v>MCXC_J1947.3-7623</v>
          </cell>
          <cell r="T239">
            <v>4.9107608050447729</v>
          </cell>
          <cell r="U239">
            <v>0.18626270550436697</v>
          </cell>
          <cell r="V239">
            <v>7.821021223438037</v>
          </cell>
          <cell r="W239">
            <v>0.48847217402487203</v>
          </cell>
          <cell r="AE239">
            <v>0.56503442999234887</v>
          </cell>
          <cell r="AF239">
            <v>1.2112818743851065E-2</v>
          </cell>
          <cell r="AK239">
            <v>1.8883343920172517</v>
          </cell>
          <cell r="AL239">
            <v>7.1623580686876978E-2</v>
          </cell>
        </row>
        <row r="240">
          <cell r="A240" t="str">
            <v>MCXC_J2003.5-2323</v>
          </cell>
          <cell r="T240">
            <v>6.7248986312696015</v>
          </cell>
          <cell r="U240">
            <v>0.18465185647636959</v>
          </cell>
          <cell r="V240">
            <v>11.505444277226365</v>
          </cell>
          <cell r="W240">
            <v>0.71986088621048061</v>
          </cell>
          <cell r="AE240">
            <v>0.24171476278630805</v>
          </cell>
          <cell r="AF240">
            <v>7.24963590209338E-3</v>
          </cell>
          <cell r="AK240">
            <v>2.5106202401126856</v>
          </cell>
          <cell r="AL240">
            <v>6.893645743421925E-2</v>
          </cell>
        </row>
        <row r="241">
          <cell r="A241" t="str">
            <v>MCXC_J2011.3-5725</v>
          </cell>
          <cell r="T241">
            <v>1.8354168845014764</v>
          </cell>
          <cell r="U241">
            <v>0.14139160096687864</v>
          </cell>
          <cell r="V241">
            <v>2.5038609742464244</v>
          </cell>
          <cell r="W241">
            <v>0.20419152436644442</v>
          </cell>
          <cell r="AE241">
            <v>0.63536347844396479</v>
          </cell>
          <cell r="AF241">
            <v>2.1580094933414447E-2</v>
          </cell>
          <cell r="AK241">
            <v>0.8986349174902003</v>
          </cell>
          <cell r="AL241">
            <v>6.9226468788418788E-2</v>
          </cell>
        </row>
        <row r="242">
          <cell r="A242" t="str">
            <v>MCXC_J2218.6-3853</v>
          </cell>
          <cell r="T242">
            <v>2.9725359135039606</v>
          </cell>
          <cell r="U242">
            <v>9.0915242271312771E-2</v>
          </cell>
          <cell r="V242">
            <v>4.3515156004697415</v>
          </cell>
          <cell r="W242">
            <v>0.16853260858413008</v>
          </cell>
          <cell r="AE242">
            <v>0.50802970126057678</v>
          </cell>
          <cell r="AF242">
            <v>1.1799984186476445E-2</v>
          </cell>
          <cell r="AK242">
            <v>1.2557864868910877</v>
          </cell>
          <cell r="AL242">
            <v>3.8408327441252922E-2</v>
          </cell>
        </row>
        <row r="243">
          <cell r="A243" t="str">
            <v>MCXC_J2311.5+0338</v>
          </cell>
          <cell r="T243">
            <v>6.4777497673063555</v>
          </cell>
          <cell r="U243">
            <v>0.26860653128209871</v>
          </cell>
          <cell r="V243">
            <v>11.172562555179532</v>
          </cell>
          <cell r="W243">
            <v>0.86234823164036656</v>
          </cell>
          <cell r="AE243">
            <v>0.49978485370051634</v>
          </cell>
          <cell r="AF243">
            <v>1.4789046846547717E-2</v>
          </cell>
          <cell r="AK243">
            <v>2.3797855492910989</v>
          </cell>
          <cell r="AL243">
            <v>9.8680246158405635E-2</v>
          </cell>
        </row>
        <row r="244">
          <cell r="A244" t="str">
            <v>MCXC_J2344.2-0422</v>
          </cell>
          <cell r="T244">
            <v>1.3387554190724662</v>
          </cell>
          <cell r="U244">
            <v>4.2913885418658704E-2</v>
          </cell>
          <cell r="V244">
            <v>1.8439244569168067</v>
          </cell>
          <cell r="W244">
            <v>6.2921254169278129E-2</v>
          </cell>
          <cell r="AE244">
            <v>0.34586168697578729</v>
          </cell>
          <cell r="AF244">
            <v>1.2207858550579037E-2</v>
          </cell>
          <cell r="AK244">
            <v>0.60675735759627369</v>
          </cell>
          <cell r="AL244">
            <v>1.9449643564359815E-2</v>
          </cell>
        </row>
        <row r="245">
          <cell r="A245" t="str">
            <v>MKW_03s</v>
          </cell>
          <cell r="T245">
            <v>0.5428691064029062</v>
          </cell>
          <cell r="U245">
            <v>6.104996368226632E-3</v>
          </cell>
          <cell r="V245">
            <v>0.73078193533060831</v>
          </cell>
          <cell r="W245">
            <v>2.0278125571471801E-2</v>
          </cell>
          <cell r="AE245">
            <v>0.70338527673293927</v>
          </cell>
          <cell r="AF245">
            <v>2.903653292710921E-3</v>
          </cell>
          <cell r="AK245">
            <v>0.27696942783297474</v>
          </cell>
          <cell r="AL245">
            <v>3.1147422667577068E-3</v>
          </cell>
        </row>
        <row r="246">
          <cell r="A246" t="str">
            <v>MaxBCG_J016.70077+01.05926</v>
          </cell>
          <cell r="T246">
            <v>1.7819426028187317</v>
          </cell>
          <cell r="U246">
            <v>7.035696762309683E-2</v>
          </cell>
          <cell r="V246">
            <v>2.4627319698403496</v>
          </cell>
          <cell r="W246">
            <v>0.10422047487324314</v>
          </cell>
          <cell r="AE246">
            <v>0.77343829874245984</v>
          </cell>
          <cell r="AF246">
            <v>7.6394243504942097E-3</v>
          </cell>
          <cell r="AK246">
            <v>0.82525368675038413</v>
          </cell>
          <cell r="AL246">
            <v>3.2583735765502921E-2</v>
          </cell>
        </row>
        <row r="247">
          <cell r="A247" t="str">
            <v>NGC_3551</v>
          </cell>
          <cell r="T247">
            <v>1.8934523047467355E-2</v>
          </cell>
          <cell r="U247">
            <v>1.4667561143902373E-3</v>
          </cell>
          <cell r="V247">
            <v>2.6145507610126122E-2</v>
          </cell>
          <cell r="W247">
            <v>2.028327177734031E-3</v>
          </cell>
          <cell r="AE247">
            <v>0.63046010483401282</v>
          </cell>
          <cell r="AF247">
            <v>2.2476733850681427E-2</v>
          </cell>
          <cell r="AK247">
            <v>1.3502573867358408E-2</v>
          </cell>
          <cell r="AL247">
            <v>1.0459720971214459E-3</v>
          </cell>
        </row>
        <row r="248">
          <cell r="A248" t="str">
            <v>NGC_6269</v>
          </cell>
          <cell r="T248">
            <v>7.6141978522700951E-2</v>
          </cell>
          <cell r="U248">
            <v>5.0261528630995232E-3</v>
          </cell>
          <cell r="V248">
            <v>0.10754852094484726</v>
          </cell>
          <cell r="W248">
            <v>7.4439836804411829E-3</v>
          </cell>
          <cell r="AE248">
            <v>0.42619697345571816</v>
          </cell>
          <cell r="AF248">
            <v>2.131659538815266E-2</v>
          </cell>
          <cell r="AK248">
            <v>5.0724696791969476E-2</v>
          </cell>
          <cell r="AL248">
            <v>3.3483511324151087E-3</v>
          </cell>
        </row>
        <row r="249">
          <cell r="A249" t="str">
            <v>NSCS_J000619+105206</v>
          </cell>
          <cell r="T249">
            <v>1.6581514530015717</v>
          </cell>
          <cell r="U249">
            <v>6.7305281419079543E-2</v>
          </cell>
          <cell r="V249">
            <v>2.3582474472041333</v>
          </cell>
          <cell r="W249">
            <v>0.11178349729809327</v>
          </cell>
          <cell r="AE249">
            <v>0.53029612756264233</v>
          </cell>
          <cell r="AF249">
            <v>1.1745151794748254E-2</v>
          </cell>
          <cell r="AK249">
            <v>0.71393040826772303</v>
          </cell>
          <cell r="AL249">
            <v>2.8978828776536313E-2</v>
          </cell>
        </row>
        <row r="250">
          <cell r="A250" t="str">
            <v>NSCS_J011502+002441</v>
          </cell>
          <cell r="T250">
            <v>0.17187960193988866</v>
          </cell>
          <cell r="U250">
            <v>6.3056422013450285E-3</v>
          </cell>
          <cell r="V250">
            <v>0.22979491892507301</v>
          </cell>
          <cell r="W250">
            <v>9.9390462879167443E-3</v>
          </cell>
          <cell r="AE250">
            <v>0.22262275261402054</v>
          </cell>
          <cell r="AF250">
            <v>1.2696659413287707E-2</v>
          </cell>
          <cell r="AK250">
            <v>9.9887844521986929E-2</v>
          </cell>
          <cell r="AL250">
            <v>3.6645244735876866E-3</v>
          </cell>
        </row>
        <row r="251">
          <cell r="A251" t="str">
            <v>NSCS_J122648+215157</v>
          </cell>
          <cell r="T251">
            <v>1.3962613399567247</v>
          </cell>
          <cell r="U251">
            <v>5.8214155952442226E-2</v>
          </cell>
          <cell r="V251">
            <v>1.992559196218459</v>
          </cell>
          <cell r="W251">
            <v>9.9497293954480898E-2</v>
          </cell>
          <cell r="AE251">
            <v>0.53463134375997445</v>
          </cell>
          <cell r="AF251">
            <v>1.4435923696283371E-2</v>
          </cell>
          <cell r="AK251">
            <v>0.61252264197788597</v>
          </cell>
          <cell r="AL251">
            <v>2.5537832771053981E-2</v>
          </cell>
        </row>
        <row r="252">
          <cell r="A252" t="str">
            <v>NSCS_J145715+222009</v>
          </cell>
          <cell r="T252">
            <v>3.410568035995579</v>
          </cell>
          <cell r="U252">
            <v>7.6520050295517367E-2</v>
          </cell>
          <cell r="V252">
            <v>4.8354949105940221</v>
          </cell>
          <cell r="W252">
            <v>0.16539735387206839</v>
          </cell>
          <cell r="AE252">
            <v>0.77359790547058016</v>
          </cell>
          <cell r="AF252">
            <v>4.427320323280466E-3</v>
          </cell>
          <cell r="AK252">
            <v>1.4911495114905833</v>
          </cell>
          <cell r="AL252">
            <v>3.3455669088884726E-2</v>
          </cell>
        </row>
        <row r="253">
          <cell r="A253" t="str">
            <v>NSC_J084254+292723</v>
          </cell>
          <cell r="T253">
            <v>1.239338760144737</v>
          </cell>
          <cell r="U253">
            <v>4.4992367457395516E-2</v>
          </cell>
          <cell r="V253">
            <v>1.8407593351886338</v>
          </cell>
          <cell r="W253">
            <v>8.8983769121305428E-2</v>
          </cell>
          <cell r="AE253">
            <v>0.70291162071631019</v>
          </cell>
          <cell r="AF253">
            <v>9.6381783730496579E-3</v>
          </cell>
          <cell r="AK253">
            <v>0.49851615506880792</v>
          </cell>
          <cell r="AL253">
            <v>1.809789442047656E-2</v>
          </cell>
        </row>
        <row r="254">
          <cell r="A254" t="str">
            <v>NSC_J092017+303027</v>
          </cell>
          <cell r="T254">
            <v>2.4555621203141582</v>
          </cell>
          <cell r="U254">
            <v>0.11732446283617666</v>
          </cell>
          <cell r="V254">
            <v>3.6326858415373646</v>
          </cell>
          <cell r="W254">
            <v>0.23008800889931463</v>
          </cell>
          <cell r="AE254">
            <v>0.30665321450591332</v>
          </cell>
          <cell r="AF254">
            <v>1.3157883607324256E-2</v>
          </cell>
          <cell r="AK254">
            <v>1.0031542737973096</v>
          </cell>
          <cell r="AL254">
            <v>4.7929773529828967E-2</v>
          </cell>
        </row>
        <row r="255">
          <cell r="A255" t="str">
            <v>NSC_J121733+033929</v>
          </cell>
          <cell r="T255">
            <v>2.1949686060462801</v>
          </cell>
          <cell r="U255">
            <v>4.6723056510430218E-2</v>
          </cell>
          <cell r="V255">
            <v>3.3915845565997129</v>
          </cell>
          <cell r="W255">
            <v>0.10170042312777727</v>
          </cell>
          <cell r="AE255">
            <v>0.36230058774139379</v>
          </cell>
          <cell r="AF255">
            <v>7.6246988169646444E-3</v>
          </cell>
          <cell r="AK255">
            <v>0.86556539153079626</v>
          </cell>
          <cell r="AL255">
            <v>1.8424801425662555E-2</v>
          </cell>
        </row>
        <row r="256">
          <cell r="A256" t="str">
            <v>NSC_J174715+451155</v>
          </cell>
          <cell r="T256">
            <v>1.3579155056985106</v>
          </cell>
          <cell r="U256">
            <v>7.0465609895271036E-2</v>
          </cell>
          <cell r="V256">
            <v>1.924963019311833</v>
          </cell>
          <cell r="W256">
            <v>0.11573110110415388</v>
          </cell>
          <cell r="AE256">
            <v>0.21084462982273203</v>
          </cell>
          <cell r="AF256">
            <v>1.7895362758072741E-2</v>
          </cell>
          <cell r="AK256">
            <v>0.59720500074483363</v>
          </cell>
          <cell r="AL256">
            <v>3.09904514922991E-2</v>
          </cell>
        </row>
        <row r="257">
          <cell r="A257" t="str">
            <v>PLCKESZ_G167.65+17.64</v>
          </cell>
          <cell r="T257">
            <v>4.368559408620329</v>
          </cell>
          <cell r="U257">
            <v>0.16693150271864077</v>
          </cell>
          <cell r="V257">
            <v>6.4242561572653747</v>
          </cell>
          <cell r="W257">
            <v>0.31401336152549658</v>
          </cell>
          <cell r="AE257">
            <v>0.42697828923953018</v>
          </cell>
          <cell r="AF257">
            <v>1.2813174308220801E-2</v>
          </cell>
          <cell r="AK257">
            <v>1.8263043768339602</v>
          </cell>
          <cell r="AL257">
            <v>6.9786789083133141E-2</v>
          </cell>
        </row>
        <row r="258">
          <cell r="A258" t="str">
            <v>PLCKESZ_G264.41+19.48</v>
          </cell>
          <cell r="T258">
            <v>3.221241488348157</v>
          </cell>
          <cell r="U258">
            <v>0.12740423066094955</v>
          </cell>
          <cell r="V258">
            <v>5.0581178816064183</v>
          </cell>
          <cell r="W258">
            <v>0.30900660681407915</v>
          </cell>
          <cell r="AE258">
            <v>0.4258684863523573</v>
          </cell>
          <cell r="AF258">
            <v>1.4108218071850868E-2</v>
          </cell>
          <cell r="AK258">
            <v>1.2882441964128784</v>
          </cell>
          <cell r="AL258">
            <v>5.0951709563252949E-2</v>
          </cell>
        </row>
        <row r="259">
          <cell r="A259" t="str">
            <v>PLCKESZ_G286.58-31.25</v>
          </cell>
          <cell r="T259">
            <v>3.4179134823068771</v>
          </cell>
          <cell r="U259">
            <v>0.13979633306661607</v>
          </cell>
          <cell r="V259">
            <v>5.2282231045653518</v>
          </cell>
          <cell r="W259">
            <v>0.29096390790694227</v>
          </cell>
          <cell r="AE259">
            <v>0.38839606808918725</v>
          </cell>
          <cell r="AF259">
            <v>1.5757430119890708E-2</v>
          </cell>
          <cell r="AK259">
            <v>1.3589239546229941</v>
          </cell>
          <cell r="AL259">
            <v>5.5581449546949789E-2</v>
          </cell>
        </row>
        <row r="260">
          <cell r="A260" t="str">
            <v>PLCKESZ_G304.84-41.42</v>
          </cell>
          <cell r="T260">
            <v>6.8265474598745488</v>
          </cell>
          <cell r="U260">
            <v>0.26876875357907659</v>
          </cell>
          <cell r="V260">
            <v>11.417830666225044</v>
          </cell>
          <cell r="W260">
            <v>0.81824501399318084</v>
          </cell>
          <cell r="AE260">
            <v>0.43639517981900883</v>
          </cell>
          <cell r="AF260">
            <v>1.2368292466867986E-2</v>
          </cell>
          <cell r="AK260">
            <v>2.5953523072560265</v>
          </cell>
          <cell r="AL260">
            <v>0.10218190217234668</v>
          </cell>
        </row>
        <row r="261">
          <cell r="A261" t="str">
            <v>PLCKESZ_G337.09-25.97</v>
          </cell>
          <cell r="T261">
            <v>5.817257272760556</v>
          </cell>
          <cell r="U261">
            <v>0.13021158728089344</v>
          </cell>
          <cell r="V261">
            <v>9.3055241225128373</v>
          </cell>
          <cell r="W261">
            <v>0.39068788809147076</v>
          </cell>
          <cell r="AE261">
            <v>0.56015399422521661</v>
          </cell>
          <cell r="AF261">
            <v>8.9892225376933879E-3</v>
          </cell>
          <cell r="AK261">
            <v>2.266522408916571</v>
          </cell>
          <cell r="AL261">
            <v>5.073309751223868E-2</v>
          </cell>
        </row>
        <row r="262">
          <cell r="A262" t="str">
            <v>RBS_0653</v>
          </cell>
          <cell r="T262">
            <v>6.5504986171177872</v>
          </cell>
          <cell r="U262">
            <v>8.5165844335943042E-2</v>
          </cell>
          <cell r="V262">
            <v>10.885375824146434</v>
          </cell>
          <cell r="W262">
            <v>0.58607386560059027</v>
          </cell>
          <cell r="AE262">
            <v>0.53013085399449034</v>
          </cell>
          <cell r="AF262">
            <v>5.0747709435453531E-3</v>
          </cell>
          <cell r="AK262">
            <v>2.4761958632423298</v>
          </cell>
          <cell r="AL262">
            <v>3.2194085330101568E-2</v>
          </cell>
        </row>
        <row r="263">
          <cell r="A263" t="str">
            <v>SC_1329-313</v>
          </cell>
          <cell r="T263">
            <v>0.23011838289728698</v>
          </cell>
          <cell r="U263">
            <v>1.4074904349255145E-2</v>
          </cell>
          <cell r="V263">
            <v>0.31020180812333581</v>
          </cell>
          <cell r="W263">
            <v>1.933841089271891E-2</v>
          </cell>
          <cell r="AE263">
            <v>0.34209268991877689</v>
          </cell>
          <cell r="AF263">
            <v>1.9959373388011861E-2</v>
          </cell>
          <cell r="AK263">
            <v>0.11151518569214411</v>
          </cell>
          <cell r="AL263">
            <v>6.8206874754848578E-3</v>
          </cell>
        </row>
        <row r="264">
          <cell r="A264" t="str">
            <v>SDSS-C4-DR3_3144</v>
          </cell>
          <cell r="T264">
            <v>6.7432975757971025E-2</v>
          </cell>
          <cell r="U264">
            <v>5.0751614119699728E-3</v>
          </cell>
          <cell r="V264">
            <v>9.2963388508417275E-2</v>
          </cell>
          <cell r="W264">
            <v>7.1692670279499939E-3</v>
          </cell>
          <cell r="AE264">
            <v>0.63527916299990217</v>
          </cell>
          <cell r="AF264">
            <v>2.0707508043493212E-2</v>
          </cell>
          <cell r="AK264">
            <v>4.5318373221515364E-2</v>
          </cell>
          <cell r="AL264">
            <v>3.4107653776483506E-3</v>
          </cell>
        </row>
        <row r="265">
          <cell r="A265" t="str">
            <v>SDSS-C4_3062</v>
          </cell>
          <cell r="T265">
            <v>0.17128538252218453</v>
          </cell>
          <cell r="U265">
            <v>3.4026389120568643E-2</v>
          </cell>
          <cell r="V265">
            <v>0.22800478847956218</v>
          </cell>
          <cell r="W265">
            <v>4.5997850659793477E-2</v>
          </cell>
          <cell r="AE265">
            <v>0.56537753222836096</v>
          </cell>
          <cell r="AF265">
            <v>5.4306025123872358E-2</v>
          </cell>
          <cell r="AK265">
            <v>7.9297284078456945E-2</v>
          </cell>
          <cell r="AL265">
            <v>1.5752659126696832E-2</v>
          </cell>
        </row>
        <row r="266">
          <cell r="A266" t="str">
            <v>SDSS-C4_3072</v>
          </cell>
          <cell r="T266">
            <v>3.6689873492707932</v>
          </cell>
          <cell r="U266">
            <v>7.0028748046128519E-2</v>
          </cell>
          <cell r="V266">
            <v>5.6696913188498872</v>
          </cell>
          <cell r="W266">
            <v>0.18102313213911267</v>
          </cell>
          <cell r="AE266">
            <v>0.73032782384273243</v>
          </cell>
          <cell r="AF266">
            <v>4.3524363826135861E-3</v>
          </cell>
          <cell r="AK266">
            <v>1.4373136811340321</v>
          </cell>
          <cell r="AL266">
            <v>2.7433530851337866E-2</v>
          </cell>
        </row>
        <row r="267">
          <cell r="A267" t="str">
            <v>SDSS_+137.3+11.0+0.18</v>
          </cell>
          <cell r="T267">
            <v>2.3040519587551951</v>
          </cell>
          <cell r="U267">
            <v>7.2413061560877554E-2</v>
          </cell>
          <cell r="V267">
            <v>3.317194021521459</v>
          </cell>
          <cell r="W267">
            <v>0.1245086362309316</v>
          </cell>
          <cell r="AE267">
            <v>0.55223342939481268</v>
          </cell>
          <cell r="AF267">
            <v>1.0042242411940887E-2</v>
          </cell>
          <cell r="AK267">
            <v>0.99101218466407648</v>
          </cell>
          <cell r="AL267">
            <v>3.1146097232299542E-2</v>
          </cell>
        </row>
        <row r="268">
          <cell r="A268" t="str">
            <v>SDSS_J015021.27-100530.5_GROUP</v>
          </cell>
          <cell r="T268">
            <v>3.0980219835275133</v>
          </cell>
          <cell r="U268">
            <v>0.24636927793956134</v>
          </cell>
          <cell r="V268">
            <v>4.2426507314246757</v>
          </cell>
          <cell r="W268">
            <v>0.35798063854979212</v>
          </cell>
          <cell r="AE268">
            <v>0.65591514233142112</v>
          </cell>
          <cell r="AF268">
            <v>2.0765679408236416E-2</v>
          </cell>
          <cell r="AK268">
            <v>1.4778993757049346</v>
          </cell>
          <cell r="AL268">
            <v>0.11752950882716665</v>
          </cell>
        </row>
        <row r="269">
          <cell r="A269" t="str">
            <v>SPT-CLJ2043-5035</v>
          </cell>
          <cell r="T269">
            <v>5.196018251427537</v>
          </cell>
          <cell r="U269">
            <v>0.4374159292618533</v>
          </cell>
          <cell r="V269">
            <v>7.6790378343063983</v>
          </cell>
          <cell r="W269">
            <v>0.77176324815082797</v>
          </cell>
          <cell r="AE269">
            <v>0.64433887569279502</v>
          </cell>
          <cell r="AF269">
            <v>2.1379392088601762E-2</v>
          </cell>
          <cell r="AK269">
            <v>2.1632952701153418</v>
          </cell>
          <cell r="AL269">
            <v>0.18211248788152387</v>
          </cell>
        </row>
        <row r="270">
          <cell r="A270" t="str">
            <v>SPT-CL_J0102-4915</v>
          </cell>
          <cell r="T270">
            <v>20.886944601282732</v>
          </cell>
          <cell r="U270">
            <v>0.4232712759225678</v>
          </cell>
          <cell r="V270">
            <v>39.970968607601982</v>
          </cell>
          <cell r="W270">
            <v>1.628335369729063</v>
          </cell>
          <cell r="AE270">
            <v>0.43234012483806389</v>
          </cell>
          <cell r="AF270">
            <v>6.5635291812962647E-3</v>
          </cell>
          <cell r="AK270">
            <v>7.4435244478460909</v>
          </cell>
          <cell r="AL270">
            <v>0.15084207626074481</v>
          </cell>
        </row>
        <row r="271">
          <cell r="A271" t="str">
            <v>SPT-CL_J0615-5746</v>
          </cell>
          <cell r="T271">
            <v>22.921801719988814</v>
          </cell>
          <cell r="U271">
            <v>0.89601925700027329</v>
          </cell>
          <cell r="V271">
            <v>42.399277897833635</v>
          </cell>
          <cell r="W271">
            <v>2.9095324464278987</v>
          </cell>
          <cell r="AE271">
            <v>0.5175861766511709</v>
          </cell>
          <cell r="AF271">
            <v>1.4392610821375246E-2</v>
          </cell>
          <cell r="AK271">
            <v>8.2534770306490746</v>
          </cell>
          <cell r="AL271">
            <v>0.32263058755202489</v>
          </cell>
        </row>
        <row r="272">
          <cell r="A272" t="str">
            <v>SPT-CL_J2023-5535</v>
          </cell>
          <cell r="T272">
            <v>5.1305140972274108</v>
          </cell>
          <cell r="U272">
            <v>0.17181108799752579</v>
          </cell>
          <cell r="V272">
            <v>8.4272238226232563</v>
          </cell>
          <cell r="W272">
            <v>0.52562616843818166</v>
          </cell>
          <cell r="AE272">
            <v>0.33633203843794723</v>
          </cell>
          <cell r="AF272">
            <v>1.2864577218442426E-2</v>
          </cell>
          <cell r="AK272">
            <v>1.9412629465298423</v>
          </cell>
          <cell r="AL272">
            <v>6.5009176977570082E-2</v>
          </cell>
        </row>
        <row r="273">
          <cell r="A273" t="str">
            <v>UGC_05088_GROUP</v>
          </cell>
          <cell r="T273">
            <v>6.8830922633572504E-3</v>
          </cell>
          <cell r="U273">
            <v>1.3659173653103171E-3</v>
          </cell>
          <cell r="V273">
            <v>1.0610660839804617E-2</v>
          </cell>
          <cell r="W273">
            <v>2.1058138079752616E-3</v>
          </cell>
          <cell r="AE273">
            <v>0.63086139227432347</v>
          </cell>
          <cell r="AF273">
            <v>5.5390757615565028E-2</v>
          </cell>
          <cell r="AK273">
            <v>6.3488843439088692E-3</v>
          </cell>
          <cell r="AL273">
            <v>1.2599063101127316E-3</v>
          </cell>
        </row>
        <row r="274">
          <cell r="A274" t="str">
            <v>WHL_J093820.9+520243</v>
          </cell>
          <cell r="T274">
            <v>4.6209968883820967</v>
          </cell>
          <cell r="U274">
            <v>0.22958219567960056</v>
          </cell>
          <cell r="V274">
            <v>7.1561245764647001</v>
          </cell>
          <cell r="W274">
            <v>0.44961379091877413</v>
          </cell>
          <cell r="AE274">
            <v>0.45334731166691628</v>
          </cell>
          <cell r="AF274">
            <v>1.6185879685979739E-2</v>
          </cell>
          <cell r="AK274">
            <v>1.8510817366416619</v>
          </cell>
          <cell r="AL274">
            <v>9.1966175209737738E-2</v>
          </cell>
        </row>
        <row r="275">
          <cell r="A275" t="str">
            <v>WHL_J102339.9+490838</v>
          </cell>
          <cell r="T275">
            <v>2.8516507764097212</v>
          </cell>
          <cell r="U275">
            <v>0.10765088244877058</v>
          </cell>
          <cell r="V275">
            <v>4.2809079957800149</v>
          </cell>
          <cell r="W275">
            <v>0.22526877843237716</v>
          </cell>
          <cell r="AE275">
            <v>0.49113439451944391</v>
          </cell>
          <cell r="AF275">
            <v>1.3248081453828218E-2</v>
          </cell>
          <cell r="AK275">
            <v>1.1737072671791393</v>
          </cell>
          <cell r="AL275">
            <v>4.4307887941119832E-2</v>
          </cell>
        </row>
        <row r="276">
          <cell r="A276" t="str">
            <v>WHL_J114224.8+583205</v>
          </cell>
          <cell r="T276">
            <v>6.7098928765847008</v>
          </cell>
          <cell r="U276">
            <v>0.18170821535721216</v>
          </cell>
          <cell r="V276">
            <v>11.270284635292656</v>
          </cell>
          <cell r="W276">
            <v>0.60063017533513363</v>
          </cell>
          <cell r="AE276">
            <v>0.27324848790322581</v>
          </cell>
          <cell r="AF276">
            <v>9.0167232472322164E-3</v>
          </cell>
          <cell r="AK276">
            <v>2.5417891332198534</v>
          </cell>
          <cell r="AL276">
            <v>6.8833284779178328E-2</v>
          </cell>
        </row>
        <row r="277">
          <cell r="A277" t="str">
            <v>WHL_J125933.4+600409</v>
          </cell>
          <cell r="T277">
            <v>3.2929346378314279</v>
          </cell>
          <cell r="U277">
            <v>0.14928807057457774</v>
          </cell>
          <cell r="V277">
            <v>5.0095585836455339</v>
          </cell>
          <cell r="W277">
            <v>0.2911321291587583</v>
          </cell>
          <cell r="AE277">
            <v>0.19986546708147651</v>
          </cell>
          <cell r="AF277">
            <v>1.348269084844831E-2</v>
          </cell>
          <cell r="AK277">
            <v>1.3421513100558116</v>
          </cell>
          <cell r="AL277">
            <v>6.0847602984712257E-2</v>
          </cell>
        </row>
        <row r="278">
          <cell r="A278" t="str">
            <v>WHL_J131505.2+514902</v>
          </cell>
          <cell r="T278">
            <v>5.6210331322559552</v>
          </cell>
          <cell r="U278">
            <v>0.16738690212754145</v>
          </cell>
          <cell r="V278">
            <v>9.0116268100892949</v>
          </cell>
          <cell r="W278">
            <v>0.49442023445480515</v>
          </cell>
          <cell r="AE278">
            <v>0.44555444555444562</v>
          </cell>
          <cell r="AF278">
            <v>1.1655147515032473E-2</v>
          </cell>
          <cell r="AK278">
            <v>2.185165224785139</v>
          </cell>
          <cell r="AL278">
            <v>6.5071318565030262E-2</v>
          </cell>
        </row>
        <row r="279">
          <cell r="A279" t="str">
            <v>WHL_J135949.5+623047</v>
          </cell>
          <cell r="T279">
            <v>3.4436549771758616</v>
          </cell>
          <cell r="U279">
            <v>0.11132185118821201</v>
          </cell>
          <cell r="V279">
            <v>5.2262365002260065</v>
          </cell>
          <cell r="W279">
            <v>0.25638526654597626</v>
          </cell>
          <cell r="AE279">
            <v>0.57461476074614748</v>
          </cell>
          <cell r="AF279">
            <v>1.023757694516072E-2</v>
          </cell>
          <cell r="AK279">
            <v>1.3964768450947456</v>
          </cell>
          <cell r="AL279">
            <v>4.5143427134187626E-2</v>
          </cell>
        </row>
        <row r="280">
          <cell r="A280" t="str">
            <v>WHL_J141623.8+444528</v>
          </cell>
          <cell r="T280">
            <v>1.3285742722095897</v>
          </cell>
          <cell r="U280">
            <v>0.12740528347902261</v>
          </cell>
          <cell r="V280">
            <v>1.7688999333468201</v>
          </cell>
          <cell r="W280">
            <v>0.17291457247719491</v>
          </cell>
          <cell r="AE280">
            <v>0.5191225004853427</v>
          </cell>
          <cell r="AF280">
            <v>3.4440085310276605E-2</v>
          </cell>
          <cell r="AK280">
            <v>0.65454997260405212</v>
          </cell>
          <cell r="AL280">
            <v>6.2768884325986735E-2</v>
          </cell>
        </row>
        <row r="281">
          <cell r="A281" t="str">
            <v>WHL_J142716.1+440730</v>
          </cell>
          <cell r="T281">
            <v>5.9183270380626345</v>
          </cell>
          <cell r="U281">
            <v>0.32311236512352753</v>
          </cell>
          <cell r="V281">
            <v>10.548644292844015</v>
          </cell>
          <cell r="W281">
            <v>1.184281971657724</v>
          </cell>
          <cell r="AE281">
            <v>0.65577755092119971</v>
          </cell>
          <cell r="AF281">
            <v>1.425799515753746E-2</v>
          </cell>
          <cell r="AK281">
            <v>2.1461965341104166</v>
          </cell>
          <cell r="AL281">
            <v>0.11717207138038445</v>
          </cell>
        </row>
        <row r="282">
          <cell r="A282" t="str">
            <v>WHL_J150407.5-024816</v>
          </cell>
          <cell r="T282">
            <v>8.3885632529562333</v>
          </cell>
          <cell r="U282">
            <v>0.12596173078198519</v>
          </cell>
          <cell r="V282">
            <v>14.015075936843575</v>
          </cell>
          <cell r="W282">
            <v>0.7033590683401354</v>
          </cell>
          <cell r="AE282">
            <v>0.82765199337878415</v>
          </cell>
          <cell r="AF282">
            <v>2.3578564844683601E-3</v>
          </cell>
          <cell r="AK282">
            <v>3.1658333635194187</v>
          </cell>
          <cell r="AL282">
            <v>4.7537800909557053E-2</v>
          </cell>
        </row>
        <row r="283">
          <cell r="A283" t="str">
            <v>ZwCl_0008.8+5215</v>
          </cell>
          <cell r="T283">
            <v>0.79215815529890399</v>
          </cell>
          <cell r="U283">
            <v>2.1045800904914345E-2</v>
          </cell>
          <cell r="V283">
            <v>1.1078571129060797</v>
          </cell>
          <cell r="W283">
            <v>3.682757317016095E-2</v>
          </cell>
          <cell r="AE283">
            <v>0.33352435530085961</v>
          </cell>
          <cell r="AF283">
            <v>1.4732614082604118E-2</v>
          </cell>
          <cell r="AK283">
            <v>0.35933944696087572</v>
          </cell>
          <cell r="AL283">
            <v>9.5468138621473114E-3</v>
          </cell>
        </row>
        <row r="284">
          <cell r="A284" t="str">
            <v>ZwCl_0735.7+7421</v>
          </cell>
          <cell r="T284">
            <v>3.3284593061944512</v>
          </cell>
          <cell r="U284">
            <v>3.0534513679649725E-2</v>
          </cell>
          <cell r="V284">
            <v>5.0405252801453635</v>
          </cell>
          <cell r="W284">
            <v>0.19082119991407478</v>
          </cell>
          <cell r="AE284">
            <v>0.57155217165599592</v>
          </cell>
          <cell r="AF284">
            <v>3.2196171806557596E-3</v>
          </cell>
          <cell r="AK284">
            <v>1.3364138084779815</v>
          </cell>
          <cell r="AL284">
            <v>1.2259950314158882E-2</v>
          </cell>
        </row>
        <row r="285">
          <cell r="A285" t="str">
            <v>ZwCl_0823.2+0425</v>
          </cell>
          <cell r="T285">
            <v>1.5138136050893092</v>
          </cell>
          <cell r="U285">
            <v>0.1072852225493628</v>
          </cell>
          <cell r="V285">
            <v>2.091456109778512</v>
          </cell>
          <cell r="W285">
            <v>0.16579779463325697</v>
          </cell>
          <cell r="AE285">
            <v>0.50840632235981065</v>
          </cell>
          <cell r="AF285">
            <v>2.3244660074919165E-2</v>
          </cell>
          <cell r="AK285">
            <v>0.67683439212680196</v>
          </cell>
          <cell r="AL285">
            <v>4.7967813305590336E-2</v>
          </cell>
        </row>
        <row r="286">
          <cell r="A286" t="str">
            <v>ZwCl_0857.9+2107</v>
          </cell>
          <cell r="T286">
            <v>1.7971262565001502</v>
          </cell>
          <cell r="U286">
            <v>7.2038596113177977E-2</v>
          </cell>
          <cell r="V286">
            <v>2.4881910952394004</v>
          </cell>
          <cell r="W286">
            <v>0.10358489103377842</v>
          </cell>
          <cell r="AE286">
            <v>0.77470988395358142</v>
          </cell>
          <cell r="AF286">
            <v>7.3381132658381877E-3</v>
          </cell>
          <cell r="AK286">
            <v>0.81802413294227461</v>
          </cell>
          <cell r="AL286">
            <v>3.2790857020042766E-2</v>
          </cell>
        </row>
        <row r="287">
          <cell r="A287" t="str">
            <v>ZwCl_0949.6+5207</v>
          </cell>
          <cell r="T287">
            <v>1.8280380910577196</v>
          </cell>
          <cell r="U287">
            <v>4.0555620521093932E-2</v>
          </cell>
          <cell r="V287">
            <v>2.6336472009047349</v>
          </cell>
          <cell r="W287">
            <v>0.11408224259503008</v>
          </cell>
          <cell r="AE287">
            <v>0.69406890536415178</v>
          </cell>
          <cell r="AF287">
            <v>5.5920456967761311E-3</v>
          </cell>
          <cell r="AK287">
            <v>0.7775638008108543</v>
          </cell>
          <cell r="AL287">
            <v>1.7250506207109873E-2</v>
          </cell>
        </row>
        <row r="288">
          <cell r="A288" t="str">
            <v>ZwCl_1006.1+1201</v>
          </cell>
          <cell r="T288">
            <v>2.5047945334712134</v>
          </cell>
          <cell r="U288">
            <v>6.840291006194793E-2</v>
          </cell>
          <cell r="V288">
            <v>3.6742496314320476</v>
          </cell>
          <cell r="W288">
            <v>0.14244122080263938</v>
          </cell>
          <cell r="AE288">
            <v>0.42287055667337359</v>
          </cell>
          <cell r="AF288">
            <v>9.9572161458461438E-3</v>
          </cell>
          <cell r="AK288">
            <v>1.0393867482660168</v>
          </cell>
          <cell r="AL288">
            <v>2.8384395331098301E-2</v>
          </cell>
        </row>
        <row r="289">
          <cell r="A289" t="str">
            <v>a1750ss</v>
          </cell>
          <cell r="T289">
            <v>0.1089603965184037</v>
          </cell>
          <cell r="U289">
            <v>9.2485348416315241E-3</v>
          </cell>
          <cell r="V289">
            <v>0.1453443767209012</v>
          </cell>
          <cell r="W289">
            <v>1.2481094935381364E-2</v>
          </cell>
          <cell r="AE289">
            <v>0.30375000000000002</v>
          </cell>
          <cell r="AF289">
            <v>4.8118488971868767E-2</v>
          </cell>
          <cell r="AK289">
            <v>6.1365008951063164E-2</v>
          </cell>
          <cell r="AL289">
            <v>5.2086486602045323E-3</v>
          </cell>
        </row>
      </sheetData>
      <sheetData sheetId="2" refreshError="1"/>
      <sheetData sheetId="3" refreshError="1"/>
      <sheetData sheetId="4">
        <row r="1">
          <cell r="A1" t="str">
            <v>1RXS_J111039.6+284316</v>
          </cell>
          <cell r="B1">
            <v>9.3389700000000003E-3</v>
          </cell>
        </row>
        <row r="2">
          <cell r="A2" t="str">
            <v>1WGA_J2235.3-2557</v>
          </cell>
          <cell r="B2">
            <v>2.5856E-3</v>
          </cell>
        </row>
        <row r="3">
          <cell r="A3" t="str">
            <v>2MASSi_J0913454+405628</v>
          </cell>
          <cell r="B3">
            <v>0</v>
          </cell>
        </row>
        <row r="4">
          <cell r="A4" t="str">
            <v>2MASX_J13312961+1107566</v>
          </cell>
          <cell r="B4">
            <v>0.12700800000000001</v>
          </cell>
        </row>
        <row r="5">
          <cell r="A5" t="str">
            <v>2MFGC_06756</v>
          </cell>
          <cell r="B5">
            <v>2.4425700000000002E-2</v>
          </cell>
        </row>
        <row r="6">
          <cell r="A6" t="str">
            <v>3C_028</v>
          </cell>
          <cell r="B6">
            <v>1.9355199999999999E-2</v>
          </cell>
        </row>
        <row r="7">
          <cell r="A7" t="str">
            <v>3C_089</v>
          </cell>
          <cell r="B7">
            <v>3.48867E-2</v>
          </cell>
        </row>
        <row r="8">
          <cell r="A8" t="str">
            <v>3C_294</v>
          </cell>
          <cell r="B8">
            <v>0</v>
          </cell>
        </row>
        <row r="9">
          <cell r="A9" t="str">
            <v>3C_295</v>
          </cell>
          <cell r="B9">
            <v>0.108241</v>
          </cell>
        </row>
        <row r="10">
          <cell r="A10" t="str">
            <v>3C_444</v>
          </cell>
          <cell r="B10">
            <v>0</v>
          </cell>
        </row>
        <row r="11">
          <cell r="A11" t="str">
            <v>400d_J0230+1836</v>
          </cell>
          <cell r="B11">
            <v>8.1195199999999995E-2</v>
          </cell>
        </row>
        <row r="12">
          <cell r="A12" t="str">
            <v>400d_J0237-5224</v>
          </cell>
          <cell r="B12">
            <v>0</v>
          </cell>
        </row>
        <row r="13">
          <cell r="A13" t="str">
            <v>400d_J0245+0936</v>
          </cell>
          <cell r="B13">
            <v>5.0925900000000003E-2</v>
          </cell>
        </row>
        <row r="14">
          <cell r="A14" t="str">
            <v>400d_J0302-0423</v>
          </cell>
          <cell r="B14">
            <v>2.4237999999999999E-2</v>
          </cell>
        </row>
        <row r="15">
          <cell r="A15" t="str">
            <v>400d_J0318-0302</v>
          </cell>
          <cell r="B15">
            <v>0</v>
          </cell>
        </row>
        <row r="16">
          <cell r="A16" t="str">
            <v>400d_J0328-2140</v>
          </cell>
          <cell r="B16">
            <v>2.2339700000000001E-3</v>
          </cell>
        </row>
        <row r="17">
          <cell r="A17" t="str">
            <v>400d_J0340-2840</v>
          </cell>
          <cell r="B17">
            <v>0</v>
          </cell>
        </row>
        <row r="18">
          <cell r="A18" t="str">
            <v>400d_J0355-3741</v>
          </cell>
          <cell r="B18">
            <v>0</v>
          </cell>
        </row>
        <row r="19">
          <cell r="A19" t="str">
            <v>400d_J0405-4100</v>
          </cell>
          <cell r="B19">
            <v>3.9104700000000001E-3</v>
          </cell>
        </row>
        <row r="20">
          <cell r="A20" t="str">
            <v>400d_J0720+7108</v>
          </cell>
          <cell r="B20">
            <v>2.47269E-2</v>
          </cell>
        </row>
        <row r="21">
          <cell r="A21" t="str">
            <v>400d_J0838+1948</v>
          </cell>
          <cell r="B21">
            <v>5.4455399999999996E-3</v>
          </cell>
        </row>
        <row r="22">
          <cell r="A22" t="str">
            <v>400d_J0926+1242</v>
          </cell>
          <cell r="B22">
            <v>0</v>
          </cell>
        </row>
        <row r="23">
          <cell r="A23" t="str">
            <v>400d_J0956+4107</v>
          </cell>
          <cell r="B23">
            <v>0.112146</v>
          </cell>
        </row>
        <row r="24">
          <cell r="A24" t="str">
            <v>400d_J1120+2326</v>
          </cell>
          <cell r="B24">
            <v>5.1507899999999997E-3</v>
          </cell>
        </row>
        <row r="25">
          <cell r="A25" t="str">
            <v>400d_J1202+5751</v>
          </cell>
          <cell r="B25">
            <v>5.5298100000000003E-2</v>
          </cell>
        </row>
        <row r="26">
          <cell r="A26" t="str">
            <v>400d_J1206-0744</v>
          </cell>
          <cell r="B26">
            <v>0</v>
          </cell>
        </row>
        <row r="27">
          <cell r="A27" t="str">
            <v>400d_J1221+4918</v>
          </cell>
          <cell r="B27">
            <v>0</v>
          </cell>
        </row>
        <row r="28">
          <cell r="A28" t="str">
            <v>400d_J1312+3900</v>
          </cell>
          <cell r="B28">
            <v>0</v>
          </cell>
        </row>
        <row r="29">
          <cell r="A29" t="str">
            <v>400d_J1340+4017</v>
          </cell>
          <cell r="B29">
            <v>1.6529599999999998E-2</v>
          </cell>
        </row>
        <row r="30">
          <cell r="A30" t="str">
            <v>400d_J1354-0221</v>
          </cell>
          <cell r="B30">
            <v>6.5872400000000003E-3</v>
          </cell>
        </row>
        <row r="31">
          <cell r="A31" t="str">
            <v>400d_J1641+4001</v>
          </cell>
          <cell r="B31">
            <v>0</v>
          </cell>
        </row>
        <row r="32">
          <cell r="A32" t="str">
            <v>400d_J2220-5228</v>
          </cell>
          <cell r="B32">
            <v>0</v>
          </cell>
        </row>
        <row r="33">
          <cell r="A33" t="str">
            <v>400d_J2247+0337</v>
          </cell>
          <cell r="B33">
            <v>2.4733099999999998E-3</v>
          </cell>
        </row>
        <row r="34">
          <cell r="A34" t="str">
            <v>A1882a</v>
          </cell>
          <cell r="B34">
            <v>8.6341899999999999E-3</v>
          </cell>
        </row>
        <row r="35">
          <cell r="A35" t="str">
            <v>A1882b</v>
          </cell>
          <cell r="B35">
            <v>4.4960899999999998E-2</v>
          </cell>
        </row>
        <row r="36">
          <cell r="A36" t="str">
            <v>A98ss</v>
          </cell>
          <cell r="B36">
            <v>9.7337099999999996E-2</v>
          </cell>
        </row>
        <row r="37">
          <cell r="A37" t="str">
            <v>ABELL_0013</v>
          </cell>
          <cell r="B37">
            <v>1.6433E-2</v>
          </cell>
        </row>
        <row r="38">
          <cell r="A38" t="str">
            <v>ABELL_0068</v>
          </cell>
          <cell r="B38">
            <v>4.7327899999999999E-2</v>
          </cell>
        </row>
        <row r="39">
          <cell r="A39" t="str">
            <v>ABELL_0085</v>
          </cell>
          <cell r="B39">
            <v>1.9217499999999998E-2</v>
          </cell>
        </row>
        <row r="40">
          <cell r="A40" t="str">
            <v>ABELL_0098N</v>
          </cell>
          <cell r="B40">
            <v>3.3288699999999997E-2</v>
          </cell>
        </row>
        <row r="41">
          <cell r="A41" t="str">
            <v>ABELL_0119</v>
          </cell>
          <cell r="B41">
            <v>1.25241E-2</v>
          </cell>
        </row>
        <row r="42">
          <cell r="A42" t="str">
            <v>ABELL_0122</v>
          </cell>
          <cell r="B42">
            <v>5.8645900000000003E-3</v>
          </cell>
        </row>
        <row r="43">
          <cell r="A43" t="str">
            <v>ABELL_0133</v>
          </cell>
          <cell r="B43">
            <v>2.0991200000000002E-2</v>
          </cell>
        </row>
        <row r="44">
          <cell r="A44" t="str">
            <v>ABELL_0141</v>
          </cell>
          <cell r="B44">
            <v>3.8819100000000002E-2</v>
          </cell>
        </row>
        <row r="45">
          <cell r="A45" t="str">
            <v>ABELL_0160</v>
          </cell>
          <cell r="B45">
            <v>1.9372299999999999E-2</v>
          </cell>
        </row>
        <row r="46">
          <cell r="A46" t="str">
            <v>ABELL_0193</v>
          </cell>
          <cell r="B46">
            <v>1.29464E-2</v>
          </cell>
        </row>
        <row r="47">
          <cell r="A47" t="str">
            <v>ABELL_0209</v>
          </cell>
          <cell r="B47">
            <v>8.8036499999999997E-3</v>
          </cell>
        </row>
        <row r="48">
          <cell r="A48" t="str">
            <v>ABELL_0262</v>
          </cell>
          <cell r="B48">
            <v>4.77565E-2</v>
          </cell>
        </row>
        <row r="49">
          <cell r="A49" t="str">
            <v>ABELL_0267</v>
          </cell>
          <cell r="B49">
            <v>6.0091300000000001E-4</v>
          </cell>
        </row>
        <row r="50">
          <cell r="A50" t="str">
            <v>ABELL_0368</v>
          </cell>
          <cell r="B50">
            <v>1.6605100000000001E-2</v>
          </cell>
        </row>
        <row r="51">
          <cell r="A51" t="str">
            <v>ABELL_0370</v>
          </cell>
          <cell r="B51">
            <v>3.4283600000000001E-3</v>
          </cell>
        </row>
        <row r="52">
          <cell r="A52" t="str">
            <v>ABELL_0376</v>
          </cell>
          <cell r="B52">
            <v>1.04108E-2</v>
          </cell>
        </row>
        <row r="53">
          <cell r="A53" t="str">
            <v>ABELL_0383</v>
          </cell>
          <cell r="B53">
            <v>2.7074E-3</v>
          </cell>
        </row>
        <row r="54">
          <cell r="A54" t="str">
            <v>ABELL_0399</v>
          </cell>
          <cell r="B54">
            <v>0</v>
          </cell>
        </row>
        <row r="55">
          <cell r="A55" t="str">
            <v>ABELL_0400</v>
          </cell>
          <cell r="B55">
            <v>3.3335700000000003E-2</v>
          </cell>
        </row>
        <row r="56">
          <cell r="A56" t="str">
            <v>ABELL_0401</v>
          </cell>
          <cell r="B56">
            <v>2.37044E-2</v>
          </cell>
        </row>
        <row r="57">
          <cell r="A57" t="str">
            <v>ABELL_0402</v>
          </cell>
          <cell r="B57">
            <v>2.62866E-2</v>
          </cell>
        </row>
        <row r="58">
          <cell r="A58" t="str">
            <v>ABELL_0478</v>
          </cell>
          <cell r="B58">
            <v>0.16037799999999999</v>
          </cell>
        </row>
        <row r="59">
          <cell r="A59" t="str">
            <v>ABELL_0496</v>
          </cell>
          <cell r="B59">
            <v>2.9737699999999999E-2</v>
          </cell>
        </row>
        <row r="60">
          <cell r="A60" t="str">
            <v>ABELL_0514</v>
          </cell>
          <cell r="B60">
            <v>1.4447700000000001E-2</v>
          </cell>
        </row>
        <row r="61">
          <cell r="A61" t="str">
            <v>ABELL_0520</v>
          </cell>
          <cell r="B61">
            <v>0</v>
          </cell>
        </row>
        <row r="62">
          <cell r="A62" t="str">
            <v>ABELL_0521</v>
          </cell>
          <cell r="B62">
            <v>0</v>
          </cell>
        </row>
        <row r="63">
          <cell r="A63" t="str">
            <v>ABELL_0539</v>
          </cell>
          <cell r="B63">
            <v>0</v>
          </cell>
        </row>
        <row r="64">
          <cell r="A64" t="str">
            <v>ABELL_0545</v>
          </cell>
          <cell r="B64">
            <v>6.3329199999999997E-3</v>
          </cell>
        </row>
        <row r="65">
          <cell r="A65" t="str">
            <v>ABELL_0548A</v>
          </cell>
          <cell r="B65">
            <v>3.8586799999999997E-2</v>
          </cell>
        </row>
        <row r="66">
          <cell r="A66" t="str">
            <v>ABELL_0550</v>
          </cell>
          <cell r="B66">
            <v>6.0985699999999997E-2</v>
          </cell>
        </row>
        <row r="67">
          <cell r="A67" t="str">
            <v>ABELL_0562</v>
          </cell>
          <cell r="B67">
            <v>7.3559799999999998E-3</v>
          </cell>
        </row>
        <row r="68">
          <cell r="A68" t="str">
            <v>ABELL_0576</v>
          </cell>
          <cell r="B68">
            <v>1.93616E-2</v>
          </cell>
        </row>
        <row r="69">
          <cell r="A69" t="str">
            <v>ABELL_0578</v>
          </cell>
          <cell r="B69">
            <v>2.60634E-2</v>
          </cell>
        </row>
        <row r="70">
          <cell r="A70" t="str">
            <v>ABELL_0586</v>
          </cell>
          <cell r="B70">
            <v>1.7037799999999999E-2</v>
          </cell>
        </row>
        <row r="71">
          <cell r="A71" t="str">
            <v>ABELL_0598</v>
          </cell>
          <cell r="B71">
            <v>1.13913E-2</v>
          </cell>
        </row>
        <row r="72">
          <cell r="A72" t="str">
            <v>ABELL_0611</v>
          </cell>
          <cell r="B72">
            <v>5.1877E-3</v>
          </cell>
        </row>
        <row r="73">
          <cell r="A73" t="str">
            <v>ABELL_0644</v>
          </cell>
          <cell r="B73">
            <v>5.7373800000000003E-2</v>
          </cell>
        </row>
        <row r="74">
          <cell r="A74" t="str">
            <v>ABELL_0665</v>
          </cell>
          <cell r="B74">
            <v>1.77637E-2</v>
          </cell>
        </row>
        <row r="75">
          <cell r="A75" t="str">
            <v>ABELL_0697</v>
          </cell>
          <cell r="B75">
            <v>0</v>
          </cell>
        </row>
        <row r="76">
          <cell r="A76" t="str">
            <v>ABELL_0744</v>
          </cell>
          <cell r="B76">
            <v>1.5732800000000002E-2</v>
          </cell>
        </row>
        <row r="77">
          <cell r="A77" t="str">
            <v>ABELL_0754</v>
          </cell>
          <cell r="B77">
            <v>4.1039100000000002E-2</v>
          </cell>
        </row>
        <row r="78">
          <cell r="A78" t="str">
            <v>ABELL_0773</v>
          </cell>
          <cell r="B78">
            <v>2.2602500000000001E-2</v>
          </cell>
        </row>
        <row r="79">
          <cell r="A79" t="str">
            <v>ABELL_0781</v>
          </cell>
          <cell r="B79">
            <v>4.6164100000000001E-5</v>
          </cell>
        </row>
        <row r="80">
          <cell r="A80" t="str">
            <v>ABELL_0795</v>
          </cell>
          <cell r="B80">
            <v>9.25459E-3</v>
          </cell>
        </row>
        <row r="81">
          <cell r="A81" t="str">
            <v>ABELL_0853</v>
          </cell>
          <cell r="B81">
            <v>1.3055000000000001E-2</v>
          </cell>
        </row>
        <row r="82">
          <cell r="A82" t="str">
            <v>ABELL_0868</v>
          </cell>
          <cell r="B82">
            <v>6.6824700000000001E-2</v>
          </cell>
        </row>
        <row r="83">
          <cell r="A83" t="str">
            <v>ABELL_0907</v>
          </cell>
          <cell r="B83">
            <v>2.7169499999999999E-2</v>
          </cell>
        </row>
        <row r="84">
          <cell r="A84" t="str">
            <v>ABELL_0963</v>
          </cell>
          <cell r="B84">
            <v>8.7790999999999998E-3</v>
          </cell>
        </row>
        <row r="85">
          <cell r="A85" t="str">
            <v>ABELL_0970</v>
          </cell>
          <cell r="B85">
            <v>9.8226900000000002E-3</v>
          </cell>
        </row>
        <row r="86">
          <cell r="A86" t="str">
            <v>ABELL_0980</v>
          </cell>
          <cell r="B86">
            <v>1.55411E-2</v>
          </cell>
        </row>
        <row r="87">
          <cell r="A87" t="str">
            <v>ABELL_1033</v>
          </cell>
          <cell r="B87">
            <v>2.9270000000000001E-2</v>
          </cell>
        </row>
        <row r="88">
          <cell r="A88" t="str">
            <v>ABELL_1068</v>
          </cell>
          <cell r="B88">
            <v>1.8072600000000001E-2</v>
          </cell>
        </row>
        <row r="89">
          <cell r="A89" t="str">
            <v>ABELL_1142</v>
          </cell>
          <cell r="B89">
            <v>3.3789699999999999E-2</v>
          </cell>
        </row>
        <row r="90">
          <cell r="A90" t="str">
            <v>ABELL_1190</v>
          </cell>
          <cell r="B90">
            <v>7.4978100000000006E-2</v>
          </cell>
        </row>
        <row r="91">
          <cell r="A91" t="str">
            <v>ABELL_1201</v>
          </cell>
          <cell r="B91">
            <v>1.2501999999999999E-2</v>
          </cell>
        </row>
        <row r="92">
          <cell r="A92" t="str">
            <v>ABELL_1204</v>
          </cell>
          <cell r="B92">
            <v>1.6890100000000002E-2</v>
          </cell>
        </row>
        <row r="93">
          <cell r="A93" t="str">
            <v>ABELL_1240</v>
          </cell>
          <cell r="B93">
            <v>4.0480500000000003E-2</v>
          </cell>
        </row>
        <row r="94">
          <cell r="A94" t="str">
            <v>ABELL_1285</v>
          </cell>
          <cell r="B94">
            <v>4.6899900000000001E-2</v>
          </cell>
        </row>
        <row r="95">
          <cell r="A95" t="str">
            <v>ABELL_1300</v>
          </cell>
          <cell r="B95">
            <v>1.36662E-2</v>
          </cell>
        </row>
        <row r="96">
          <cell r="A96" t="str">
            <v>ABELL_1361</v>
          </cell>
          <cell r="B96">
            <v>1.53309E-2</v>
          </cell>
        </row>
        <row r="97">
          <cell r="A97" t="str">
            <v>ABELL_1413</v>
          </cell>
          <cell r="B97">
            <v>2.77372E-2</v>
          </cell>
        </row>
        <row r="98">
          <cell r="A98" t="str">
            <v>ABELL_1423</v>
          </cell>
          <cell r="B98">
            <v>3.4152299999999997E-2</v>
          </cell>
        </row>
        <row r="99">
          <cell r="A99" t="str">
            <v>ABELL_1446</v>
          </cell>
          <cell r="B99">
            <v>2.9021399999999999E-2</v>
          </cell>
        </row>
        <row r="100">
          <cell r="A100" t="str">
            <v>ABELL_1553</v>
          </cell>
          <cell r="B100">
            <v>2.8337600000000001E-2</v>
          </cell>
        </row>
        <row r="101">
          <cell r="A101" t="str">
            <v>ABELL_1569</v>
          </cell>
          <cell r="B101">
            <v>3.8595600000000001E-2</v>
          </cell>
        </row>
        <row r="102">
          <cell r="A102" t="str">
            <v>ABELL_1576</v>
          </cell>
          <cell r="B102">
            <v>3.3523499999999998E-2</v>
          </cell>
        </row>
        <row r="103">
          <cell r="A103" t="str">
            <v>ABELL_1644</v>
          </cell>
          <cell r="B103">
            <v>8.5072499999999992E-3</v>
          </cell>
        </row>
        <row r="104">
          <cell r="A104" t="str">
            <v>ABELL_1650</v>
          </cell>
          <cell r="B104">
            <v>1.5392100000000001E-2</v>
          </cell>
        </row>
        <row r="105">
          <cell r="A105" t="str">
            <v>ABELL_1651</v>
          </cell>
          <cell r="B105">
            <v>9.7702599999999994E-3</v>
          </cell>
        </row>
        <row r="106">
          <cell r="A106" t="str">
            <v>ABELL_1664</v>
          </cell>
          <cell r="B106">
            <v>1.9973100000000001E-2</v>
          </cell>
        </row>
        <row r="107">
          <cell r="A107" t="str">
            <v>ABELL_1668</v>
          </cell>
          <cell r="B107">
            <v>2.7474800000000001E-2</v>
          </cell>
        </row>
        <row r="108">
          <cell r="A108" t="str">
            <v>ABELL_1682</v>
          </cell>
          <cell r="B108">
            <v>0</v>
          </cell>
        </row>
        <row r="109">
          <cell r="A109" t="str">
            <v>ABELL_1689</v>
          </cell>
          <cell r="B109">
            <v>1.8317300000000002E-2</v>
          </cell>
        </row>
        <row r="110">
          <cell r="A110" t="str">
            <v>ABELL_1722</v>
          </cell>
          <cell r="B110">
            <v>3.9612500000000002E-2</v>
          </cell>
        </row>
        <row r="111">
          <cell r="A111" t="str">
            <v>ABELL_1736</v>
          </cell>
          <cell r="B111">
            <v>0</v>
          </cell>
        </row>
        <row r="112">
          <cell r="A112" t="str">
            <v>ABELL_1750C</v>
          </cell>
          <cell r="B112">
            <v>1.51253E-2</v>
          </cell>
        </row>
        <row r="113">
          <cell r="A113" t="str">
            <v>ABELL_1750N</v>
          </cell>
          <cell r="B113">
            <v>1.8249499999999998E-2</v>
          </cell>
        </row>
        <row r="114">
          <cell r="A114" t="str">
            <v>ABELL_1758</v>
          </cell>
          <cell r="B114">
            <v>1.34593E-2</v>
          </cell>
        </row>
        <row r="115">
          <cell r="A115" t="str">
            <v>ABELL_1763</v>
          </cell>
          <cell r="B115">
            <v>2.6508E-2</v>
          </cell>
        </row>
        <row r="116">
          <cell r="A116" t="str">
            <v>ABELL_1767</v>
          </cell>
          <cell r="B116">
            <v>3.5672200000000001E-2</v>
          </cell>
        </row>
        <row r="117">
          <cell r="A117" t="str">
            <v>ABELL_1775</v>
          </cell>
          <cell r="B117">
            <v>1.13081E-2</v>
          </cell>
        </row>
        <row r="118">
          <cell r="A118" t="str">
            <v>ABELL_1795</v>
          </cell>
          <cell r="B118">
            <v>1.3018399999999999E-2</v>
          </cell>
        </row>
        <row r="119">
          <cell r="A119" t="str">
            <v>ABELL_1831</v>
          </cell>
          <cell r="B119">
            <v>9.1871799999999997E-3</v>
          </cell>
        </row>
        <row r="120">
          <cell r="A120" t="str">
            <v>ABELL_1835</v>
          </cell>
          <cell r="B120">
            <v>1.3482900000000001E-2</v>
          </cell>
        </row>
        <row r="121">
          <cell r="A121" t="str">
            <v>ABELL_1836</v>
          </cell>
          <cell r="B121">
            <v>0</v>
          </cell>
        </row>
        <row r="122">
          <cell r="A122" t="str">
            <v>ABELL_1914</v>
          </cell>
          <cell r="B122">
            <v>2.2865900000000002E-2</v>
          </cell>
        </row>
        <row r="123">
          <cell r="A123" t="str">
            <v>ABELL_1930</v>
          </cell>
          <cell r="B123">
            <v>1.76896E-2</v>
          </cell>
        </row>
        <row r="124">
          <cell r="A124" t="str">
            <v>ABELL_1942_AND_CLUMP</v>
          </cell>
          <cell r="B124">
            <v>6.0118899999999998E-3</v>
          </cell>
        </row>
        <row r="125">
          <cell r="A125" t="str">
            <v>ABELL_1991</v>
          </cell>
          <cell r="B125">
            <v>2.3588000000000001E-2</v>
          </cell>
        </row>
        <row r="126">
          <cell r="A126" t="str">
            <v>ABELL_1995</v>
          </cell>
          <cell r="B126">
            <v>9.6917300000000008E-3</v>
          </cell>
        </row>
        <row r="127">
          <cell r="A127" t="str">
            <v>ABELL_2009</v>
          </cell>
          <cell r="B127">
            <v>2.3827500000000001E-2</v>
          </cell>
        </row>
        <row r="128">
          <cell r="A128" t="str">
            <v>ABELL_2029</v>
          </cell>
          <cell r="B128">
            <v>1.16796E-2</v>
          </cell>
        </row>
        <row r="129">
          <cell r="A129" t="str">
            <v>ABELL_2034</v>
          </cell>
          <cell r="B129">
            <v>1.6938100000000001E-2</v>
          </cell>
        </row>
        <row r="130">
          <cell r="A130" t="str">
            <v>ABELL_2052</v>
          </cell>
          <cell r="B130">
            <v>1.9035400000000001E-2</v>
          </cell>
        </row>
        <row r="131">
          <cell r="A131" t="str">
            <v>ABELL_2061</v>
          </cell>
          <cell r="B131">
            <v>3.8157799999999999E-2</v>
          </cell>
        </row>
        <row r="132">
          <cell r="A132" t="str">
            <v>ABELL_2063</v>
          </cell>
          <cell r="B132">
            <v>0</v>
          </cell>
        </row>
        <row r="133">
          <cell r="A133" t="str">
            <v>ABELL_2065</v>
          </cell>
          <cell r="B133">
            <v>1.8951900000000001E-2</v>
          </cell>
        </row>
        <row r="134">
          <cell r="A134" t="str">
            <v>ABELL_2069</v>
          </cell>
          <cell r="B134">
            <v>2.1751E-2</v>
          </cell>
        </row>
        <row r="135">
          <cell r="A135" t="str">
            <v>ABELL_2092</v>
          </cell>
          <cell r="B135">
            <v>0</v>
          </cell>
        </row>
        <row r="136">
          <cell r="A136" t="str">
            <v>ABELL_2104</v>
          </cell>
          <cell r="B136">
            <v>6.7710400000000004E-2</v>
          </cell>
        </row>
        <row r="137">
          <cell r="A137" t="str">
            <v>ABELL_2107</v>
          </cell>
          <cell r="B137">
            <v>1.2211400000000001E-2</v>
          </cell>
        </row>
        <row r="138">
          <cell r="A138" t="str">
            <v>ABELL_2111</v>
          </cell>
          <cell r="B138">
            <v>0</v>
          </cell>
        </row>
        <row r="139">
          <cell r="A139" t="str">
            <v>ABELL_2124</v>
          </cell>
          <cell r="B139">
            <v>5.6004799999999997E-3</v>
          </cell>
        </row>
        <row r="140">
          <cell r="A140" t="str">
            <v>ABELL_2125</v>
          </cell>
          <cell r="B140">
            <v>6.9416E-3</v>
          </cell>
        </row>
        <row r="141">
          <cell r="A141" t="str">
            <v>ABELL_2142</v>
          </cell>
          <cell r="B141">
            <v>1.9090300000000001E-2</v>
          </cell>
        </row>
        <row r="142">
          <cell r="A142" t="str">
            <v>ABELL_2146</v>
          </cell>
          <cell r="B142">
            <v>1.7448999999999999E-2</v>
          </cell>
        </row>
        <row r="143">
          <cell r="A143" t="str">
            <v>ABELL_2147</v>
          </cell>
          <cell r="B143">
            <v>0</v>
          </cell>
        </row>
        <row r="144">
          <cell r="A144" t="str">
            <v>ABELL_2151</v>
          </cell>
          <cell r="B144">
            <v>0</v>
          </cell>
        </row>
        <row r="145">
          <cell r="A145" t="str">
            <v>ABELL_2163</v>
          </cell>
          <cell r="B145">
            <v>7.2054900000000005E-2</v>
          </cell>
        </row>
        <row r="146">
          <cell r="A146" t="str">
            <v>ABELL_2187</v>
          </cell>
          <cell r="B146">
            <v>2.5033699999999999E-2</v>
          </cell>
        </row>
        <row r="147">
          <cell r="A147" t="str">
            <v>ABELL_2199</v>
          </cell>
          <cell r="B147">
            <v>2.32371E-2</v>
          </cell>
        </row>
        <row r="148">
          <cell r="A148" t="str">
            <v>ABELL_2204</v>
          </cell>
          <cell r="B148">
            <v>3.4217900000000002E-2</v>
          </cell>
        </row>
        <row r="149">
          <cell r="A149" t="str">
            <v>ABELL_2218</v>
          </cell>
          <cell r="B149">
            <v>1.9874300000000001E-2</v>
          </cell>
        </row>
        <row r="150">
          <cell r="A150" t="str">
            <v>ABELL_2219</v>
          </cell>
          <cell r="B150">
            <v>1.2567099999999999E-2</v>
          </cell>
        </row>
        <row r="151">
          <cell r="A151" t="str">
            <v>ABELL_2244</v>
          </cell>
          <cell r="B151">
            <v>1.45278E-2</v>
          </cell>
        </row>
        <row r="152">
          <cell r="A152" t="str">
            <v>ABELL_2249</v>
          </cell>
          <cell r="B152">
            <v>3.49316E-2</v>
          </cell>
        </row>
        <row r="153">
          <cell r="A153" t="str">
            <v>ABELL_2255</v>
          </cell>
          <cell r="B153">
            <v>1.76124E-2</v>
          </cell>
        </row>
        <row r="154">
          <cell r="A154" t="str">
            <v>ABELL_2256</v>
          </cell>
          <cell r="B154">
            <v>1.98558E-2</v>
          </cell>
        </row>
        <row r="155">
          <cell r="A155" t="str">
            <v>ABELL_2259</v>
          </cell>
          <cell r="B155">
            <v>8.2967800000000001E-3</v>
          </cell>
        </row>
        <row r="156">
          <cell r="A156" t="str">
            <v>ABELL_2261</v>
          </cell>
          <cell r="B156">
            <v>1.7703699999999999E-2</v>
          </cell>
        </row>
        <row r="157">
          <cell r="A157" t="str">
            <v>ABELL_2294</v>
          </cell>
          <cell r="B157">
            <v>7.8653000000000001E-2</v>
          </cell>
        </row>
        <row r="158">
          <cell r="A158" t="str">
            <v>ABELL_2302</v>
          </cell>
          <cell r="B158">
            <v>6.9345299999999999E-2</v>
          </cell>
        </row>
        <row r="159">
          <cell r="A159" t="str">
            <v>ABELL_2319</v>
          </cell>
          <cell r="B159">
            <v>2.7215799999999998E-2</v>
          </cell>
        </row>
        <row r="160">
          <cell r="A160" t="str">
            <v>ABELL_2345</v>
          </cell>
          <cell r="B160">
            <v>8.9353399999999999E-3</v>
          </cell>
        </row>
        <row r="161">
          <cell r="A161" t="str">
            <v>ABELL_2355</v>
          </cell>
          <cell r="B161">
            <v>6.2109200000000003E-2</v>
          </cell>
        </row>
        <row r="162">
          <cell r="A162" t="str">
            <v>ABELL_2384</v>
          </cell>
          <cell r="B162">
            <v>1.8782600000000001E-3</v>
          </cell>
        </row>
        <row r="163">
          <cell r="A163" t="str">
            <v>ABELL_2390</v>
          </cell>
          <cell r="B163">
            <v>3.2151399999999997E-2</v>
          </cell>
        </row>
        <row r="164">
          <cell r="A164" t="str">
            <v>ABELL_2409</v>
          </cell>
          <cell r="B164">
            <v>3.0311500000000002E-2</v>
          </cell>
        </row>
        <row r="165">
          <cell r="A165" t="str">
            <v>ABELL_2415</v>
          </cell>
          <cell r="B165">
            <v>1.7105200000000001E-2</v>
          </cell>
        </row>
        <row r="166">
          <cell r="A166" t="str">
            <v>ABELL_2426</v>
          </cell>
          <cell r="B166">
            <v>2.6969E-2</v>
          </cell>
        </row>
        <row r="167">
          <cell r="A167" t="str">
            <v>ABELL_2443</v>
          </cell>
          <cell r="B167">
            <v>1.7187999999999998E-2</v>
          </cell>
        </row>
        <row r="168">
          <cell r="A168" t="str">
            <v>ABELL_2445</v>
          </cell>
          <cell r="B168">
            <v>3.0023600000000001E-2</v>
          </cell>
        </row>
        <row r="169">
          <cell r="A169" t="str">
            <v>ABELL_2457</v>
          </cell>
          <cell r="B169">
            <v>4.6431899999999998E-2</v>
          </cell>
        </row>
        <row r="170">
          <cell r="A170" t="str">
            <v>ABELL_2465</v>
          </cell>
          <cell r="B170">
            <v>3.9721600000000003E-2</v>
          </cell>
        </row>
        <row r="171">
          <cell r="A171" t="str">
            <v>ABELL_2485</v>
          </cell>
          <cell r="B171">
            <v>7.7929399999999999E-3</v>
          </cell>
        </row>
        <row r="172">
          <cell r="A172" t="str">
            <v>ABELL_2507</v>
          </cell>
          <cell r="B172">
            <v>6.6029699999999997E-2</v>
          </cell>
        </row>
        <row r="173">
          <cell r="A173" t="str">
            <v>ABELL_2537</v>
          </cell>
          <cell r="B173">
            <v>4.5941000000000003E-2</v>
          </cell>
        </row>
        <row r="174">
          <cell r="A174" t="str">
            <v>ABELL_2550</v>
          </cell>
          <cell r="B174">
            <v>4.4575200000000004E-3</v>
          </cell>
        </row>
        <row r="175">
          <cell r="A175" t="str">
            <v>ABELL_2556</v>
          </cell>
          <cell r="B175">
            <v>1.6413000000000001E-3</v>
          </cell>
        </row>
        <row r="176">
          <cell r="A176" t="str">
            <v>ABELL_2589</v>
          </cell>
          <cell r="B176">
            <v>0</v>
          </cell>
        </row>
        <row r="177">
          <cell r="A177" t="str">
            <v>ABELL_2597</v>
          </cell>
          <cell r="B177">
            <v>6.6021099999999996E-3</v>
          </cell>
        </row>
        <row r="178">
          <cell r="A178" t="str">
            <v>ABELL_2626</v>
          </cell>
          <cell r="B178">
            <v>2.3738800000000001E-2</v>
          </cell>
        </row>
        <row r="179">
          <cell r="A179" t="str">
            <v>ABELL_2627</v>
          </cell>
          <cell r="B179">
            <v>2.4236299999999999E-2</v>
          </cell>
        </row>
        <row r="180">
          <cell r="A180" t="str">
            <v>ABELL_2631</v>
          </cell>
          <cell r="B180">
            <v>1.7823800000000001E-2</v>
          </cell>
        </row>
        <row r="181">
          <cell r="A181" t="str">
            <v>ABELL_2645</v>
          </cell>
          <cell r="B181">
            <v>0</v>
          </cell>
        </row>
        <row r="182">
          <cell r="A182" t="str">
            <v>ABELL_2657</v>
          </cell>
          <cell r="B182">
            <v>5.7634999999999999E-2</v>
          </cell>
        </row>
        <row r="183">
          <cell r="A183" t="str">
            <v>ABELL_2665</v>
          </cell>
          <cell r="B183">
            <v>2.84535E-2</v>
          </cell>
        </row>
        <row r="184">
          <cell r="A184" t="str">
            <v>ABELL_2667</v>
          </cell>
          <cell r="B184">
            <v>1.46503E-2</v>
          </cell>
        </row>
        <row r="185">
          <cell r="A185" t="str">
            <v>ABELL_2670</v>
          </cell>
          <cell r="B185">
            <v>3.1344799999999999E-2</v>
          </cell>
        </row>
        <row r="186">
          <cell r="A186" t="str">
            <v>ABELL_2717</v>
          </cell>
          <cell r="B186">
            <v>2.6116E-2</v>
          </cell>
        </row>
        <row r="187">
          <cell r="A187" t="str">
            <v>ABELL_2734_NED01</v>
          </cell>
          <cell r="B187">
            <v>1.24493E-2</v>
          </cell>
        </row>
        <row r="188">
          <cell r="A188" t="str">
            <v>ABELL_2744</v>
          </cell>
          <cell r="B188">
            <v>9.8971800000000002E-3</v>
          </cell>
        </row>
        <row r="189">
          <cell r="A189" t="str">
            <v>ABELL_2813</v>
          </cell>
          <cell r="B189">
            <v>2.0771600000000001E-2</v>
          </cell>
        </row>
        <row r="190">
          <cell r="A190" t="str">
            <v>ABELL_2895</v>
          </cell>
          <cell r="B190">
            <v>1.36794E-2</v>
          </cell>
        </row>
        <row r="191">
          <cell r="A191" t="str">
            <v>ABELL_3017</v>
          </cell>
          <cell r="B191">
            <v>2.65612E-2</v>
          </cell>
        </row>
        <row r="192">
          <cell r="A192" t="str">
            <v>ABELL_3074</v>
          </cell>
          <cell r="B192">
            <v>0</v>
          </cell>
        </row>
        <row r="193">
          <cell r="A193" t="str">
            <v>ABELL_3084</v>
          </cell>
          <cell r="B193">
            <v>6.5650099999999996E-3</v>
          </cell>
        </row>
        <row r="194">
          <cell r="A194" t="str">
            <v>ABELL_3088</v>
          </cell>
          <cell r="B194">
            <v>9.2492400000000006E-3</v>
          </cell>
        </row>
        <row r="195">
          <cell r="A195" t="str">
            <v>ABELL_3094</v>
          </cell>
          <cell r="B195">
            <v>4.22967E-2</v>
          </cell>
        </row>
        <row r="196">
          <cell r="A196" t="str">
            <v>ABELL_3112</v>
          </cell>
          <cell r="B196">
            <v>1.0933999999999999E-2</v>
          </cell>
        </row>
        <row r="197">
          <cell r="A197" t="str">
            <v>ABELL_3120</v>
          </cell>
          <cell r="B197">
            <v>2.3090400000000001E-2</v>
          </cell>
        </row>
        <row r="198">
          <cell r="A198" t="str">
            <v>ABELL_3126</v>
          </cell>
          <cell r="B198">
            <v>1.6841700000000001E-2</v>
          </cell>
        </row>
        <row r="199">
          <cell r="A199" t="str">
            <v>ABELL_3128</v>
          </cell>
          <cell r="B199">
            <v>1.9232599999999999E-2</v>
          </cell>
        </row>
        <row r="200">
          <cell r="A200" t="str">
            <v>ABELL_3140</v>
          </cell>
          <cell r="B200">
            <v>8.7501199999999995E-8</v>
          </cell>
        </row>
        <row r="201">
          <cell r="A201" t="str">
            <v>ABELL_3158</v>
          </cell>
          <cell r="B201">
            <v>2.1087600000000001E-2</v>
          </cell>
        </row>
        <row r="202">
          <cell r="A202" t="str">
            <v>ABELL_3266</v>
          </cell>
          <cell r="B202">
            <v>2.7536000000000001E-2</v>
          </cell>
        </row>
        <row r="203">
          <cell r="A203" t="str">
            <v>ABELL_3292</v>
          </cell>
          <cell r="B203">
            <v>1.17187E-2</v>
          </cell>
        </row>
        <row r="204">
          <cell r="A204" t="str">
            <v>ABELL_3322</v>
          </cell>
          <cell r="B204">
            <v>4.3104700000000003E-2</v>
          </cell>
        </row>
        <row r="205">
          <cell r="A205" t="str">
            <v>ABELL_3330</v>
          </cell>
          <cell r="B205">
            <v>6.3466299999999998E-3</v>
          </cell>
        </row>
        <row r="206">
          <cell r="A206" t="str">
            <v>ABELL_3343</v>
          </cell>
          <cell r="B206">
            <v>7.05961E-3</v>
          </cell>
        </row>
        <row r="207">
          <cell r="A207" t="str">
            <v>ABELL_3364</v>
          </cell>
          <cell r="B207">
            <v>2.0656600000000001E-2</v>
          </cell>
        </row>
        <row r="208">
          <cell r="A208" t="str">
            <v>ABELL_3376</v>
          </cell>
          <cell r="B208">
            <v>0</v>
          </cell>
        </row>
        <row r="209">
          <cell r="A209" t="str">
            <v>ABELL_3378</v>
          </cell>
          <cell r="B209">
            <v>4.0214399999999997E-2</v>
          </cell>
        </row>
        <row r="210">
          <cell r="A210" t="str">
            <v>ABELL_3391</v>
          </cell>
          <cell r="B210">
            <v>1.40766E-2</v>
          </cell>
        </row>
        <row r="211">
          <cell r="A211" t="str">
            <v>ABELL_3395_SW</v>
          </cell>
          <cell r="B211">
            <v>4.6270199999999997E-2</v>
          </cell>
        </row>
        <row r="212">
          <cell r="A212" t="str">
            <v>ABELL_3399</v>
          </cell>
          <cell r="B212">
            <v>0</v>
          </cell>
        </row>
        <row r="213">
          <cell r="A213" t="str">
            <v>ABELL_3402</v>
          </cell>
          <cell r="B213">
            <v>0</v>
          </cell>
        </row>
        <row r="214">
          <cell r="A214" t="str">
            <v>ABELL_3404</v>
          </cell>
          <cell r="B214">
            <v>2.60115E-2</v>
          </cell>
        </row>
        <row r="215">
          <cell r="A215" t="str">
            <v>ABELL_3411</v>
          </cell>
          <cell r="B215">
            <v>2.90925E-2</v>
          </cell>
        </row>
        <row r="216">
          <cell r="A216" t="str">
            <v>ABELL_3444</v>
          </cell>
          <cell r="B216">
            <v>0</v>
          </cell>
        </row>
        <row r="217">
          <cell r="A217" t="str">
            <v>ABELL_3528B</v>
          </cell>
          <cell r="B217">
            <v>2.03377E-2</v>
          </cell>
        </row>
        <row r="218">
          <cell r="A218" t="str">
            <v>ABELL_3532</v>
          </cell>
          <cell r="B218">
            <v>2.02496E-2</v>
          </cell>
        </row>
        <row r="219">
          <cell r="A219" t="str">
            <v>ABELL_3558</v>
          </cell>
          <cell r="B219">
            <v>2.3213299999999999E-3</v>
          </cell>
        </row>
        <row r="220">
          <cell r="A220" t="str">
            <v>ABELL_3560</v>
          </cell>
          <cell r="B220">
            <v>0</v>
          </cell>
        </row>
        <row r="221">
          <cell r="A221" t="str">
            <v>ABELL_3562</v>
          </cell>
          <cell r="B221">
            <v>7.9686099999999992E-3</v>
          </cell>
        </row>
        <row r="222">
          <cell r="A222" t="str">
            <v>ABELL_3571</v>
          </cell>
          <cell r="B222">
            <v>9.2216199999999998E-3</v>
          </cell>
        </row>
        <row r="223">
          <cell r="A223" t="str">
            <v>ABELL_3581</v>
          </cell>
          <cell r="B223">
            <v>2.9011499999999999E-2</v>
          </cell>
        </row>
        <row r="224">
          <cell r="A224" t="str">
            <v>ABELL_3653</v>
          </cell>
          <cell r="B224">
            <v>0</v>
          </cell>
        </row>
        <row r="225">
          <cell r="A225" t="str">
            <v>ABELL_3667</v>
          </cell>
          <cell r="B225">
            <v>9.2775700000000006E-3</v>
          </cell>
        </row>
        <row r="226">
          <cell r="A226" t="str">
            <v>ABELL_3695</v>
          </cell>
          <cell r="B226">
            <v>0</v>
          </cell>
        </row>
        <row r="227">
          <cell r="A227" t="str">
            <v>ABELL_3739</v>
          </cell>
          <cell r="B227">
            <v>2.9830499999999999E-2</v>
          </cell>
        </row>
        <row r="228">
          <cell r="A228" t="str">
            <v>ABELL_3809</v>
          </cell>
          <cell r="B228">
            <v>5.6765000000000003E-2</v>
          </cell>
        </row>
        <row r="229">
          <cell r="A229" t="str">
            <v>ABELL_3827</v>
          </cell>
          <cell r="B229">
            <v>1.3210100000000001E-2</v>
          </cell>
        </row>
        <row r="230">
          <cell r="A230" t="str">
            <v>ABELL_3854</v>
          </cell>
          <cell r="B230">
            <v>1.2777800000000001E-2</v>
          </cell>
        </row>
        <row r="231">
          <cell r="A231" t="str">
            <v>ABELL_3880</v>
          </cell>
          <cell r="B231">
            <v>2.3454900000000001E-2</v>
          </cell>
        </row>
        <row r="232">
          <cell r="A232" t="str">
            <v>ABELL_3911</v>
          </cell>
          <cell r="B232">
            <v>1.1511800000000001E-2</v>
          </cell>
        </row>
        <row r="233">
          <cell r="A233" t="str">
            <v>ABELL_3921</v>
          </cell>
          <cell r="B233">
            <v>1.0463999999999999E-2</v>
          </cell>
        </row>
        <row r="234">
          <cell r="A234" t="str">
            <v>ABELL_4023</v>
          </cell>
          <cell r="B234">
            <v>5.69268E-2</v>
          </cell>
        </row>
        <row r="235">
          <cell r="A235" t="str">
            <v>ABELL_4038</v>
          </cell>
          <cell r="B235">
            <v>2.3110599999999999E-2</v>
          </cell>
        </row>
        <row r="236">
          <cell r="A236" t="str">
            <v>ABELL_4059</v>
          </cell>
          <cell r="B236">
            <v>2.0697400000000001E-2</v>
          </cell>
        </row>
        <row r="237">
          <cell r="A237" t="str">
            <v>ABELL_S0295</v>
          </cell>
          <cell r="B237">
            <v>3.3931599999999999E-2</v>
          </cell>
        </row>
        <row r="238">
          <cell r="A238" t="str">
            <v>ABELL_S0463</v>
          </cell>
          <cell r="B238">
            <v>0</v>
          </cell>
        </row>
        <row r="239">
          <cell r="A239" t="str">
            <v>ABELL_S0520</v>
          </cell>
          <cell r="B239">
            <v>2.52547E-8</v>
          </cell>
        </row>
        <row r="240">
          <cell r="A240" t="str">
            <v>ABELL_S0579</v>
          </cell>
          <cell r="B240">
            <v>2.12357E-2</v>
          </cell>
        </row>
        <row r="241">
          <cell r="A241" t="str">
            <v>ABELL_S0592</v>
          </cell>
          <cell r="B241">
            <v>1.8227E-2</v>
          </cell>
        </row>
        <row r="242">
          <cell r="A242" t="str">
            <v>ABELL_S0780</v>
          </cell>
          <cell r="B242">
            <v>7.1499500000000004E-3</v>
          </cell>
        </row>
        <row r="243">
          <cell r="A243" t="str">
            <v>ABELL_S0821</v>
          </cell>
          <cell r="B243">
            <v>2.9646599999999999E-2</v>
          </cell>
        </row>
        <row r="244">
          <cell r="A244" t="str">
            <v>ABELL_S1063</v>
          </cell>
          <cell r="B244">
            <v>1.6686900000000001E-2</v>
          </cell>
        </row>
        <row r="245">
          <cell r="A245" t="str">
            <v>ABELL_S1101</v>
          </cell>
          <cell r="B245">
            <v>1.84987E-2</v>
          </cell>
        </row>
        <row r="246">
          <cell r="A246" t="str">
            <v>ABELL_S1150</v>
          </cell>
          <cell r="B246">
            <v>1.10484E-2</v>
          </cell>
        </row>
        <row r="247">
          <cell r="A247" t="str">
            <v>ACT-CL_J0235-5121</v>
          </cell>
          <cell r="B247">
            <v>0</v>
          </cell>
        </row>
        <row r="248">
          <cell r="A248" t="str">
            <v>ACT-CL_J0237-4939</v>
          </cell>
          <cell r="B248">
            <v>6.1690599999999996E-3</v>
          </cell>
        </row>
        <row r="249">
          <cell r="A249" t="str">
            <v>ACT-CL_J0304-4921</v>
          </cell>
          <cell r="B249">
            <v>0</v>
          </cell>
        </row>
        <row r="250">
          <cell r="A250" t="str">
            <v>ACT-CL_J0346-5438</v>
          </cell>
          <cell r="B250">
            <v>3.01512E-2</v>
          </cell>
        </row>
        <row r="251">
          <cell r="A251" t="str">
            <v>ACT-CL_J0616-5227</v>
          </cell>
          <cell r="B251">
            <v>1.3080199999999999E-6</v>
          </cell>
        </row>
        <row r="252">
          <cell r="A252" t="str">
            <v>ACT-CL_J0707-5522</v>
          </cell>
          <cell r="B252">
            <v>0</v>
          </cell>
        </row>
        <row r="253">
          <cell r="A253" t="str">
            <v>ARP_318</v>
          </cell>
          <cell r="B253">
            <v>2.7468599999999999E-2</v>
          </cell>
        </row>
        <row r="254">
          <cell r="A254" t="str">
            <v>AWM_4</v>
          </cell>
          <cell r="B254">
            <v>2.8126700000000001E-2</v>
          </cell>
        </row>
        <row r="255">
          <cell r="A255" t="str">
            <v>Abell_222</v>
          </cell>
          <cell r="B255">
            <v>1.1186E-2</v>
          </cell>
        </row>
        <row r="256">
          <cell r="A256" t="str">
            <v>Abell_223</v>
          </cell>
          <cell r="B256">
            <v>2.2197000000000001E-2</v>
          </cell>
        </row>
        <row r="257">
          <cell r="A257" t="str">
            <v>Abell_2276</v>
          </cell>
          <cell r="B257">
            <v>4.8898700000000003E-2</v>
          </cell>
        </row>
        <row r="258">
          <cell r="A258" t="str">
            <v>BLOX_J1023.6+0411.1</v>
          </cell>
          <cell r="B258">
            <v>4.0327100000000001E-3</v>
          </cell>
        </row>
        <row r="259">
          <cell r="A259" t="str">
            <v>BLOX_J1056.9-0337.3</v>
          </cell>
          <cell r="B259">
            <v>1.0518400000000001E-2</v>
          </cell>
        </row>
        <row r="260">
          <cell r="A260" t="str">
            <v>Bullet_Cluster</v>
          </cell>
          <cell r="B260">
            <v>5.4668399999999997E-3</v>
          </cell>
        </row>
        <row r="261">
          <cell r="A261" t="str">
            <v>CGCG_514-050</v>
          </cell>
          <cell r="B261">
            <v>9.0381000000000003E-3</v>
          </cell>
        </row>
        <row r="262">
          <cell r="A262" t="str">
            <v>CIZA_J0107.7+5408</v>
          </cell>
          <cell r="B262">
            <v>0.112978</v>
          </cell>
        </row>
        <row r="263">
          <cell r="A263" t="str">
            <v>CIZA_J0616.3-2156</v>
          </cell>
          <cell r="B263">
            <v>1.1631900000000001E-2</v>
          </cell>
        </row>
        <row r="264">
          <cell r="A264" t="str">
            <v>CIZA_J1804.4+1002</v>
          </cell>
          <cell r="B264">
            <v>6.5450499999999995E-2</v>
          </cell>
        </row>
        <row r="265">
          <cell r="A265" t="str">
            <v>CIZA_J1938.3+5409</v>
          </cell>
          <cell r="B265">
            <v>6.2392400000000001E-2</v>
          </cell>
        </row>
        <row r="266">
          <cell r="A266" t="str">
            <v>CIZA_J2242.8+5301</v>
          </cell>
          <cell r="B266">
            <v>5.6807999999999997E-2</v>
          </cell>
        </row>
        <row r="267">
          <cell r="A267" t="str">
            <v>CXOU_J052215-481816</v>
          </cell>
          <cell r="B267">
            <v>0</v>
          </cell>
        </row>
        <row r="268">
          <cell r="A268" t="str">
            <v>Centaurus_Cluster</v>
          </cell>
          <cell r="B268">
            <v>4.2310500000000001E-2</v>
          </cell>
        </row>
        <row r="269">
          <cell r="A269" t="str">
            <v>ClG_1137.5+6625</v>
          </cell>
          <cell r="B269">
            <v>4.9347000000000002E-2</v>
          </cell>
        </row>
        <row r="270">
          <cell r="A270" t="str">
            <v>ClG_2153.8+3746</v>
          </cell>
          <cell r="B270">
            <v>9.0903100000000001E-2</v>
          </cell>
        </row>
        <row r="271">
          <cell r="A271" t="str">
            <v>Cl_0016+16</v>
          </cell>
          <cell r="B271">
            <v>9.4412899999999998E-3</v>
          </cell>
        </row>
        <row r="272">
          <cell r="A272" t="str">
            <v>Cygnus_A</v>
          </cell>
          <cell r="B272">
            <v>0</v>
          </cell>
        </row>
        <row r="273">
          <cell r="A273" t="str">
            <v>ESO3060170-A</v>
          </cell>
          <cell r="B273">
            <v>1.44884E-2</v>
          </cell>
        </row>
        <row r="274">
          <cell r="A274" t="str">
            <v>ESO_351-_G_021</v>
          </cell>
          <cell r="B274">
            <v>8.4286600000000003E-2</v>
          </cell>
        </row>
        <row r="275">
          <cell r="A275" t="str">
            <v>ESO_552-_G_020</v>
          </cell>
          <cell r="B275">
            <v>3.3909399999999999E-2</v>
          </cell>
        </row>
        <row r="276">
          <cell r="A276" t="str">
            <v>FBQS_J074417.4+375317</v>
          </cell>
          <cell r="B276">
            <v>0</v>
          </cell>
        </row>
        <row r="277">
          <cell r="A277" t="str">
            <v>Fornax_Cluster</v>
          </cell>
          <cell r="B277">
            <v>5.54891E-2</v>
          </cell>
        </row>
        <row r="278">
          <cell r="A278" t="str">
            <v>G113.82+44.35</v>
          </cell>
          <cell r="B278">
            <v>1.48183E-2</v>
          </cell>
        </row>
        <row r="279">
          <cell r="A279" t="str">
            <v>G115.71+17.52</v>
          </cell>
          <cell r="B279">
            <v>0.11631900000000001</v>
          </cell>
        </row>
        <row r="280">
          <cell r="A280" t="str">
            <v>G139.59+24.18</v>
          </cell>
          <cell r="B280">
            <v>4.4243499999999998E-2</v>
          </cell>
        </row>
        <row r="281">
          <cell r="A281" t="str">
            <v>G345.40-39.34</v>
          </cell>
          <cell r="B281">
            <v>1.0368799999999999E-2</v>
          </cell>
        </row>
        <row r="282">
          <cell r="A282" t="str">
            <v>GALEX_J094712.4+762313</v>
          </cell>
          <cell r="B282">
            <v>2.2609299999999999E-2</v>
          </cell>
        </row>
        <row r="283">
          <cell r="A283" t="str">
            <v>GMBCG_J029.95560-08.83299</v>
          </cell>
          <cell r="B283">
            <v>1.1839499999999999E-2</v>
          </cell>
        </row>
        <row r="284">
          <cell r="A284" t="str">
            <v>GMBCG_J179.81192+49.79669</v>
          </cell>
          <cell r="B284">
            <v>6.5291799999999997E-2</v>
          </cell>
        </row>
        <row r="285">
          <cell r="A285" t="str">
            <v>GMBCG_J215.94948+24.07846</v>
          </cell>
          <cell r="B285">
            <v>2.9505800000000001E-4</v>
          </cell>
        </row>
        <row r="286">
          <cell r="A286" t="str">
            <v>HCG_037</v>
          </cell>
          <cell r="B286">
            <v>4.8992399999999998E-2</v>
          </cell>
        </row>
        <row r="287">
          <cell r="A287" t="str">
            <v>HCG_042</v>
          </cell>
          <cell r="B287">
            <v>0.13622500000000001</v>
          </cell>
        </row>
        <row r="288">
          <cell r="A288" t="str">
            <v>HCG_051</v>
          </cell>
          <cell r="B288">
            <v>6.6197900000000004E-2</v>
          </cell>
        </row>
        <row r="289">
          <cell r="A289" t="str">
            <v>HCG_059</v>
          </cell>
          <cell r="B289">
            <v>0</v>
          </cell>
        </row>
        <row r="290">
          <cell r="A290" t="str">
            <v>HCG_097</v>
          </cell>
          <cell r="B290">
            <v>0.139131</v>
          </cell>
        </row>
        <row r="291">
          <cell r="A291" t="str">
            <v>Hercules_A</v>
          </cell>
          <cell r="B291">
            <v>0</v>
          </cell>
        </row>
        <row r="292">
          <cell r="A292" t="str">
            <v>Hydra_A</v>
          </cell>
          <cell r="B292">
            <v>9.9021799999999996E-4</v>
          </cell>
        </row>
        <row r="293">
          <cell r="A293" t="str">
            <v>Hydra_Cluster</v>
          </cell>
          <cell r="B293">
            <v>2.72073E-2</v>
          </cell>
        </row>
        <row r="294">
          <cell r="A294" t="str">
            <v>IC_1262</v>
          </cell>
          <cell r="B294">
            <v>8.6828900000000004E-3</v>
          </cell>
        </row>
        <row r="295">
          <cell r="A295" t="str">
            <v>IC_1365</v>
          </cell>
          <cell r="B295">
            <v>2.17685E-2</v>
          </cell>
        </row>
        <row r="296">
          <cell r="A296" t="str">
            <v>IC_1633</v>
          </cell>
          <cell r="B296">
            <v>0</v>
          </cell>
        </row>
        <row r="297">
          <cell r="A297" t="str">
            <v>IC_1880_GROUP</v>
          </cell>
          <cell r="B297">
            <v>6.1379999999999997E-2</v>
          </cell>
        </row>
        <row r="298">
          <cell r="A298" t="str">
            <v>III_Zw_054</v>
          </cell>
          <cell r="B298">
            <v>4.3490099999999997E-2</v>
          </cell>
        </row>
        <row r="299">
          <cell r="A299" t="str">
            <v>LCDCS_0829</v>
          </cell>
          <cell r="B299">
            <v>1.13299E-2</v>
          </cell>
        </row>
        <row r="300">
          <cell r="A300" t="str">
            <v>LCDCS_0954</v>
          </cell>
          <cell r="B300">
            <v>8.6392699999999992E-3</v>
          </cell>
        </row>
        <row r="301">
          <cell r="A301" t="str">
            <v>MACS0140.0-0555</v>
          </cell>
          <cell r="B301">
            <v>9.7241600000000008E-3</v>
          </cell>
        </row>
        <row r="302">
          <cell r="A302" t="str">
            <v>MACSJ1149.5+2223</v>
          </cell>
          <cell r="B302">
            <v>2.56749E-2</v>
          </cell>
        </row>
        <row r="303">
          <cell r="A303" t="str">
            <v>MACS_J0011.7-1523</v>
          </cell>
          <cell r="B303">
            <v>2.5302100000000001E-2</v>
          </cell>
        </row>
        <row r="304">
          <cell r="A304" t="str">
            <v>MACS_J0025.4-1222</v>
          </cell>
          <cell r="B304">
            <v>1.5140799999999999E-2</v>
          </cell>
        </row>
        <row r="305">
          <cell r="A305" t="str">
            <v>MACS_J0111.5+0855</v>
          </cell>
          <cell r="B305">
            <v>0</v>
          </cell>
        </row>
        <row r="306">
          <cell r="A306" t="str">
            <v>MACS_J0242.6-2132</v>
          </cell>
          <cell r="B306">
            <v>3.63734E-2</v>
          </cell>
        </row>
        <row r="307">
          <cell r="A307" t="str">
            <v>MACS_J0257-2325</v>
          </cell>
          <cell r="B307">
            <v>1.0500499999999999E-2</v>
          </cell>
        </row>
        <row r="308">
          <cell r="A308" t="str">
            <v>MACS_J0308.9+2645</v>
          </cell>
          <cell r="B308">
            <v>4.39125E-2</v>
          </cell>
        </row>
        <row r="309">
          <cell r="A309" t="str">
            <v>MACS_J0329.6-0211</v>
          </cell>
          <cell r="B309">
            <v>0</v>
          </cell>
        </row>
        <row r="310">
          <cell r="A310" t="str">
            <v>MACS_J0358.8-2955</v>
          </cell>
          <cell r="B310">
            <v>1.95595E-2</v>
          </cell>
        </row>
        <row r="311">
          <cell r="A311" t="str">
            <v>MACS_J0404.6+1109</v>
          </cell>
          <cell r="B311">
            <v>2.4137700000000002E-2</v>
          </cell>
        </row>
        <row r="312">
          <cell r="A312" t="str">
            <v>MACS_J0416.1-2403</v>
          </cell>
          <cell r="B312">
            <v>2.30257E-2</v>
          </cell>
        </row>
        <row r="313">
          <cell r="A313" t="str">
            <v>MACS_J0417.5-1154</v>
          </cell>
          <cell r="B313">
            <v>6.2510899999999999E-3</v>
          </cell>
        </row>
        <row r="314">
          <cell r="A314" t="str">
            <v>MACS_J0429.6-0253</v>
          </cell>
          <cell r="B314">
            <v>3.59713E-3</v>
          </cell>
        </row>
        <row r="315">
          <cell r="A315" t="str">
            <v>MACS_J0451.9+0006</v>
          </cell>
          <cell r="B315">
            <v>0</v>
          </cell>
        </row>
        <row r="316">
          <cell r="A316" t="str">
            <v>MACS_J0455.2+0657</v>
          </cell>
          <cell r="B316">
            <v>2.01067E-3</v>
          </cell>
        </row>
        <row r="317">
          <cell r="A317" t="str">
            <v>MACS_J0553.4-3342</v>
          </cell>
          <cell r="B317">
            <v>1.8157599999999999E-2</v>
          </cell>
        </row>
        <row r="318">
          <cell r="A318" t="str">
            <v>MACS_J0647.8+7015</v>
          </cell>
          <cell r="B318">
            <v>6.3591400000000006E-2</v>
          </cell>
        </row>
        <row r="319">
          <cell r="A319" t="str">
            <v>MACS_J0712.3+5931</v>
          </cell>
          <cell r="B319">
            <v>2.7925999999999998E-4</v>
          </cell>
        </row>
        <row r="320">
          <cell r="A320" t="str">
            <v>MACS_J0717+3745</v>
          </cell>
          <cell r="B320">
            <v>2.4603E-2</v>
          </cell>
        </row>
        <row r="321">
          <cell r="A321" t="str">
            <v>MACS_J0744.9+3927</v>
          </cell>
          <cell r="B321">
            <v>4.4623999999999997E-2</v>
          </cell>
        </row>
        <row r="322">
          <cell r="A322" t="str">
            <v>MACS_J0911.2+1746</v>
          </cell>
          <cell r="B322">
            <v>5.1242599999999999E-2</v>
          </cell>
        </row>
        <row r="323">
          <cell r="A323" t="str">
            <v>MACS_J0949.8+1708</v>
          </cell>
          <cell r="B323">
            <v>1.3050300000000001E-2</v>
          </cell>
        </row>
        <row r="324">
          <cell r="A324" t="str">
            <v>MACS_J1006.9+3200</v>
          </cell>
          <cell r="B324">
            <v>5.2053500000000003E-2</v>
          </cell>
        </row>
        <row r="325">
          <cell r="A325" t="str">
            <v>MACS_J1105.7-1014</v>
          </cell>
          <cell r="B325">
            <v>3.3457199999999999E-2</v>
          </cell>
        </row>
        <row r="326">
          <cell r="A326" t="str">
            <v>MACS_J1108.9+0906</v>
          </cell>
          <cell r="B326">
            <v>2.3570000000000001E-2</v>
          </cell>
        </row>
        <row r="327">
          <cell r="A327" t="str">
            <v>MACS_J1115.8+0129</v>
          </cell>
          <cell r="B327">
            <v>1.32418E-2</v>
          </cell>
        </row>
        <row r="328">
          <cell r="A328" t="str">
            <v>MACS_J1149.6+2223</v>
          </cell>
          <cell r="B328">
            <v>2.1784999999999999E-2</v>
          </cell>
        </row>
        <row r="329">
          <cell r="A329" t="str">
            <v>MACS_J1206.2-0847</v>
          </cell>
          <cell r="B329">
            <v>2.5418900000000001E-2</v>
          </cell>
        </row>
        <row r="330">
          <cell r="A330" t="str">
            <v>MACS_J1311.0-0311</v>
          </cell>
          <cell r="B330">
            <v>2.2018599999999999E-2</v>
          </cell>
        </row>
        <row r="331">
          <cell r="A331" t="str">
            <v>MACS_J1354.6+7715</v>
          </cell>
          <cell r="B331">
            <v>2.4578800000000001E-2</v>
          </cell>
        </row>
        <row r="332">
          <cell r="A332" t="str">
            <v>MACS_J1359.2-1929</v>
          </cell>
          <cell r="B332">
            <v>4.2491300000000003E-2</v>
          </cell>
        </row>
        <row r="333">
          <cell r="A333" t="str">
            <v>MACS_J1427.6-2521</v>
          </cell>
          <cell r="B333">
            <v>0</v>
          </cell>
        </row>
        <row r="334">
          <cell r="A334" t="str">
            <v>MACS_J1532.8+3021</v>
          </cell>
          <cell r="B334">
            <v>1.76093E-3</v>
          </cell>
        </row>
        <row r="335">
          <cell r="A335" t="str">
            <v>MACS_J1621.3+3810</v>
          </cell>
          <cell r="B335">
            <v>2.6372300000000001E-2</v>
          </cell>
        </row>
        <row r="336">
          <cell r="A336" t="str">
            <v>MACS_J1720.2+3536</v>
          </cell>
          <cell r="B336">
            <v>6.3628599999999997E-3</v>
          </cell>
        </row>
        <row r="337">
          <cell r="A337" t="str">
            <v>MACS_J1824.3+4309</v>
          </cell>
          <cell r="B337">
            <v>0</v>
          </cell>
        </row>
        <row r="338">
          <cell r="A338" t="str">
            <v>MACS_J1829.0+6913</v>
          </cell>
          <cell r="B338">
            <v>4.8009200000000002E-2</v>
          </cell>
        </row>
        <row r="339">
          <cell r="A339" t="str">
            <v>MACS_J1931.8-2635</v>
          </cell>
          <cell r="B339">
            <v>2.17965E-3</v>
          </cell>
        </row>
        <row r="340">
          <cell r="A340" t="str">
            <v>MACS_J2046.0-3430</v>
          </cell>
          <cell r="B340">
            <v>2.2793900000000001E-3</v>
          </cell>
        </row>
        <row r="341">
          <cell r="A341" t="str">
            <v>MACS_J2129-0741</v>
          </cell>
          <cell r="B341">
            <v>1.5893000000000001E-2</v>
          </cell>
        </row>
        <row r="342">
          <cell r="A342" t="str">
            <v>MACS_J2135-0102</v>
          </cell>
          <cell r="B342">
            <v>3.2016500000000003E-2</v>
          </cell>
        </row>
        <row r="343">
          <cell r="A343" t="str">
            <v>MACS_J2140.2-2339</v>
          </cell>
          <cell r="B343">
            <v>1.0792299999999999E-2</v>
          </cell>
        </row>
        <row r="344">
          <cell r="A344" t="str">
            <v>MACS_J2214-1359</v>
          </cell>
          <cell r="B344">
            <v>2.2917E-2</v>
          </cell>
        </row>
        <row r="345">
          <cell r="A345" t="str">
            <v>MACS_J2229.8-2756</v>
          </cell>
          <cell r="B345">
            <v>1.58867E-2</v>
          </cell>
        </row>
        <row r="346">
          <cell r="A346" t="str">
            <v>MACS_J2245.0+2637</v>
          </cell>
          <cell r="B346">
            <v>2.5954600000000001E-2</v>
          </cell>
        </row>
        <row r="347">
          <cell r="A347" t="str">
            <v>MCXC_J0027.8+2616</v>
          </cell>
          <cell r="B347">
            <v>1.79191E-2</v>
          </cell>
        </row>
        <row r="348">
          <cell r="A348" t="str">
            <v>MCXC_J0035.4-2015</v>
          </cell>
          <cell r="B348">
            <v>1.6140700000000001E-2</v>
          </cell>
        </row>
        <row r="349">
          <cell r="A349" t="str">
            <v>MCXC_J0142.0+2131</v>
          </cell>
          <cell r="B349">
            <v>2.9847699999999999E-3</v>
          </cell>
        </row>
        <row r="350">
          <cell r="A350" t="str">
            <v>MCXC_J0152.5-2853</v>
          </cell>
          <cell r="B350">
            <v>4.2265799999999997E-3</v>
          </cell>
        </row>
        <row r="351">
          <cell r="A351" t="str">
            <v>MCXC_J0220.9-3829</v>
          </cell>
          <cell r="B351">
            <v>2.6325100000000001E-2</v>
          </cell>
        </row>
        <row r="352">
          <cell r="A352" t="str">
            <v>MCXC_J0301.6+0155</v>
          </cell>
          <cell r="B352">
            <v>1.37409E-2</v>
          </cell>
        </row>
        <row r="353">
          <cell r="A353" t="str">
            <v>MCXC_J0303.7-7752</v>
          </cell>
          <cell r="B353">
            <v>5.0224499999999998E-2</v>
          </cell>
        </row>
        <row r="354">
          <cell r="A354" t="str">
            <v>MCXC_J0331.1-2100</v>
          </cell>
          <cell r="B354">
            <v>3.1478399999999997E-2</v>
          </cell>
        </row>
        <row r="355">
          <cell r="A355" t="str">
            <v>MCXC_J0338.6+0958</v>
          </cell>
          <cell r="B355">
            <v>5.91859E-2</v>
          </cell>
        </row>
        <row r="356">
          <cell r="A356" t="str">
            <v>MCXC_J0340.8-4542</v>
          </cell>
          <cell r="B356">
            <v>2.0414700000000001E-2</v>
          </cell>
        </row>
        <row r="357">
          <cell r="A357" t="str">
            <v>MCXC_J0352.9+1941</v>
          </cell>
          <cell r="B357">
            <v>2.22586E-2</v>
          </cell>
        </row>
        <row r="358">
          <cell r="A358" t="str">
            <v>MCXC_J0419.6+0224</v>
          </cell>
          <cell r="B358">
            <v>2.4321200000000001E-2</v>
          </cell>
        </row>
        <row r="359">
          <cell r="A359" t="str">
            <v>MCXC_J0425.8-0833</v>
          </cell>
          <cell r="B359">
            <v>6.6646800000000006E-2</v>
          </cell>
        </row>
        <row r="360">
          <cell r="A360" t="str">
            <v>MCXC_J0437.1+0043</v>
          </cell>
          <cell r="B360">
            <v>1.3638699999999999E-7</v>
          </cell>
        </row>
        <row r="361">
          <cell r="A361" t="str">
            <v>MCXC_J0439.0+0520</v>
          </cell>
          <cell r="B361">
            <v>3.6610700000000003E-2</v>
          </cell>
        </row>
        <row r="362">
          <cell r="A362" t="str">
            <v>MCXC_J0439.0+0715</v>
          </cell>
          <cell r="B362">
            <v>0</v>
          </cell>
        </row>
        <row r="363">
          <cell r="A363" t="str">
            <v>MCXC_J0443.1+0210</v>
          </cell>
          <cell r="B363">
            <v>7.9422199999999998E-2</v>
          </cell>
        </row>
        <row r="364">
          <cell r="A364" t="str">
            <v>MCXC_J0454.1-0300</v>
          </cell>
          <cell r="B364">
            <v>0</v>
          </cell>
        </row>
        <row r="365">
          <cell r="A365" t="str">
            <v>MCXC_J0510.7-0801</v>
          </cell>
          <cell r="B365">
            <v>2.20009E-2</v>
          </cell>
        </row>
        <row r="366">
          <cell r="A366" t="str">
            <v>MCXC_J0520.7-1328</v>
          </cell>
          <cell r="B366">
            <v>0</v>
          </cell>
        </row>
        <row r="367">
          <cell r="A367" t="str">
            <v>MCXC_J0528.2-2942</v>
          </cell>
          <cell r="B367">
            <v>3.8339100000000001E-2</v>
          </cell>
        </row>
        <row r="368">
          <cell r="A368" t="str">
            <v>MCXC_J0532.9-3701</v>
          </cell>
          <cell r="B368">
            <v>3.4539899999999998E-2</v>
          </cell>
        </row>
        <row r="369">
          <cell r="A369" t="str">
            <v>MCXC_J0547.0-3904</v>
          </cell>
          <cell r="B369">
            <v>0</v>
          </cell>
        </row>
        <row r="370">
          <cell r="A370" t="str">
            <v>MCXC_J0819.6+6336</v>
          </cell>
          <cell r="B370">
            <v>3.0329700000000001E-2</v>
          </cell>
        </row>
        <row r="371">
          <cell r="A371" t="str">
            <v>MCXC_J1000.5+4409</v>
          </cell>
          <cell r="B371">
            <v>2.03582E-2</v>
          </cell>
        </row>
        <row r="372">
          <cell r="A372" t="str">
            <v>MCXC_J1010.5-1239</v>
          </cell>
          <cell r="B372">
            <v>0</v>
          </cell>
        </row>
        <row r="373">
          <cell r="A373" t="str">
            <v>MCXC_J1022.0+3830</v>
          </cell>
          <cell r="B373">
            <v>1.2800300000000001E-2</v>
          </cell>
        </row>
        <row r="374">
          <cell r="A374" t="str">
            <v>MCXC_J1053.7+5452</v>
          </cell>
          <cell r="B374">
            <v>6.9241800000000006E-2</v>
          </cell>
        </row>
        <row r="375">
          <cell r="A375" t="str">
            <v>MCXC_J1130.0+3637</v>
          </cell>
          <cell r="B375">
            <v>4.0414899999999997E-2</v>
          </cell>
        </row>
        <row r="376">
          <cell r="A376" t="str">
            <v>MCXC_J1215.4-3900</v>
          </cell>
          <cell r="B376">
            <v>6.9181800000000002E-2</v>
          </cell>
        </row>
        <row r="377">
          <cell r="A377" t="str">
            <v>MCXC_J1234.2+0947</v>
          </cell>
          <cell r="B377">
            <v>3.28344E-2</v>
          </cell>
        </row>
        <row r="378">
          <cell r="A378" t="str">
            <v>MCXC_J1252.5-3116</v>
          </cell>
          <cell r="B378">
            <v>5.5238299999999997E-2</v>
          </cell>
        </row>
        <row r="379">
          <cell r="A379" t="str">
            <v>MCXC_J1514.9-1523</v>
          </cell>
          <cell r="B379">
            <v>5.2091200000000002E-3</v>
          </cell>
        </row>
        <row r="380">
          <cell r="A380" t="str">
            <v>MCXC_J1524.2-3154</v>
          </cell>
          <cell r="B380">
            <v>4.5664099999999999E-2</v>
          </cell>
        </row>
        <row r="381">
          <cell r="A381" t="str">
            <v>MCXC_J1558.3-1410</v>
          </cell>
          <cell r="B381">
            <v>0</v>
          </cell>
        </row>
        <row r="382">
          <cell r="A382" t="str">
            <v>MCXC_J1623.5+2634</v>
          </cell>
          <cell r="B382">
            <v>3.11834E-2</v>
          </cell>
        </row>
        <row r="383">
          <cell r="A383" t="str">
            <v>MCXC_J1731.6+2251</v>
          </cell>
          <cell r="B383">
            <v>0</v>
          </cell>
        </row>
        <row r="384">
          <cell r="A384" t="str">
            <v>MCXC_J1750.2+3504</v>
          </cell>
          <cell r="B384">
            <v>3.1396599999999997E-2</v>
          </cell>
        </row>
        <row r="385">
          <cell r="A385" t="str">
            <v>MCXC_J1852.1+5711</v>
          </cell>
          <cell r="B385">
            <v>0</v>
          </cell>
        </row>
        <row r="386">
          <cell r="A386" t="str">
            <v>MCXC_J1853.9+6822</v>
          </cell>
          <cell r="B386">
            <v>0.107289</v>
          </cell>
        </row>
        <row r="387">
          <cell r="A387" t="str">
            <v>MCXC_J1947.3-7623</v>
          </cell>
          <cell r="B387">
            <v>7.4993299999999999E-2</v>
          </cell>
        </row>
        <row r="388">
          <cell r="A388" t="str">
            <v>MCXC_J1958.2-3011</v>
          </cell>
          <cell r="B388">
            <v>0</v>
          </cell>
        </row>
        <row r="389">
          <cell r="A389" t="str">
            <v>MCXC_J2003.5-2323</v>
          </cell>
          <cell r="B389">
            <v>0</v>
          </cell>
        </row>
        <row r="390">
          <cell r="A390" t="str">
            <v>MCXC_J2011.3-5725</v>
          </cell>
          <cell r="B390">
            <v>3.1999800000000002E-2</v>
          </cell>
        </row>
        <row r="391">
          <cell r="A391" t="str">
            <v>MCXC_J2014.8-2430</v>
          </cell>
          <cell r="B391">
            <v>6.1079799999999997E-2</v>
          </cell>
        </row>
        <row r="392">
          <cell r="A392" t="str">
            <v>MCXC_J2031.8-4037</v>
          </cell>
          <cell r="B392">
            <v>0</v>
          </cell>
        </row>
        <row r="393">
          <cell r="A393" t="str">
            <v>MCXC_J2049.9-3216</v>
          </cell>
          <cell r="B393">
            <v>1.90665E-2</v>
          </cell>
        </row>
        <row r="394">
          <cell r="A394" t="str">
            <v>MCXC_J2056.3-0437</v>
          </cell>
          <cell r="B394">
            <v>1.2638699999999999E-2</v>
          </cell>
        </row>
        <row r="395">
          <cell r="A395" t="str">
            <v>MCXC_J2129.6+0005</v>
          </cell>
          <cell r="B395">
            <v>0</v>
          </cell>
        </row>
        <row r="396">
          <cell r="A396" t="str">
            <v>MCXC_J2211.7-0349</v>
          </cell>
          <cell r="B396">
            <v>3.6271100000000001E-2</v>
          </cell>
        </row>
        <row r="397">
          <cell r="A397" t="str">
            <v>MCXC_J2218.6-3853</v>
          </cell>
          <cell r="B397">
            <v>6.4445199999999994E-2</v>
          </cell>
        </row>
        <row r="398">
          <cell r="A398" t="str">
            <v>MCXC_J2228.6+2036</v>
          </cell>
          <cell r="B398">
            <v>0</v>
          </cell>
        </row>
        <row r="399">
          <cell r="A399" t="str">
            <v>MCXC_J2311.5+0338</v>
          </cell>
          <cell r="B399">
            <v>3.1563899999999999E-2</v>
          </cell>
        </row>
        <row r="400">
          <cell r="A400" t="str">
            <v>MCXC_J2344.2-0422</v>
          </cell>
          <cell r="B400">
            <v>3.6272100000000002E-2</v>
          </cell>
        </row>
        <row r="401">
          <cell r="A401" t="str">
            <v>MESSIER_049</v>
          </cell>
          <cell r="B401">
            <v>7.8113500000000002E-2</v>
          </cell>
        </row>
        <row r="402">
          <cell r="A402" t="str">
            <v>MESSIER_087</v>
          </cell>
          <cell r="B402">
            <v>2.1826399999999999E-2</v>
          </cell>
        </row>
        <row r="403">
          <cell r="A403" t="str">
            <v>MESSIER_089</v>
          </cell>
          <cell r="B403">
            <v>6.4044900000000002E-2</v>
          </cell>
        </row>
        <row r="404">
          <cell r="A404" t="str">
            <v>MKW_03s</v>
          </cell>
          <cell r="B404">
            <v>1.1359899999999999E-2</v>
          </cell>
        </row>
        <row r="405">
          <cell r="A405" t="str">
            <v>MKW_04</v>
          </cell>
          <cell r="B405">
            <v>5.5866399999999997E-2</v>
          </cell>
        </row>
        <row r="406">
          <cell r="A406" t="str">
            <v>MZ_10451</v>
          </cell>
          <cell r="B406">
            <v>0.129465</v>
          </cell>
        </row>
        <row r="407">
          <cell r="A407" t="str">
            <v>MaxBCG_J016.70077+01.05926</v>
          </cell>
          <cell r="B407">
            <v>2.3353800000000002E-3</v>
          </cell>
        </row>
        <row r="408">
          <cell r="A408" t="str">
            <v>NGC4936-offset2</v>
          </cell>
          <cell r="B408">
            <v>9.7318199999999994E-2</v>
          </cell>
        </row>
        <row r="409">
          <cell r="A409" t="str">
            <v>NGC5419-offset1</v>
          </cell>
          <cell r="B409">
            <v>0</v>
          </cell>
        </row>
        <row r="410">
          <cell r="A410" t="str">
            <v>NGC5419-offset2</v>
          </cell>
          <cell r="B410">
            <v>0</v>
          </cell>
        </row>
        <row r="411">
          <cell r="A411" t="str">
            <v>NGC_0741_GROUP</v>
          </cell>
          <cell r="B411">
            <v>7.2518899999999997E-2</v>
          </cell>
        </row>
        <row r="412">
          <cell r="A412" t="str">
            <v>NGC_0766</v>
          </cell>
          <cell r="B412">
            <v>0.18073400000000001</v>
          </cell>
        </row>
        <row r="413">
          <cell r="A413" t="str">
            <v>NGC_0777</v>
          </cell>
          <cell r="B413">
            <v>0.23189499999999999</v>
          </cell>
        </row>
        <row r="414">
          <cell r="A414" t="str">
            <v>NGC_1132</v>
          </cell>
          <cell r="B414">
            <v>6.6672800000000004E-2</v>
          </cell>
        </row>
        <row r="415">
          <cell r="A415" t="str">
            <v>NGC_1275_Cluster</v>
          </cell>
          <cell r="B415">
            <v>0</v>
          </cell>
        </row>
        <row r="416">
          <cell r="A416" t="str">
            <v>NGC_1399</v>
          </cell>
          <cell r="B416">
            <v>7.4517799999999995E-2</v>
          </cell>
        </row>
        <row r="417">
          <cell r="A417" t="str">
            <v>NGC_2563_GROUP</v>
          </cell>
          <cell r="B417">
            <v>1.54661E-2</v>
          </cell>
        </row>
        <row r="418">
          <cell r="A418" t="str">
            <v>NGC_3209</v>
          </cell>
          <cell r="B418">
            <v>0.19888500000000001</v>
          </cell>
        </row>
        <row r="419">
          <cell r="A419" t="str">
            <v>NGC_3402_GROUP</v>
          </cell>
          <cell r="B419">
            <v>0.108515</v>
          </cell>
        </row>
        <row r="420">
          <cell r="A420" t="str">
            <v>NGC_3551</v>
          </cell>
          <cell r="B420">
            <v>2.06847E-2</v>
          </cell>
        </row>
        <row r="421">
          <cell r="A421" t="str">
            <v>NGC_3557</v>
          </cell>
          <cell r="B421">
            <v>0</v>
          </cell>
        </row>
        <row r="422">
          <cell r="A422" t="str">
            <v>NGC_4104_GROUP</v>
          </cell>
          <cell r="B422">
            <v>5.0878300000000001E-2</v>
          </cell>
        </row>
        <row r="423">
          <cell r="A423" t="str">
            <v>NGC_4325_GROUP</v>
          </cell>
          <cell r="B423">
            <v>0.113514</v>
          </cell>
        </row>
        <row r="424">
          <cell r="A424" t="str">
            <v>NGC_4636</v>
          </cell>
          <cell r="B424">
            <v>7.6427300000000004E-2</v>
          </cell>
        </row>
        <row r="425">
          <cell r="A425" t="str">
            <v>NGC_4759_GROUP</v>
          </cell>
          <cell r="B425">
            <v>0.12620600000000001</v>
          </cell>
        </row>
        <row r="426">
          <cell r="A426" t="str">
            <v>NGC_4782-3</v>
          </cell>
          <cell r="B426">
            <v>0</v>
          </cell>
        </row>
        <row r="427">
          <cell r="A427" t="str">
            <v>NGC_4839</v>
          </cell>
          <cell r="B427">
            <v>1.0569E-2</v>
          </cell>
        </row>
        <row r="428">
          <cell r="A428" t="str">
            <v>NGC_5044</v>
          </cell>
          <cell r="B428">
            <v>0.105237</v>
          </cell>
        </row>
        <row r="429">
          <cell r="A429" t="str">
            <v>NGC_5098_GROUP</v>
          </cell>
          <cell r="B429">
            <v>5.8003899999999997E-2</v>
          </cell>
        </row>
        <row r="430">
          <cell r="A430" t="str">
            <v>NGC_5129</v>
          </cell>
          <cell r="B430">
            <v>4.4239199999999999E-2</v>
          </cell>
        </row>
        <row r="431">
          <cell r="A431" t="str">
            <v>NGC_5171</v>
          </cell>
          <cell r="B431">
            <v>2.01479E-2</v>
          </cell>
        </row>
        <row r="432">
          <cell r="A432" t="str">
            <v>NGC_5846</v>
          </cell>
          <cell r="B432">
            <v>0.13988</v>
          </cell>
        </row>
        <row r="433">
          <cell r="A433" t="str">
            <v>NGC_6269</v>
          </cell>
          <cell r="B433">
            <v>4.1794999999999999E-2</v>
          </cell>
        </row>
        <row r="434">
          <cell r="A434" t="str">
            <v>NGC_6338</v>
          </cell>
          <cell r="B434">
            <v>2.8200699999999999E-2</v>
          </cell>
        </row>
        <row r="435">
          <cell r="A435" t="str">
            <v>NGC_6482</v>
          </cell>
          <cell r="B435">
            <v>0.114802</v>
          </cell>
        </row>
        <row r="436">
          <cell r="A436" t="str">
            <v>NGC_6861</v>
          </cell>
          <cell r="B436">
            <v>2.19758E-8</v>
          </cell>
        </row>
        <row r="437">
          <cell r="A437" t="str">
            <v>NGC_6868</v>
          </cell>
          <cell r="B437">
            <v>2.9282099999999998E-2</v>
          </cell>
        </row>
        <row r="438">
          <cell r="A438" t="str">
            <v>NGC_7618</v>
          </cell>
          <cell r="B438">
            <v>0.14029800000000001</v>
          </cell>
        </row>
        <row r="439">
          <cell r="A439" t="str">
            <v>NSCS_J000619+105206</v>
          </cell>
          <cell r="B439">
            <v>1.9503800000000002E-2</v>
          </cell>
        </row>
        <row r="440">
          <cell r="A440" t="str">
            <v>NSCS_J011502+002441</v>
          </cell>
          <cell r="B440">
            <v>3.3912500000000002E-3</v>
          </cell>
        </row>
        <row r="441">
          <cell r="A441" t="str">
            <v>NSCS_J121831+401236</v>
          </cell>
          <cell r="B441">
            <v>5.7609699999999998E-3</v>
          </cell>
        </row>
        <row r="442">
          <cell r="A442" t="str">
            <v>NSCS_J122648+215157</v>
          </cell>
          <cell r="B442">
            <v>4.77823E-2</v>
          </cell>
        </row>
        <row r="443">
          <cell r="A443" t="str">
            <v>NSCS_J135021+094042</v>
          </cell>
          <cell r="B443">
            <v>1.06832E-2</v>
          </cell>
        </row>
        <row r="444">
          <cell r="A444" t="str">
            <v>NSCS_J144726+082824</v>
          </cell>
          <cell r="B444">
            <v>0</v>
          </cell>
        </row>
        <row r="445">
          <cell r="A445" t="str">
            <v>NSCS_J145715+222009</v>
          </cell>
          <cell r="B445">
            <v>2.1676999999999998E-2</v>
          </cell>
        </row>
        <row r="446">
          <cell r="A446" t="str">
            <v>NSCS_J150117+422152</v>
          </cell>
          <cell r="B446">
            <v>3.7659699999999997E-2</v>
          </cell>
        </row>
        <row r="447">
          <cell r="A447" t="str">
            <v>NSCS_J234339+001747</v>
          </cell>
          <cell r="B447">
            <v>0</v>
          </cell>
        </row>
        <row r="448">
          <cell r="A448" t="str">
            <v>NSC_J084254+292723</v>
          </cell>
          <cell r="B448">
            <v>1.5406899999999999E-2</v>
          </cell>
        </row>
        <row r="449">
          <cell r="A449" t="str">
            <v>NSC_J092017+303027</v>
          </cell>
          <cell r="B449">
            <v>1.31637E-2</v>
          </cell>
        </row>
        <row r="450">
          <cell r="A450" t="str">
            <v>NSC_J121733+033929</v>
          </cell>
          <cell r="B450">
            <v>1.8513399999999999E-2</v>
          </cell>
        </row>
        <row r="451">
          <cell r="A451" t="str">
            <v>NSC_J125947+312215</v>
          </cell>
          <cell r="B451">
            <v>0.140986</v>
          </cell>
        </row>
        <row r="452">
          <cell r="A452" t="str">
            <v>NSC_J174715+451155</v>
          </cell>
          <cell r="B452">
            <v>7.8768099999999994E-2</v>
          </cell>
        </row>
        <row r="453">
          <cell r="A453" t="str">
            <v>Norma_Cluster</v>
          </cell>
          <cell r="B453">
            <v>0</v>
          </cell>
        </row>
        <row r="454">
          <cell r="A454" t="str">
            <v>OC02_J1701+6412</v>
          </cell>
          <cell r="B454">
            <v>0</v>
          </cell>
        </row>
        <row r="455">
          <cell r="A455" t="str">
            <v>OC06_J1119+2127</v>
          </cell>
          <cell r="B455">
            <v>0</v>
          </cell>
        </row>
        <row r="456">
          <cell r="A456" t="str">
            <v>Ophiuchus_CLUSTER</v>
          </cell>
          <cell r="B456">
            <v>0.13786100000000001</v>
          </cell>
        </row>
        <row r="457">
          <cell r="A457" t="str">
            <v>PKS_0745-19</v>
          </cell>
          <cell r="B457">
            <v>0</v>
          </cell>
        </row>
        <row r="458">
          <cell r="A458" t="str">
            <v>PLCKESZ_G167.65+17.64</v>
          </cell>
          <cell r="B458">
            <v>0</v>
          </cell>
        </row>
        <row r="459">
          <cell r="A459" t="str">
            <v>PLCKESZ_G264.41+19.48</v>
          </cell>
          <cell r="B459">
            <v>1.53294E-2</v>
          </cell>
        </row>
        <row r="460">
          <cell r="A460" t="str">
            <v>PLCKESZ_G286.58-31.25</v>
          </cell>
          <cell r="B460">
            <v>2.5744699999999999E-2</v>
          </cell>
        </row>
        <row r="461">
          <cell r="A461" t="str">
            <v>PLCKESZ_G292.51+21.98</v>
          </cell>
          <cell r="B461">
            <v>3.8263800000000001E-2</v>
          </cell>
        </row>
        <row r="462">
          <cell r="A462" t="str">
            <v>PLCKESZ_G304.84-41.42</v>
          </cell>
          <cell r="B462">
            <v>1.7415099999999999E-2</v>
          </cell>
        </row>
        <row r="463">
          <cell r="A463" t="str">
            <v>PLCKESZ_G337.09-25.97</v>
          </cell>
          <cell r="B463">
            <v>1.0243E-2</v>
          </cell>
        </row>
        <row r="464">
          <cell r="A464" t="str">
            <v>RBS_0653</v>
          </cell>
          <cell r="B464">
            <v>1.46394E-2</v>
          </cell>
        </row>
        <row r="465">
          <cell r="A465" t="str">
            <v>RCS_J2150-0442</v>
          </cell>
          <cell r="B465">
            <v>0</v>
          </cell>
        </row>
        <row r="466">
          <cell r="A466" t="str">
            <v>RCS_J2318.5+0034</v>
          </cell>
          <cell r="B466">
            <v>2.6258400000000001E-8</v>
          </cell>
        </row>
        <row r="467">
          <cell r="A467" t="str">
            <v>RCS_J2319.8+0038</v>
          </cell>
          <cell r="B467">
            <v>0</v>
          </cell>
        </row>
        <row r="468">
          <cell r="A468" t="str">
            <v>RCS_J2327-0204</v>
          </cell>
          <cell r="B468">
            <v>1.4047E-2</v>
          </cell>
        </row>
        <row r="469">
          <cell r="A469" t="str">
            <v>RDCS_J0542-4100</v>
          </cell>
          <cell r="B469">
            <v>0</v>
          </cell>
        </row>
        <row r="470">
          <cell r="A470" t="str">
            <v>RX_J0848.8+4455</v>
          </cell>
          <cell r="B470">
            <v>9.4532099999999994E-2</v>
          </cell>
        </row>
        <row r="471">
          <cell r="A471" t="str">
            <v>SC_1120-1202</v>
          </cell>
          <cell r="B471">
            <v>0</v>
          </cell>
        </row>
        <row r="472">
          <cell r="A472" t="str">
            <v>SC_1329-313</v>
          </cell>
          <cell r="B472">
            <v>0</v>
          </cell>
        </row>
        <row r="473">
          <cell r="A473" t="str">
            <v>SDSS-C4-DR3_3018</v>
          </cell>
          <cell r="B473">
            <v>1.7433500000000001E-2</v>
          </cell>
        </row>
        <row r="474">
          <cell r="A474" t="str">
            <v>SDSS-C4-DR3_3144</v>
          </cell>
          <cell r="B474">
            <v>4.8881399999999998E-2</v>
          </cell>
        </row>
        <row r="475">
          <cell r="A475" t="str">
            <v>SDSS-C4_3062</v>
          </cell>
          <cell r="B475">
            <v>1.26315E-2</v>
          </cell>
        </row>
        <row r="476">
          <cell r="A476" t="str">
            <v>SDSS-C4_3072</v>
          </cell>
          <cell r="B476">
            <v>3.6312299999999999E-2</v>
          </cell>
        </row>
        <row r="477">
          <cell r="A477" t="str">
            <v>SDSSCGB_08842</v>
          </cell>
          <cell r="B477">
            <v>0</v>
          </cell>
        </row>
        <row r="478">
          <cell r="A478" t="str">
            <v>SDSS_+137.3+11.0+0.18</v>
          </cell>
          <cell r="B478">
            <v>2.3374800000000001E-2</v>
          </cell>
        </row>
        <row r="479">
          <cell r="A479" t="str">
            <v>SDSS_CE_J170.688583+01.106133</v>
          </cell>
          <cell r="B479">
            <v>1.33884E-2</v>
          </cell>
        </row>
        <row r="480">
          <cell r="A480" t="str">
            <v>SDSS_CE_J198.070190+00.996231</v>
          </cell>
          <cell r="B480">
            <v>2.9738199999999999E-2</v>
          </cell>
        </row>
        <row r="481">
          <cell r="A481" t="str">
            <v>SDSS_J015021.27-100530.5_GROUP</v>
          </cell>
          <cell r="B481">
            <v>4.9187500000000002E-2</v>
          </cell>
        </row>
        <row r="482">
          <cell r="A482" t="str">
            <v>SDSS_J1029+2623</v>
          </cell>
          <cell r="B482">
            <v>1.6656899999999999E-2</v>
          </cell>
        </row>
        <row r="483">
          <cell r="A483" t="str">
            <v>SDSS_J1115+5319_CLUSTER</v>
          </cell>
          <cell r="B483">
            <v>4.0225499999999997E-2</v>
          </cell>
        </row>
        <row r="484">
          <cell r="A484" t="str">
            <v>SPT-CLJ0013-4906</v>
          </cell>
          <cell r="B484">
            <v>0</v>
          </cell>
        </row>
        <row r="485">
          <cell r="A485" t="str">
            <v>SPT-CLJ0014-4952</v>
          </cell>
          <cell r="B485">
            <v>0</v>
          </cell>
        </row>
        <row r="486">
          <cell r="A486" t="str">
            <v>SPT-CLJ0058-6145</v>
          </cell>
          <cell r="B486">
            <v>0</v>
          </cell>
        </row>
        <row r="487">
          <cell r="A487" t="str">
            <v>SPT-CLJ0106-5943</v>
          </cell>
          <cell r="B487">
            <v>1.36385E-2</v>
          </cell>
        </row>
        <row r="488">
          <cell r="A488" t="str">
            <v>SPT-CLJ0123-4821</v>
          </cell>
          <cell r="B488">
            <v>2.17941E-2</v>
          </cell>
        </row>
        <row r="489">
          <cell r="A489" t="str">
            <v>SPT-CLJ0151-5954</v>
          </cell>
          <cell r="B489">
            <v>0.115214</v>
          </cell>
        </row>
        <row r="490">
          <cell r="A490" t="str">
            <v>SPT-CLJ0156-5541</v>
          </cell>
          <cell r="B490">
            <v>0.13734399999999999</v>
          </cell>
        </row>
        <row r="491">
          <cell r="A491" t="str">
            <v>SPT-CLJ0200-4852</v>
          </cell>
          <cell r="B491">
            <v>2.5242299999999999E-2</v>
          </cell>
        </row>
        <row r="492">
          <cell r="A492" t="str">
            <v>SPT-CLJ0243-5930</v>
          </cell>
          <cell r="B492">
            <v>1.95438E-2</v>
          </cell>
        </row>
        <row r="493">
          <cell r="A493" t="str">
            <v>SPT-CLJ0252-4824</v>
          </cell>
          <cell r="B493">
            <v>4.84891E-2</v>
          </cell>
        </row>
        <row r="494">
          <cell r="A494" t="str">
            <v>SPT-CLJ0256-5617</v>
          </cell>
          <cell r="B494">
            <v>3.83162E-3</v>
          </cell>
        </row>
        <row r="495">
          <cell r="A495" t="str">
            <v>SPT-CLJ0307-5042</v>
          </cell>
          <cell r="B495">
            <v>5.22636E-2</v>
          </cell>
        </row>
        <row r="496">
          <cell r="A496" t="str">
            <v>SPT-CLJ0307-6225</v>
          </cell>
          <cell r="B496">
            <v>2.4169699999999999E-2</v>
          </cell>
        </row>
        <row r="497">
          <cell r="A497" t="str">
            <v>SPT-CLJ0310-4647</v>
          </cell>
          <cell r="B497">
            <v>0</v>
          </cell>
        </row>
        <row r="498">
          <cell r="A498" t="str">
            <v>SPT-CLJ0324-6236</v>
          </cell>
          <cell r="B498">
            <v>5.8788300000000002E-2</v>
          </cell>
        </row>
        <row r="499">
          <cell r="A499" t="str">
            <v>SPT-CLJ0334-4659</v>
          </cell>
          <cell r="B499">
            <v>9.1055800000000003E-3</v>
          </cell>
        </row>
        <row r="500">
          <cell r="A500" t="str">
            <v>SPT-CLJ0348-4515</v>
          </cell>
          <cell r="B500">
            <v>7.2345400000000004E-2</v>
          </cell>
        </row>
        <row r="501">
          <cell r="A501" t="str">
            <v>SPT-CLJ0352-5647</v>
          </cell>
          <cell r="B501">
            <v>0</v>
          </cell>
        </row>
        <row r="502">
          <cell r="A502" t="str">
            <v>SPT-CLJ0426-5455</v>
          </cell>
          <cell r="B502">
            <v>7.0278099999999996E-2</v>
          </cell>
        </row>
        <row r="503">
          <cell r="A503" t="str">
            <v>SPT-CLJ0441-4855</v>
          </cell>
          <cell r="B503">
            <v>1.42144E-2</v>
          </cell>
        </row>
        <row r="504">
          <cell r="A504" t="str">
            <v>SPT-CLJ0449-4901</v>
          </cell>
          <cell r="B504">
            <v>0.104564</v>
          </cell>
        </row>
        <row r="505">
          <cell r="A505" t="str">
            <v>SPT-CLJ0456-5116</v>
          </cell>
          <cell r="B505">
            <v>8.7806199999999998E-10</v>
          </cell>
        </row>
        <row r="506">
          <cell r="A506" t="str">
            <v>SPT-CLJ2034-5936</v>
          </cell>
          <cell r="B506">
            <v>2.4465600000000001E-2</v>
          </cell>
        </row>
        <row r="507">
          <cell r="A507" t="str">
            <v>SPT-CLJ2043-5035</v>
          </cell>
          <cell r="B507">
            <v>1.8956400000000001E-3</v>
          </cell>
        </row>
        <row r="508">
          <cell r="A508" t="str">
            <v>SPT-CLJ2106-5844</v>
          </cell>
          <cell r="B508">
            <v>4.7833899999999999E-2</v>
          </cell>
        </row>
        <row r="509">
          <cell r="A509" t="str">
            <v>SPT-CLJ2135-5726</v>
          </cell>
          <cell r="B509">
            <v>0</v>
          </cell>
        </row>
        <row r="510">
          <cell r="A510" t="str">
            <v>SPT-CLJ2145-5644</v>
          </cell>
          <cell r="B510">
            <v>0</v>
          </cell>
        </row>
        <row r="511">
          <cell r="A511" t="str">
            <v>SPT-CLJ2146-4633</v>
          </cell>
          <cell r="B511">
            <v>4.3033700000000001E-2</v>
          </cell>
        </row>
        <row r="512">
          <cell r="A512" t="str">
            <v>SPT-CLJ2148-6116</v>
          </cell>
          <cell r="B512">
            <v>0</v>
          </cell>
        </row>
        <row r="513">
          <cell r="A513" t="str">
            <v>SPT-CLJ2218-4519</v>
          </cell>
          <cell r="B513">
            <v>0</v>
          </cell>
        </row>
        <row r="514">
          <cell r="A514" t="str">
            <v>SPT-CLJ2222-4834</v>
          </cell>
          <cell r="B514">
            <v>0</v>
          </cell>
        </row>
        <row r="515">
          <cell r="A515" t="str">
            <v>SPT-CLJ2232-5959</v>
          </cell>
          <cell r="B515">
            <v>0</v>
          </cell>
        </row>
        <row r="516">
          <cell r="A516" t="str">
            <v>SPT-CLJ2233-5339</v>
          </cell>
          <cell r="B516">
            <v>0</v>
          </cell>
        </row>
        <row r="517">
          <cell r="A517" t="str">
            <v>SPT-CLJ2236-4555</v>
          </cell>
          <cell r="B517">
            <v>3.2225299999999998E-2</v>
          </cell>
        </row>
        <row r="518">
          <cell r="A518" t="str">
            <v>SPT-CLJ2245-6206</v>
          </cell>
          <cell r="B518">
            <v>3.1011799999999999E-2</v>
          </cell>
        </row>
        <row r="519">
          <cell r="A519" t="str">
            <v>SPT-CLJ2258-4044</v>
          </cell>
          <cell r="B519">
            <v>7.4277200000000002E-2</v>
          </cell>
        </row>
        <row r="520">
          <cell r="A520" t="str">
            <v>SPT-CLJ2259-6057</v>
          </cell>
          <cell r="B520">
            <v>1.5482499999999999E-3</v>
          </cell>
        </row>
        <row r="521">
          <cell r="A521" t="str">
            <v>SPT-CLJ2301-4023</v>
          </cell>
          <cell r="B521">
            <v>0</v>
          </cell>
        </row>
        <row r="522">
          <cell r="A522" t="str">
            <v>SPT-CLJ2306-6505</v>
          </cell>
          <cell r="B522">
            <v>0</v>
          </cell>
        </row>
        <row r="523">
          <cell r="A523" t="str">
            <v>SPT-CLJ2335-4544</v>
          </cell>
          <cell r="B523">
            <v>1.97307E-2</v>
          </cell>
        </row>
        <row r="524">
          <cell r="A524" t="str">
            <v>SPT-CLJ2345-6405</v>
          </cell>
          <cell r="B524">
            <v>0</v>
          </cell>
        </row>
        <row r="525">
          <cell r="A525" t="str">
            <v>SPT-CLJ2352-4657</v>
          </cell>
          <cell r="B525">
            <v>0.105465</v>
          </cell>
        </row>
        <row r="526">
          <cell r="A526" t="str">
            <v>SPT-CL_J0000-5748</v>
          </cell>
          <cell r="B526">
            <v>1.26915E-2</v>
          </cell>
        </row>
        <row r="527">
          <cell r="A527" t="str">
            <v>SPT-CL_J0102-4915</v>
          </cell>
          <cell r="B527">
            <v>6.4949600000000001E-8</v>
          </cell>
        </row>
        <row r="528">
          <cell r="A528" t="str">
            <v>SPT-CL_J0232-4421</v>
          </cell>
          <cell r="B528">
            <v>4.35754E-3</v>
          </cell>
        </row>
        <row r="529">
          <cell r="A529" t="str">
            <v>SPT-CL_J0234-5831</v>
          </cell>
          <cell r="B529">
            <v>0</v>
          </cell>
        </row>
        <row r="530">
          <cell r="A530" t="str">
            <v>SPT-CL_J0304-4401</v>
          </cell>
          <cell r="B530">
            <v>1.8638700000000001E-2</v>
          </cell>
        </row>
        <row r="531">
          <cell r="A531" t="str">
            <v>SPT-CL_J0417-4748</v>
          </cell>
          <cell r="B531">
            <v>2.8403899999999999E-2</v>
          </cell>
        </row>
        <row r="532">
          <cell r="A532" t="str">
            <v>SPT-CL_J0438-5419</v>
          </cell>
          <cell r="B532">
            <v>9.0864599999999993E-3</v>
          </cell>
        </row>
        <row r="533">
          <cell r="A533" t="str">
            <v>SPT-CL_J0509-5342</v>
          </cell>
          <cell r="B533">
            <v>0</v>
          </cell>
        </row>
        <row r="534">
          <cell r="A534" t="str">
            <v>SPT-CL_J0546-5345</v>
          </cell>
          <cell r="B534">
            <v>3.8461000000000002E-2</v>
          </cell>
        </row>
        <row r="535">
          <cell r="A535" t="str">
            <v>SPT-CL_J0551-5709</v>
          </cell>
          <cell r="B535">
            <v>0</v>
          </cell>
        </row>
        <row r="536">
          <cell r="A536" t="str">
            <v>SPT-CL_J0555-6405</v>
          </cell>
          <cell r="B536">
            <v>3.0816E-2</v>
          </cell>
        </row>
        <row r="537">
          <cell r="A537" t="str">
            <v>SPT-CL_J0559-5249</v>
          </cell>
          <cell r="B537">
            <v>5.9570999999999999E-2</v>
          </cell>
        </row>
        <row r="538">
          <cell r="A538" t="str">
            <v>SPT-CL_J0615-5746</v>
          </cell>
          <cell r="B538">
            <v>1.2831800000000001E-2</v>
          </cell>
        </row>
        <row r="539">
          <cell r="A539" t="str">
            <v>SPT-CL_J2023-5535</v>
          </cell>
          <cell r="B539">
            <v>2.18519E-2</v>
          </cell>
        </row>
        <row r="540">
          <cell r="A540" t="str">
            <v>SPT-CL_J2331-5051</v>
          </cell>
          <cell r="B540">
            <v>4.9263399999999999E-2</v>
          </cell>
        </row>
        <row r="541">
          <cell r="A541" t="str">
            <v>SPT-CL_J2337-5942</v>
          </cell>
          <cell r="B541">
            <v>2.8351500000000002E-2</v>
          </cell>
        </row>
        <row r="542">
          <cell r="A542" t="str">
            <v>SPT-CL_J2341-5119</v>
          </cell>
          <cell r="B542">
            <v>3.6811200000000002E-2</v>
          </cell>
        </row>
        <row r="543">
          <cell r="A543" t="str">
            <v>SPT-CL_J2342-5411</v>
          </cell>
          <cell r="B543">
            <v>4.9216599999999999E-2</v>
          </cell>
        </row>
        <row r="544">
          <cell r="A544" t="str">
            <v>SPT-CL_J2344-4243</v>
          </cell>
          <cell r="B544">
            <v>0</v>
          </cell>
        </row>
        <row r="545">
          <cell r="A545" t="str">
            <v>SPT-CL_J2355-5056</v>
          </cell>
          <cell r="B545">
            <v>3.6347299999999999E-2</v>
          </cell>
        </row>
        <row r="546">
          <cell r="A546" t="str">
            <v>SPT-CL_J2359-5009</v>
          </cell>
          <cell r="B546">
            <v>5.07511E-2</v>
          </cell>
        </row>
        <row r="547">
          <cell r="A547" t="str">
            <v>SSGC_081</v>
          </cell>
          <cell r="B547">
            <v>1.2522999999999999E-2</v>
          </cell>
        </row>
        <row r="548">
          <cell r="A548" t="str">
            <v>SpARCS_J161314+564930</v>
          </cell>
          <cell r="B548">
            <v>5.8355100000000003E-3</v>
          </cell>
        </row>
        <row r="549">
          <cell r="A549" t="str">
            <v>Stephans_Quintet</v>
          </cell>
          <cell r="B549">
            <v>0</v>
          </cell>
        </row>
        <row r="550">
          <cell r="A550" t="str">
            <v>UGC_00842</v>
          </cell>
          <cell r="B550">
            <v>3.9768199999999997E-2</v>
          </cell>
        </row>
        <row r="551">
          <cell r="A551" t="str">
            <v>UGC_02748</v>
          </cell>
          <cell r="B551">
            <v>5.38685E-2</v>
          </cell>
        </row>
        <row r="552">
          <cell r="A552" t="str">
            <v>UGC_05088_GROUP</v>
          </cell>
          <cell r="B552">
            <v>3.91045E-2</v>
          </cell>
        </row>
        <row r="553">
          <cell r="A553" t="str">
            <v>UGC_12491</v>
          </cell>
          <cell r="B553">
            <v>5.95498E-2</v>
          </cell>
        </row>
        <row r="554">
          <cell r="A554" t="str">
            <v>UGCl_120</v>
          </cell>
          <cell r="B554">
            <v>1.44432E-3</v>
          </cell>
        </row>
        <row r="555">
          <cell r="A555" t="str">
            <v>UGCl_398</v>
          </cell>
          <cell r="B555">
            <v>7.1989999999999998E-2</v>
          </cell>
        </row>
        <row r="556">
          <cell r="A556" t="str">
            <v>WARP_J0030.5+2618</v>
          </cell>
          <cell r="B556">
            <v>8.2034399999999993E-2</v>
          </cell>
        </row>
        <row r="557">
          <cell r="A557" t="str">
            <v>WARP_J1113.0-2615</v>
          </cell>
          <cell r="B557">
            <v>0</v>
          </cell>
        </row>
        <row r="558">
          <cell r="A558" t="str">
            <v>WARP_J1120.1+4318</v>
          </cell>
          <cell r="B558">
            <v>8.2444199999999995E-2</v>
          </cell>
        </row>
        <row r="559">
          <cell r="A559" t="str">
            <v>WARP_J1226.9+3332</v>
          </cell>
          <cell r="B559">
            <v>9.2871599999999992E-3</v>
          </cell>
        </row>
        <row r="560">
          <cell r="A560" t="str">
            <v>WARP_J1415.1+3612</v>
          </cell>
          <cell r="B560">
            <v>1.7264499999999999E-2</v>
          </cell>
        </row>
        <row r="561">
          <cell r="A561" t="str">
            <v>WARP_J1524.6+0957</v>
          </cell>
          <cell r="B561">
            <v>0</v>
          </cell>
        </row>
        <row r="562">
          <cell r="A562" t="str">
            <v>WARP_J2302.8+0843</v>
          </cell>
          <cell r="B562">
            <v>0</v>
          </cell>
        </row>
        <row r="563">
          <cell r="A563" t="str">
            <v>WBL_088</v>
          </cell>
          <cell r="B563">
            <v>3.03206E-2</v>
          </cell>
        </row>
        <row r="564">
          <cell r="A564" t="str">
            <v>WBL_154</v>
          </cell>
          <cell r="B564">
            <v>4.6749199999999998E-2</v>
          </cell>
        </row>
        <row r="565">
          <cell r="A565" t="str">
            <v>WBL_518</v>
          </cell>
          <cell r="B565">
            <v>9.0504899999999996E-3</v>
          </cell>
        </row>
        <row r="566">
          <cell r="A566" t="str">
            <v>WBL_671</v>
          </cell>
          <cell r="B566">
            <v>0.16533</v>
          </cell>
        </row>
        <row r="567">
          <cell r="A567" t="str">
            <v>WEIN_051</v>
          </cell>
          <cell r="B567">
            <v>9.3149599999999999E-2</v>
          </cell>
        </row>
        <row r="568">
          <cell r="A568" t="str">
            <v>WHL_J015916.9+002932</v>
          </cell>
          <cell r="B568">
            <v>3.2222700000000002E-3</v>
          </cell>
        </row>
        <row r="569">
          <cell r="A569" t="str">
            <v>WHL_J022825.9+003202</v>
          </cell>
          <cell r="B569">
            <v>0</v>
          </cell>
        </row>
        <row r="570">
          <cell r="A570" t="str">
            <v>WHL_J091834.3+295318</v>
          </cell>
          <cell r="B570">
            <v>0.19939399999999999</v>
          </cell>
        </row>
        <row r="571">
          <cell r="A571" t="str">
            <v>WHL_J092207.6+034558</v>
          </cell>
          <cell r="B571">
            <v>4.8068100000000002E-2</v>
          </cell>
        </row>
        <row r="572">
          <cell r="A572" t="str">
            <v>WHL_J093820.9+520243</v>
          </cell>
          <cell r="B572">
            <v>3.0931400000000001E-2</v>
          </cell>
        </row>
        <row r="573">
          <cell r="A573" t="str">
            <v>WHL_J094053.7+074425</v>
          </cell>
          <cell r="B573">
            <v>2.2007200000000001E-2</v>
          </cell>
        </row>
        <row r="574">
          <cell r="A574" t="str">
            <v>WHL_J102339.9+490838</v>
          </cell>
          <cell r="B574">
            <v>6.1193299999999999E-2</v>
          </cell>
        </row>
        <row r="575">
          <cell r="A575" t="str">
            <v>WHL_J114224.8+583205</v>
          </cell>
          <cell r="B575">
            <v>1.0647999999999999E-2</v>
          </cell>
        </row>
        <row r="576">
          <cell r="A576" t="str">
            <v>WHL_J121218.5+273255</v>
          </cell>
          <cell r="B576">
            <v>0</v>
          </cell>
        </row>
        <row r="577">
          <cell r="A577" t="str">
            <v>WHL_J122201.8+270934</v>
          </cell>
          <cell r="B577">
            <v>9.9530899999999995E-3</v>
          </cell>
        </row>
        <row r="578">
          <cell r="A578" t="str">
            <v>WHL_J125933.4+600409</v>
          </cell>
          <cell r="B578">
            <v>2.1037799999999999E-2</v>
          </cell>
        </row>
        <row r="579">
          <cell r="A579" t="str">
            <v>WHL_J130558.9+263048</v>
          </cell>
          <cell r="B579">
            <v>2.7578999999999999E-2</v>
          </cell>
        </row>
        <row r="580">
          <cell r="A580" t="str">
            <v>WHL_J131505.2+514902</v>
          </cell>
          <cell r="B580">
            <v>1.5392599999999999E-2</v>
          </cell>
        </row>
        <row r="581">
          <cell r="A581" t="str">
            <v>WHL_J134850.2+491801</v>
          </cell>
          <cell r="B581">
            <v>0</v>
          </cell>
        </row>
        <row r="582">
          <cell r="A582" t="str">
            <v>WHL_J135716.8+623249</v>
          </cell>
          <cell r="B582">
            <v>1.1099400000000001E-2</v>
          </cell>
        </row>
        <row r="583">
          <cell r="A583" t="str">
            <v>WHL_J135949.5+623047</v>
          </cell>
          <cell r="B583">
            <v>1.70311E-2</v>
          </cell>
        </row>
        <row r="584">
          <cell r="A584" t="str">
            <v>WHL_J141623.8+444528</v>
          </cell>
          <cell r="B584">
            <v>0</v>
          </cell>
        </row>
        <row r="585">
          <cell r="A585" t="str">
            <v>WHL_J142716.1+440730</v>
          </cell>
          <cell r="B585">
            <v>0</v>
          </cell>
        </row>
        <row r="586">
          <cell r="A586" t="str">
            <v>WHL_J150407.5-024816</v>
          </cell>
          <cell r="B586">
            <v>4.95197E-2</v>
          </cell>
        </row>
        <row r="587">
          <cell r="A587" t="str">
            <v>WHL_J224319.8-093530</v>
          </cell>
          <cell r="B587">
            <v>8.0857099999999994E-3</v>
          </cell>
        </row>
        <row r="588">
          <cell r="A588" t="str">
            <v>XMMU_J0954+1738</v>
          </cell>
          <cell r="B588">
            <v>1.89182E-2</v>
          </cell>
        </row>
        <row r="589">
          <cell r="A589" t="str">
            <v>XMMU_J1230.3+1339</v>
          </cell>
          <cell r="B589">
            <v>0</v>
          </cell>
        </row>
        <row r="590">
          <cell r="A590" t="str">
            <v>ZwCl_0008.8+5215</v>
          </cell>
          <cell r="B590">
            <v>5.7680099999999998E-2</v>
          </cell>
        </row>
        <row r="591">
          <cell r="A591" t="str">
            <v>ZwCl_0024.0+1652</v>
          </cell>
          <cell r="B591">
            <v>0</v>
          </cell>
        </row>
        <row r="592">
          <cell r="A592" t="str">
            <v>ZwCl_0040.8+2404</v>
          </cell>
          <cell r="B592">
            <v>1.59183E-2</v>
          </cell>
        </row>
        <row r="593">
          <cell r="A593" t="str">
            <v>ZwCl_0735.7+7421</v>
          </cell>
          <cell r="B593">
            <v>8.5717399999999996E-3</v>
          </cell>
        </row>
        <row r="594">
          <cell r="A594" t="str">
            <v>ZwCl_0806.5+2822</v>
          </cell>
          <cell r="B594">
            <v>8.8297800000000006E-3</v>
          </cell>
        </row>
        <row r="595">
          <cell r="A595" t="str">
            <v>ZwCl_0823.2+0425</v>
          </cell>
          <cell r="B595">
            <v>4.1439200000000002E-2</v>
          </cell>
        </row>
        <row r="596">
          <cell r="A596" t="str">
            <v>ZwCl_0847.2+3617</v>
          </cell>
          <cell r="B596">
            <v>0</v>
          </cell>
        </row>
        <row r="597">
          <cell r="A597" t="str">
            <v>ZwCl_0848.5+3341</v>
          </cell>
          <cell r="B597">
            <v>1.0122000000000001E-2</v>
          </cell>
        </row>
        <row r="598">
          <cell r="A598" t="str">
            <v>ZwCl_0857.9+2107</v>
          </cell>
          <cell r="B598">
            <v>0</v>
          </cell>
        </row>
        <row r="599">
          <cell r="A599" t="str">
            <v>ZwCl_0949.6+5207</v>
          </cell>
          <cell r="B599">
            <v>1.33011E-2</v>
          </cell>
        </row>
        <row r="600">
          <cell r="A600" t="str">
            <v>ZwCl_1006.1+1201</v>
          </cell>
          <cell r="B600">
            <v>3.1119899999999999E-2</v>
          </cell>
        </row>
        <row r="601">
          <cell r="A601" t="str">
            <v>ZwCl_1309.1+2216</v>
          </cell>
          <cell r="B601">
            <v>1.9914000000000001E-2</v>
          </cell>
        </row>
        <row r="602">
          <cell r="A602" t="str">
            <v>ZwCl_1742.1+3306</v>
          </cell>
          <cell r="B602">
            <v>3.0478499999999999E-2</v>
          </cell>
        </row>
        <row r="603">
          <cell r="A603" t="str">
            <v>_EAD2007__188</v>
          </cell>
          <cell r="B603">
            <v>8.9999200000000001E-2</v>
          </cell>
        </row>
        <row r="604">
          <cell r="A604" t="str">
            <v>_HB89__1821+643</v>
          </cell>
          <cell r="B604">
            <v>0</v>
          </cell>
        </row>
        <row r="605">
          <cell r="A605" t="str">
            <v>_SBV2004__RS_28</v>
          </cell>
          <cell r="B605">
            <v>7.2244000000000003E-2</v>
          </cell>
        </row>
        <row r="606">
          <cell r="A606" t="str">
            <v>a1750ss</v>
          </cell>
          <cell r="B606">
            <v>1.2748199999999999E-2</v>
          </cell>
        </row>
      </sheetData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le2" connectionId="1" xr16:uid="{29CCA1C2-2B88-0746-9400-B0E81562F31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B97E-9BC1-D749-A78C-36BC41732C52}">
  <dimension ref="A1:L535"/>
  <sheetViews>
    <sheetView tabSelected="1" workbookViewId="0">
      <selection sqref="A1:L535"/>
    </sheetView>
  </sheetViews>
  <sheetFormatPr baseColWidth="10" defaultRowHeight="16" x14ac:dyDescent="0.2"/>
  <sheetData>
    <row r="1" spans="1:12" x14ac:dyDescent="0.2">
      <c r="A1" t="s">
        <v>306</v>
      </c>
      <c r="B1" t="s">
        <v>307</v>
      </c>
      <c r="C1" t="s">
        <v>308</v>
      </c>
      <c r="D1" t="s">
        <v>742</v>
      </c>
      <c r="E1" t="s">
        <v>743</v>
      </c>
      <c r="F1" t="s">
        <v>309</v>
      </c>
      <c r="G1" t="s">
        <v>310</v>
      </c>
      <c r="H1" t="s">
        <v>311</v>
      </c>
      <c r="I1" t="s">
        <v>312</v>
      </c>
      <c r="J1" t="s">
        <v>835</v>
      </c>
      <c r="K1" t="s">
        <v>313</v>
      </c>
      <c r="L1" t="s">
        <v>854</v>
      </c>
    </row>
    <row r="2" spans="1:12" x14ac:dyDescent="0.2">
      <c r="B2" t="s">
        <v>314</v>
      </c>
      <c r="C2" t="s">
        <v>315</v>
      </c>
      <c r="D2" t="s">
        <v>316</v>
      </c>
      <c r="E2" t="s">
        <v>317</v>
      </c>
      <c r="F2" t="s">
        <v>317</v>
      </c>
      <c r="G2" t="s">
        <v>317</v>
      </c>
      <c r="H2" t="s">
        <v>318</v>
      </c>
      <c r="I2" t="s">
        <v>314</v>
      </c>
      <c r="L2" t="s">
        <v>315</v>
      </c>
    </row>
    <row r="3" spans="1:12" x14ac:dyDescent="0.2">
      <c r="A3" t="s">
        <v>319</v>
      </c>
      <c r="B3" t="s">
        <v>320</v>
      </c>
      <c r="C3" t="s">
        <v>321</v>
      </c>
      <c r="D3" t="s">
        <v>322</v>
      </c>
      <c r="E3" t="s">
        <v>322</v>
      </c>
      <c r="F3" t="s">
        <v>323</v>
      </c>
      <c r="G3" t="s">
        <v>324</v>
      </c>
      <c r="H3" t="s">
        <v>325</v>
      </c>
      <c r="I3" t="s">
        <v>326</v>
      </c>
      <c r="J3" t="s">
        <v>836</v>
      </c>
      <c r="K3" t="s">
        <v>837</v>
      </c>
      <c r="L3" t="s">
        <v>855</v>
      </c>
    </row>
    <row r="4" spans="1:12" x14ac:dyDescent="0.2">
      <c r="A4" t="s">
        <v>15</v>
      </c>
      <c r="B4">
        <v>4.9000000000000002E-2</v>
      </c>
      <c r="C4">
        <v>1.11E-2</v>
      </c>
      <c r="D4">
        <v>0.80400000000000005</v>
      </c>
      <c r="E4">
        <v>-35.933399999999999</v>
      </c>
      <c r="F4">
        <v>0.80400000000000005</v>
      </c>
      <c r="G4">
        <v>-35.933399999999999</v>
      </c>
      <c r="H4">
        <v>0.1</v>
      </c>
      <c r="I4" t="s">
        <v>327</v>
      </c>
      <c r="J4" t="s">
        <v>328</v>
      </c>
      <c r="K4" t="s">
        <v>329</v>
      </c>
      <c r="L4" s="4">
        <f>_xlfn.XLOOKUP(A4,[2]Int_NH!A:A,[2]Int_NH!B:B,"-",0)</f>
        <v>2.6116E-2</v>
      </c>
    </row>
    <row r="5" spans="1:12" x14ac:dyDescent="0.2">
      <c r="A5" t="s">
        <v>330</v>
      </c>
      <c r="B5">
        <v>0.16700000000000001</v>
      </c>
      <c r="C5">
        <v>5.7700000000000001E-2</v>
      </c>
      <c r="D5">
        <v>1.5845</v>
      </c>
      <c r="E5">
        <v>10.8643</v>
      </c>
      <c r="F5">
        <v>1.5845</v>
      </c>
      <c r="G5">
        <v>10.8643</v>
      </c>
      <c r="H5">
        <v>0</v>
      </c>
      <c r="I5" t="s">
        <v>327</v>
      </c>
      <c r="J5" t="s">
        <v>328</v>
      </c>
      <c r="K5">
        <v>12251</v>
      </c>
      <c r="L5" s="4">
        <f>_xlfn.XLOOKUP(A5,[2]Int_NH!A:A,[2]Int_NH!B:B,"-",0)</f>
        <v>1.9503800000000002E-2</v>
      </c>
    </row>
    <row r="6" spans="1:12" x14ac:dyDescent="0.2">
      <c r="A6" t="s">
        <v>16</v>
      </c>
      <c r="B6">
        <v>0.104</v>
      </c>
      <c r="C6">
        <v>0.20030000000000001</v>
      </c>
      <c r="D6">
        <v>2.8647</v>
      </c>
      <c r="E6">
        <v>52.526499999999999</v>
      </c>
      <c r="F6">
        <v>2.8395999999999999</v>
      </c>
      <c r="G6">
        <v>52.529200000000003</v>
      </c>
      <c r="H6">
        <v>56</v>
      </c>
      <c r="I6" t="s">
        <v>331</v>
      </c>
      <c r="J6" t="s">
        <v>328</v>
      </c>
      <c r="K6">
        <v>15318</v>
      </c>
      <c r="L6" s="4">
        <f>_xlfn.XLOOKUP(A6,[2]Int_NH!A:A,[2]Int_NH!B:B,"-",0)</f>
        <v>5.7680099999999998E-2</v>
      </c>
    </row>
    <row r="7" spans="1:12" x14ac:dyDescent="0.2">
      <c r="A7" t="s">
        <v>17</v>
      </c>
      <c r="B7">
        <v>0.378</v>
      </c>
      <c r="C7">
        <v>2.0400000000000001E-2</v>
      </c>
      <c r="D7">
        <v>2.9285999999999999</v>
      </c>
      <c r="E7">
        <v>-15.389200000000001</v>
      </c>
      <c r="F7">
        <v>2.9289999999999998</v>
      </c>
      <c r="G7">
        <v>-15.389099999999999</v>
      </c>
      <c r="H7">
        <v>1.4</v>
      </c>
      <c r="I7" t="s">
        <v>327</v>
      </c>
      <c r="J7" t="s">
        <v>328</v>
      </c>
      <c r="K7" t="s">
        <v>332</v>
      </c>
      <c r="L7" s="4">
        <f>_xlfn.XLOOKUP(A7,[2]Int_NH!A:A,[2]Int_NH!B:B,"-",0)</f>
        <v>2.5302100000000001E-2</v>
      </c>
    </row>
    <row r="8" spans="1:12" x14ac:dyDescent="0.2">
      <c r="A8" t="s">
        <v>333</v>
      </c>
      <c r="B8">
        <v>9.4E-2</v>
      </c>
      <c r="C8">
        <v>2.0299999999999999E-2</v>
      </c>
      <c r="D8">
        <v>3.4098000000000002</v>
      </c>
      <c r="E8">
        <v>-19.500499999999999</v>
      </c>
      <c r="F8">
        <v>3.4079000000000002</v>
      </c>
      <c r="G8">
        <v>-19.502500000000001</v>
      </c>
      <c r="H8">
        <v>9.8000000000000007</v>
      </c>
      <c r="I8" t="s">
        <v>331</v>
      </c>
      <c r="J8" t="s">
        <v>328</v>
      </c>
      <c r="K8">
        <v>4945</v>
      </c>
      <c r="L8" s="4">
        <f>_xlfn.XLOOKUP(A8,[2]Int_NH!A:A,[2]Int_NH!B:B,"-",0)</f>
        <v>1.6433E-2</v>
      </c>
    </row>
    <row r="9" spans="1:12" x14ac:dyDescent="0.2">
      <c r="A9" t="s">
        <v>18</v>
      </c>
      <c r="B9">
        <v>0.308</v>
      </c>
      <c r="C9">
        <v>1.61E-2</v>
      </c>
      <c r="D9">
        <v>3.5807000000000002</v>
      </c>
      <c r="E9">
        <v>-30.390899999999998</v>
      </c>
      <c r="F9">
        <v>3.5813999999999999</v>
      </c>
      <c r="G9">
        <v>-30.3917</v>
      </c>
      <c r="H9">
        <v>3.7</v>
      </c>
      <c r="I9" t="s">
        <v>327</v>
      </c>
      <c r="J9" t="s">
        <v>328</v>
      </c>
      <c r="K9" t="s">
        <v>334</v>
      </c>
      <c r="L9" s="4">
        <f>_xlfn.XLOOKUP(A9,[2]Int_NH!A:A,[2]Int_NH!B:B,"-",0)</f>
        <v>9.8971800000000002E-3</v>
      </c>
    </row>
    <row r="10" spans="1:12" x14ac:dyDescent="0.2">
      <c r="A10" t="s">
        <v>335</v>
      </c>
      <c r="B10">
        <v>0.752</v>
      </c>
      <c r="C10">
        <v>1.95E-2</v>
      </c>
      <c r="D10">
        <v>3.7037</v>
      </c>
      <c r="E10">
        <v>-49.883800000000001</v>
      </c>
      <c r="F10">
        <v>3.7037</v>
      </c>
      <c r="G10">
        <v>-49.883800000000001</v>
      </c>
      <c r="H10">
        <v>0</v>
      </c>
      <c r="I10" t="s">
        <v>327</v>
      </c>
      <c r="J10" t="s">
        <v>336</v>
      </c>
      <c r="K10">
        <v>13471</v>
      </c>
      <c r="L10" s="4">
        <f>_xlfn.XLOOKUP(A10,[2]Int_NH!A:A,[2]Int_NH!B:B,"-",0)</f>
        <v>0</v>
      </c>
    </row>
    <row r="11" spans="1:12" x14ac:dyDescent="0.2">
      <c r="A11" t="s">
        <v>19</v>
      </c>
      <c r="B11">
        <v>0.54100000000000004</v>
      </c>
      <c r="C11">
        <v>4.0500000000000001E-2</v>
      </c>
      <c r="D11">
        <v>4.6402000000000001</v>
      </c>
      <c r="E11">
        <v>16.4359</v>
      </c>
      <c r="F11">
        <v>4.6395999999999997</v>
      </c>
      <c r="G11">
        <v>16.436900000000001</v>
      </c>
      <c r="H11">
        <v>4.4000000000000004</v>
      </c>
      <c r="I11" t="s">
        <v>327</v>
      </c>
      <c r="J11" t="s">
        <v>328</v>
      </c>
      <c r="K11">
        <v>520</v>
      </c>
      <c r="L11" s="4">
        <f>_xlfn.XLOOKUP(A11,[2]Int_NH!A:A,[2]Int_NH!B:B,"-",0)</f>
        <v>9.4412899999999998E-3</v>
      </c>
    </row>
    <row r="12" spans="1:12" x14ac:dyDescent="0.2">
      <c r="A12" t="s">
        <v>337</v>
      </c>
      <c r="B12">
        <v>0.58399999999999996</v>
      </c>
      <c r="C12">
        <v>2.7E-2</v>
      </c>
      <c r="D12">
        <v>6.3737000000000004</v>
      </c>
      <c r="E12">
        <v>-12.376099999999999</v>
      </c>
      <c r="F12">
        <v>6.3737000000000004</v>
      </c>
      <c r="G12">
        <v>-12.376099999999999</v>
      </c>
      <c r="H12">
        <v>0</v>
      </c>
      <c r="I12" t="s">
        <v>327</v>
      </c>
      <c r="J12" t="s">
        <v>328</v>
      </c>
      <c r="K12" t="s">
        <v>338</v>
      </c>
      <c r="L12" s="4">
        <f>_xlfn.XLOOKUP(A12,[2]Int_NH!A:A,[2]Int_NH!B:B,"-",0)</f>
        <v>1.5140799999999999E-2</v>
      </c>
    </row>
    <row r="13" spans="1:12" x14ac:dyDescent="0.2">
      <c r="A13" t="s">
        <v>20</v>
      </c>
      <c r="B13">
        <v>0.39</v>
      </c>
      <c r="C13">
        <v>4.19E-2</v>
      </c>
      <c r="D13">
        <v>6.6498999999999997</v>
      </c>
      <c r="E13">
        <v>17.162600000000001</v>
      </c>
      <c r="F13">
        <v>6.6486999999999998</v>
      </c>
      <c r="G13">
        <v>17.161999999999999</v>
      </c>
      <c r="H13">
        <v>4.4000000000000004</v>
      </c>
      <c r="I13" t="s">
        <v>327</v>
      </c>
      <c r="J13" t="s">
        <v>336</v>
      </c>
      <c r="K13">
        <v>929</v>
      </c>
      <c r="L13" s="4">
        <f>_xlfn.XLOOKUP(A13,[2]Int_NH!A:A,[2]Int_NH!B:B,"-",0)</f>
        <v>0</v>
      </c>
    </row>
    <row r="14" spans="1:12" x14ac:dyDescent="0.2">
      <c r="A14" t="s">
        <v>339</v>
      </c>
      <c r="B14">
        <v>0.36699999999999999</v>
      </c>
      <c r="C14">
        <v>3.85E-2</v>
      </c>
      <c r="D14">
        <v>6.9382999999999999</v>
      </c>
      <c r="E14">
        <v>26.275600000000001</v>
      </c>
      <c r="F14">
        <v>6.9398</v>
      </c>
      <c r="G14">
        <v>26.273700000000002</v>
      </c>
      <c r="H14">
        <v>8.5</v>
      </c>
      <c r="I14" t="s">
        <v>331</v>
      </c>
      <c r="J14" t="s">
        <v>336</v>
      </c>
      <c r="K14" t="s">
        <v>340</v>
      </c>
      <c r="L14" s="4">
        <f>_xlfn.XLOOKUP(A14,[2]Int_NH!A:A,[2]Int_NH!B:B,"-",0)</f>
        <v>1.79191E-2</v>
      </c>
    </row>
    <row r="15" spans="1:12" x14ac:dyDescent="0.2">
      <c r="A15" t="s">
        <v>21</v>
      </c>
      <c r="B15">
        <v>0.41</v>
      </c>
      <c r="C15">
        <v>4.4600000000000001E-2</v>
      </c>
      <c r="D15">
        <v>7.0259999999999998</v>
      </c>
      <c r="E15">
        <v>-75.635800000000003</v>
      </c>
      <c r="F15">
        <v>7.0237999999999996</v>
      </c>
      <c r="G15">
        <v>-75.630099999999999</v>
      </c>
      <c r="H15">
        <v>20.8</v>
      </c>
      <c r="I15" t="s">
        <v>331</v>
      </c>
      <c r="J15" t="s">
        <v>328</v>
      </c>
      <c r="K15">
        <v>14390</v>
      </c>
      <c r="L15" s="4">
        <f>_xlfn.XLOOKUP(A15,[2]Int_NH!A:A,[2]Int_NH!B:B,"-",0)</f>
        <v>1.7415099999999999E-2</v>
      </c>
    </row>
    <row r="16" spans="1:12" x14ac:dyDescent="0.2">
      <c r="A16" t="s">
        <v>22</v>
      </c>
      <c r="B16">
        <v>0.5</v>
      </c>
      <c r="C16">
        <v>3.9300000000000002E-2</v>
      </c>
      <c r="D16">
        <v>7.6426999999999996</v>
      </c>
      <c r="E16">
        <v>26.302700000000002</v>
      </c>
      <c r="F16">
        <v>7.6412000000000004</v>
      </c>
      <c r="G16">
        <v>26.302700000000002</v>
      </c>
      <c r="H16">
        <v>4.9000000000000004</v>
      </c>
      <c r="I16" t="s">
        <v>327</v>
      </c>
      <c r="J16" t="s">
        <v>336</v>
      </c>
      <c r="K16" t="s">
        <v>341</v>
      </c>
      <c r="L16" s="4">
        <f>_xlfn.XLOOKUP(A16,[2]Int_NH!A:A,[2]Int_NH!B:B,"-",0)</f>
        <v>8.2034399999999993E-2</v>
      </c>
    </row>
    <row r="17" spans="1:12" x14ac:dyDescent="0.2">
      <c r="A17" t="s">
        <v>342</v>
      </c>
      <c r="B17">
        <v>0.36399999999999999</v>
      </c>
      <c r="C17">
        <v>1.61E-2</v>
      </c>
      <c r="D17">
        <v>8.8585999999999991</v>
      </c>
      <c r="E17">
        <v>-20.2623</v>
      </c>
      <c r="F17">
        <v>8.8606999999999996</v>
      </c>
      <c r="G17">
        <v>-20.262799999999999</v>
      </c>
      <c r="H17">
        <v>7.3</v>
      </c>
      <c r="I17" t="s">
        <v>331</v>
      </c>
      <c r="J17" t="s">
        <v>328</v>
      </c>
      <c r="K17">
        <v>3262</v>
      </c>
      <c r="L17" s="4">
        <f>_xlfn.XLOOKUP(A17,[2]Int_NH!A:A,[2]Int_NH!B:B,"-",0)</f>
        <v>1.6140700000000001E-2</v>
      </c>
    </row>
    <row r="18" spans="1:12" x14ac:dyDescent="0.2">
      <c r="A18" t="s">
        <v>23</v>
      </c>
      <c r="B18">
        <v>0.255</v>
      </c>
      <c r="C18">
        <v>5.04E-2</v>
      </c>
      <c r="D18">
        <v>9.2774999999999999</v>
      </c>
      <c r="E18">
        <v>9.1577999999999999</v>
      </c>
      <c r="F18">
        <v>9.2769999999999992</v>
      </c>
      <c r="G18">
        <v>9.1590000000000007</v>
      </c>
      <c r="H18">
        <v>4.5</v>
      </c>
      <c r="I18" t="s">
        <v>327</v>
      </c>
      <c r="J18" t="s">
        <v>328</v>
      </c>
      <c r="K18">
        <v>3250</v>
      </c>
      <c r="L18" s="4">
        <f>_xlfn.XLOOKUP(A18,[2]Int_NH!A:A,[2]Int_NH!B:B,"-",0)</f>
        <v>4.7327899999999999E-2</v>
      </c>
    </row>
    <row r="19" spans="1:12" x14ac:dyDescent="0.2">
      <c r="A19" t="s">
        <v>343</v>
      </c>
      <c r="B19">
        <v>5.5E-2</v>
      </c>
      <c r="C19">
        <v>3.2899999999999999E-2</v>
      </c>
      <c r="D19">
        <v>10.459899999999999</v>
      </c>
      <c r="E19">
        <v>-9.3028999999999993</v>
      </c>
      <c r="F19">
        <v>10.46</v>
      </c>
      <c r="G19">
        <v>-9.3030000000000008</v>
      </c>
      <c r="H19">
        <v>0.4</v>
      </c>
      <c r="I19" t="s">
        <v>327</v>
      </c>
      <c r="J19" t="s">
        <v>328</v>
      </c>
      <c r="K19">
        <v>904</v>
      </c>
      <c r="L19" s="4">
        <f>_xlfn.XLOOKUP(A19,[2]Int_NH!A:A,[2]Int_NH!B:B,"-",0)</f>
        <v>1.9217499999999998E-2</v>
      </c>
    </row>
    <row r="20" spans="1:12" x14ac:dyDescent="0.2">
      <c r="A20" t="s">
        <v>24</v>
      </c>
      <c r="B20">
        <v>0.29199999999999998</v>
      </c>
      <c r="C20">
        <v>1.55E-2</v>
      </c>
      <c r="D20">
        <v>10.8535</v>
      </c>
      <c r="E20">
        <v>-20.6234</v>
      </c>
      <c r="F20">
        <v>10.8537</v>
      </c>
      <c r="G20">
        <v>-20.6236</v>
      </c>
      <c r="H20">
        <v>1</v>
      </c>
      <c r="I20" t="s">
        <v>327</v>
      </c>
      <c r="J20" t="s">
        <v>328</v>
      </c>
      <c r="K20">
        <v>9409</v>
      </c>
      <c r="L20" s="4">
        <f>_xlfn.XLOOKUP(A20,[2]Int_NH!A:A,[2]Int_NH!B:B,"-",0)</f>
        <v>2.0771600000000001E-2</v>
      </c>
    </row>
    <row r="21" spans="1:12" x14ac:dyDescent="0.2">
      <c r="A21" t="s">
        <v>344</v>
      </c>
      <c r="B21">
        <v>8.3000000000000004E-2</v>
      </c>
      <c r="C21">
        <v>3.9100000000000003E-2</v>
      </c>
      <c r="D21">
        <v>10.9678</v>
      </c>
      <c r="E21">
        <v>24.405899999999999</v>
      </c>
      <c r="F21">
        <v>10.9678</v>
      </c>
      <c r="G21">
        <v>24.4054</v>
      </c>
      <c r="H21">
        <v>2</v>
      </c>
      <c r="I21" t="s">
        <v>327</v>
      </c>
      <c r="J21" t="s">
        <v>328</v>
      </c>
      <c r="K21">
        <v>11735</v>
      </c>
      <c r="L21" s="4">
        <f>_xlfn.XLOOKUP(A21,[2]Int_NH!A:A,[2]Int_NH!B:B,"-",0)</f>
        <v>1.59183E-2</v>
      </c>
    </row>
    <row r="22" spans="1:12" x14ac:dyDescent="0.2">
      <c r="A22" t="s">
        <v>25</v>
      </c>
      <c r="B22">
        <v>0.104</v>
      </c>
      <c r="C22">
        <v>3.3599999999999998E-2</v>
      </c>
      <c r="D22">
        <v>11.6029</v>
      </c>
      <c r="E22">
        <v>20.6218</v>
      </c>
      <c r="F22">
        <v>11.6029</v>
      </c>
      <c r="G22">
        <v>20.6221</v>
      </c>
      <c r="H22">
        <v>1</v>
      </c>
      <c r="I22" t="s">
        <v>327</v>
      </c>
      <c r="J22" t="s">
        <v>328</v>
      </c>
      <c r="K22" t="s">
        <v>345</v>
      </c>
      <c r="L22" s="4">
        <f>_xlfn.XLOOKUP(A22,[2]Int_NH!A:A,[2]Int_NH!B:B,"-",0)</f>
        <v>3.3288699999999997E-2</v>
      </c>
    </row>
    <row r="23" spans="1:12" x14ac:dyDescent="0.2">
      <c r="A23" t="s">
        <v>346</v>
      </c>
      <c r="B23">
        <v>0.129</v>
      </c>
      <c r="C23">
        <v>3.3599999999999998E-2</v>
      </c>
      <c r="D23">
        <v>11.6516</v>
      </c>
      <c r="E23">
        <v>20.256699999999999</v>
      </c>
      <c r="F23">
        <v>11.651899999999999</v>
      </c>
      <c r="G23">
        <v>20.257000000000001</v>
      </c>
      <c r="H23">
        <v>1.4</v>
      </c>
      <c r="I23" t="s">
        <v>327</v>
      </c>
      <c r="J23" t="s">
        <v>336</v>
      </c>
      <c r="K23">
        <v>12185</v>
      </c>
      <c r="L23" s="4">
        <f>_xlfn.XLOOKUP(A23,[2]Int_NH!A:A,[2]Int_NH!B:B,"-",0)</f>
        <v>9.7337099999999996E-2</v>
      </c>
    </row>
    <row r="24" spans="1:12" x14ac:dyDescent="0.2">
      <c r="A24" t="s">
        <v>347</v>
      </c>
      <c r="B24">
        <v>5.7000000000000002E-2</v>
      </c>
      <c r="C24">
        <v>2.3E-2</v>
      </c>
      <c r="D24">
        <v>13.749700000000001</v>
      </c>
      <c r="E24">
        <v>-35.321399999999997</v>
      </c>
      <c r="F24">
        <v>13.7493</v>
      </c>
      <c r="G24">
        <v>-35.320900000000002</v>
      </c>
      <c r="H24">
        <v>2.2000000000000002</v>
      </c>
      <c r="I24" t="s">
        <v>327</v>
      </c>
      <c r="J24" t="s">
        <v>328</v>
      </c>
      <c r="K24">
        <v>5784</v>
      </c>
      <c r="L24" s="4">
        <f>_xlfn.XLOOKUP(A24,[2]Int_NH!A:A,[2]Int_NH!B:B,"-",0)</f>
        <v>8.4286600000000003E-2</v>
      </c>
    </row>
    <row r="25" spans="1:12" x14ac:dyDescent="0.2">
      <c r="A25" t="s">
        <v>26</v>
      </c>
      <c r="B25">
        <v>4.3999999999999997E-2</v>
      </c>
      <c r="C25">
        <v>3.1600000000000003E-2</v>
      </c>
      <c r="D25">
        <v>14.0755</v>
      </c>
      <c r="E25">
        <v>-1.2422</v>
      </c>
      <c r="F25">
        <v>14.0631</v>
      </c>
      <c r="G25">
        <v>-1.2499</v>
      </c>
      <c r="H25">
        <v>52.5</v>
      </c>
      <c r="I25" t="s">
        <v>331</v>
      </c>
      <c r="J25" t="s">
        <v>336</v>
      </c>
      <c r="K25" t="s">
        <v>348</v>
      </c>
      <c r="L25" s="4">
        <f>_xlfn.XLOOKUP(A25,[2]Int_NH!A:A,[2]Int_NH!B:B,"-",0)</f>
        <v>1.25241E-2</v>
      </c>
    </row>
    <row r="26" spans="1:12" x14ac:dyDescent="0.2">
      <c r="A26" t="s">
        <v>27</v>
      </c>
      <c r="B26">
        <v>0.114</v>
      </c>
      <c r="C26">
        <v>1.04E-2</v>
      </c>
      <c r="D26">
        <v>14.3453</v>
      </c>
      <c r="E26">
        <v>-26.280799999999999</v>
      </c>
      <c r="F26">
        <v>14.3447</v>
      </c>
      <c r="G26">
        <v>-26.2805</v>
      </c>
      <c r="H26">
        <v>2.2000000000000002</v>
      </c>
      <c r="I26" t="s">
        <v>327</v>
      </c>
      <c r="J26" t="s">
        <v>336</v>
      </c>
      <c r="K26">
        <v>9427</v>
      </c>
      <c r="L26" s="4">
        <f>_xlfn.XLOOKUP(A26,[2]Int_NH!A:A,[2]Int_NH!B:B,"-",0)</f>
        <v>5.8645900000000003E-3</v>
      </c>
    </row>
    <row r="27" spans="1:12" x14ac:dyDescent="0.2">
      <c r="A27" t="s">
        <v>349</v>
      </c>
      <c r="B27">
        <v>0.83</v>
      </c>
      <c r="C27">
        <v>1.7999999999999999E-2</v>
      </c>
      <c r="D27">
        <v>14.587999999999999</v>
      </c>
      <c r="E27">
        <v>-61.767899999999997</v>
      </c>
      <c r="F27">
        <v>14.587999999999999</v>
      </c>
      <c r="G27">
        <v>-61.767899999999997</v>
      </c>
      <c r="H27">
        <v>0</v>
      </c>
      <c r="I27" t="s">
        <v>327</v>
      </c>
      <c r="J27" t="s">
        <v>336</v>
      </c>
      <c r="K27">
        <v>13479</v>
      </c>
      <c r="L27" s="4">
        <f>_xlfn.XLOOKUP(A27,[2]Int_NH!A:A,[2]Int_NH!B:B,"-",0)</f>
        <v>0</v>
      </c>
    </row>
    <row r="28" spans="1:12" x14ac:dyDescent="0.2">
      <c r="A28" t="s">
        <v>28</v>
      </c>
      <c r="B28">
        <v>5.6599999999999998E-2</v>
      </c>
      <c r="C28">
        <v>1.5800000000000002E-2</v>
      </c>
      <c r="D28">
        <v>15.6737</v>
      </c>
      <c r="E28">
        <v>-21.881799999999998</v>
      </c>
      <c r="F28">
        <v>15.673999999999999</v>
      </c>
      <c r="G28">
        <v>-21.880500000000001</v>
      </c>
      <c r="H28">
        <v>4.7</v>
      </c>
      <c r="I28" t="s">
        <v>327</v>
      </c>
      <c r="J28" t="s">
        <v>328</v>
      </c>
      <c r="K28" t="s">
        <v>350</v>
      </c>
      <c r="L28" s="4">
        <f>_xlfn.XLOOKUP(A28,[2]Int_NH!A:A,[2]Int_NH!B:B,"-",0)</f>
        <v>2.0991200000000002E-2</v>
      </c>
    </row>
    <row r="29" spans="1:12" x14ac:dyDescent="0.2">
      <c r="A29" t="s">
        <v>29</v>
      </c>
      <c r="B29">
        <v>0.75</v>
      </c>
      <c r="C29">
        <v>3.0200000000000001E-2</v>
      </c>
      <c r="D29">
        <v>15.7378</v>
      </c>
      <c r="E29">
        <v>-49.272500000000001</v>
      </c>
      <c r="F29">
        <v>15.7403</v>
      </c>
      <c r="G29">
        <v>-49.271999999999998</v>
      </c>
      <c r="H29">
        <v>6.2</v>
      </c>
      <c r="I29" t="s">
        <v>331</v>
      </c>
      <c r="J29" t="s">
        <v>328</v>
      </c>
      <c r="K29" t="s">
        <v>351</v>
      </c>
      <c r="L29" s="4">
        <f>_xlfn.XLOOKUP(A29,[2]Int_NH!A:A,[2]Int_NH!B:B,"-",0)</f>
        <v>6.4949600000000001E-8</v>
      </c>
    </row>
    <row r="30" spans="1:12" x14ac:dyDescent="0.2">
      <c r="A30" t="s">
        <v>352</v>
      </c>
      <c r="B30">
        <v>0.27500000000000002</v>
      </c>
      <c r="C30">
        <v>3.49E-2</v>
      </c>
      <c r="D30">
        <v>16.2302</v>
      </c>
      <c r="E30">
        <v>5.96E-2</v>
      </c>
      <c r="F30">
        <v>16.2302</v>
      </c>
      <c r="G30">
        <v>5.96E-2</v>
      </c>
      <c r="H30">
        <v>0</v>
      </c>
      <c r="I30" t="s">
        <v>327</v>
      </c>
      <c r="J30" t="s">
        <v>336</v>
      </c>
      <c r="K30">
        <v>11765</v>
      </c>
      <c r="L30" s="4">
        <f>_xlfn.XLOOKUP(A30,[2]Int_NH!A:A,[2]Int_NH!B:B,"-",0)</f>
        <v>7.2244000000000003E-2</v>
      </c>
    </row>
    <row r="31" spans="1:12" x14ac:dyDescent="0.2">
      <c r="A31" t="s">
        <v>30</v>
      </c>
      <c r="B31">
        <v>0.23</v>
      </c>
      <c r="C31">
        <v>1.61E-2</v>
      </c>
      <c r="D31">
        <v>16.3979</v>
      </c>
      <c r="E31">
        <v>-24.630099999999999</v>
      </c>
      <c r="F31">
        <v>16.3933</v>
      </c>
      <c r="G31">
        <v>-24.632999999999999</v>
      </c>
      <c r="H31">
        <v>18.399999999999999</v>
      </c>
      <c r="I31" t="s">
        <v>331</v>
      </c>
      <c r="J31" t="s">
        <v>328</v>
      </c>
      <c r="K31">
        <v>9410</v>
      </c>
      <c r="L31" s="4">
        <f>_xlfn.XLOOKUP(A31,[2]Int_NH!A:A,[2]Int_NH!B:B,"-",0)</f>
        <v>3.8819100000000002E-2</v>
      </c>
    </row>
    <row r="32" spans="1:12" x14ac:dyDescent="0.2">
      <c r="A32" t="s">
        <v>353</v>
      </c>
      <c r="B32">
        <v>0.34799999999999998</v>
      </c>
      <c r="C32">
        <v>2.8799999999999999E-2</v>
      </c>
      <c r="D32">
        <v>16.6175</v>
      </c>
      <c r="E32">
        <v>-59.720399999999998</v>
      </c>
      <c r="F32">
        <v>16.6175</v>
      </c>
      <c r="G32">
        <v>-59.720399999999998</v>
      </c>
      <c r="H32">
        <v>0</v>
      </c>
      <c r="I32" t="s">
        <v>327</v>
      </c>
      <c r="J32" t="s">
        <v>336</v>
      </c>
      <c r="K32">
        <v>13468</v>
      </c>
      <c r="L32" s="4">
        <f>_xlfn.XLOOKUP(A32,[2]Int_NH!A:A,[2]Int_NH!B:B,"-",0)</f>
        <v>1.36385E-2</v>
      </c>
    </row>
    <row r="33" spans="1:12" x14ac:dyDescent="0.2">
      <c r="A33" t="s">
        <v>31</v>
      </c>
      <c r="B33">
        <v>0.254</v>
      </c>
      <c r="C33">
        <v>3.1399999999999997E-2</v>
      </c>
      <c r="D33">
        <v>16.706199999999999</v>
      </c>
      <c r="E33">
        <v>1.0563</v>
      </c>
      <c r="F33">
        <v>16.7042</v>
      </c>
      <c r="G33">
        <v>1.0538000000000001</v>
      </c>
      <c r="H33">
        <v>11.2</v>
      </c>
      <c r="I33" t="s">
        <v>331</v>
      </c>
      <c r="J33" t="s">
        <v>328</v>
      </c>
      <c r="K33">
        <v>10465</v>
      </c>
      <c r="L33" s="4">
        <f>_xlfn.XLOOKUP(A33,[2]Int_NH!A:A,[2]Int_NH!B:B,"-",0)</f>
        <v>2.3353800000000002E-3</v>
      </c>
    </row>
    <row r="34" spans="1:12" x14ac:dyDescent="0.2">
      <c r="A34" t="s">
        <v>354</v>
      </c>
      <c r="B34">
        <v>0.107</v>
      </c>
      <c r="C34">
        <v>0.24879999999999999</v>
      </c>
      <c r="D34">
        <v>16.938099999999999</v>
      </c>
      <c r="E34">
        <v>54.1327</v>
      </c>
      <c r="F34">
        <v>16.938099999999999</v>
      </c>
      <c r="G34">
        <v>54.1327</v>
      </c>
      <c r="H34">
        <v>0</v>
      </c>
      <c r="I34" t="s">
        <v>327</v>
      </c>
      <c r="J34" t="s">
        <v>328</v>
      </c>
      <c r="K34">
        <v>15152</v>
      </c>
      <c r="L34" s="4">
        <f>_xlfn.XLOOKUP(A34,[2]Int_NH!A:A,[2]Int_NH!B:B,"-",0)</f>
        <v>0.112978</v>
      </c>
    </row>
    <row r="35" spans="1:12" x14ac:dyDescent="0.2">
      <c r="A35" t="s">
        <v>355</v>
      </c>
      <c r="B35">
        <v>2.4299999999999999E-2</v>
      </c>
      <c r="C35">
        <v>2.12E-2</v>
      </c>
      <c r="D35">
        <v>17.480899999999998</v>
      </c>
      <c r="E35">
        <v>-45.930799999999998</v>
      </c>
      <c r="F35">
        <v>17.480899999999998</v>
      </c>
      <c r="G35">
        <v>-45.930799999999998</v>
      </c>
      <c r="H35">
        <v>0.1</v>
      </c>
      <c r="I35" t="s">
        <v>327</v>
      </c>
      <c r="J35" t="s">
        <v>328</v>
      </c>
      <c r="K35">
        <v>4971</v>
      </c>
      <c r="L35" s="4">
        <f>_xlfn.XLOOKUP(A35,[2]Int_NH!A:A,[2]Int_NH!B:B,"-",0)</f>
        <v>0</v>
      </c>
    </row>
    <row r="36" spans="1:12" x14ac:dyDescent="0.2">
      <c r="A36" t="s">
        <v>356</v>
      </c>
      <c r="B36">
        <v>4.4999999999999998E-2</v>
      </c>
      <c r="C36">
        <v>4.3799999999999999E-2</v>
      </c>
      <c r="D36">
        <v>18.273700000000002</v>
      </c>
      <c r="E36">
        <v>15.5298</v>
      </c>
      <c r="F36">
        <v>18.2529</v>
      </c>
      <c r="G36">
        <v>15.487500000000001</v>
      </c>
      <c r="H36">
        <v>168.5</v>
      </c>
      <c r="I36" t="s">
        <v>331</v>
      </c>
      <c r="J36" t="s">
        <v>328</v>
      </c>
      <c r="K36">
        <v>3219</v>
      </c>
      <c r="L36" s="4">
        <f>_xlfn.XLOOKUP(A36,[2]Int_NH!A:A,[2]Int_NH!B:B,"-",0)</f>
        <v>1.9372299999999999E-2</v>
      </c>
    </row>
    <row r="37" spans="1:12" x14ac:dyDescent="0.2">
      <c r="A37" t="s">
        <v>357</v>
      </c>
      <c r="B37">
        <v>4.4999999999999998E-2</v>
      </c>
      <c r="C37">
        <v>3.2500000000000001E-2</v>
      </c>
      <c r="D37">
        <v>18.765799999999999</v>
      </c>
      <c r="E37">
        <v>0.40410000000000001</v>
      </c>
      <c r="F37">
        <v>18.739899999999999</v>
      </c>
      <c r="G37">
        <v>0.42730000000000001</v>
      </c>
      <c r="H37">
        <v>125.4</v>
      </c>
      <c r="I37" t="s">
        <v>331</v>
      </c>
      <c r="J37" t="s">
        <v>328</v>
      </c>
      <c r="K37">
        <v>3203</v>
      </c>
      <c r="L37" s="4">
        <f>_xlfn.XLOOKUP(A37,[2]Int_NH!A:A,[2]Int_NH!B:B,"-",0)</f>
        <v>3.3912500000000002E-3</v>
      </c>
    </row>
    <row r="38" spans="1:12" x14ac:dyDescent="0.2">
      <c r="A38" t="s">
        <v>358</v>
      </c>
      <c r="B38">
        <v>0.22700000000000001</v>
      </c>
      <c r="C38">
        <v>1.5900000000000001E-2</v>
      </c>
      <c r="D38">
        <v>19.546900000000001</v>
      </c>
      <c r="E38">
        <v>-26.965299999999999</v>
      </c>
      <c r="F38">
        <v>19.546900000000001</v>
      </c>
      <c r="G38">
        <v>-26.965299999999999</v>
      </c>
      <c r="H38">
        <v>0</v>
      </c>
      <c r="I38" t="s">
        <v>327</v>
      </c>
      <c r="J38" t="s">
        <v>328</v>
      </c>
      <c r="K38">
        <v>9429</v>
      </c>
      <c r="L38" s="4">
        <f>_xlfn.XLOOKUP(A38,[2]Int_NH!A:A,[2]Int_NH!B:B,"-",0)</f>
        <v>1.36794E-2</v>
      </c>
    </row>
    <row r="39" spans="1:12" x14ac:dyDescent="0.2">
      <c r="A39" t="s">
        <v>359</v>
      </c>
      <c r="B39">
        <v>4.4999999999999998E-2</v>
      </c>
      <c r="C39">
        <v>3.6700000000000003E-2</v>
      </c>
      <c r="D39">
        <v>19.723500000000001</v>
      </c>
      <c r="E39">
        <v>-1.0021</v>
      </c>
      <c r="F39">
        <v>19.724799999999998</v>
      </c>
      <c r="G39">
        <v>-1.0021</v>
      </c>
      <c r="H39">
        <v>4.5999999999999996</v>
      </c>
      <c r="I39" t="s">
        <v>327</v>
      </c>
      <c r="J39" t="s">
        <v>328</v>
      </c>
      <c r="K39">
        <v>4963</v>
      </c>
      <c r="L39" s="4">
        <f>_xlfn.XLOOKUP(A39,[2]Int_NH!A:A,[2]Int_NH!B:B,"-",0)</f>
        <v>3.9768199999999997E-2</v>
      </c>
    </row>
    <row r="40" spans="1:12" x14ac:dyDescent="0.2">
      <c r="A40" t="s">
        <v>360</v>
      </c>
      <c r="B40">
        <v>0.62</v>
      </c>
      <c r="C40">
        <v>1.9699999999999999E-2</v>
      </c>
      <c r="D40">
        <v>20.799199999999999</v>
      </c>
      <c r="E40">
        <v>-48.3566</v>
      </c>
      <c r="F40">
        <v>20.799199999999999</v>
      </c>
      <c r="G40">
        <v>-48.3566</v>
      </c>
      <c r="H40">
        <v>0</v>
      </c>
      <c r="I40" t="s">
        <v>327</v>
      </c>
      <c r="J40" t="s">
        <v>336</v>
      </c>
      <c r="K40">
        <v>13491</v>
      </c>
      <c r="L40" s="4">
        <f>_xlfn.XLOOKUP(A40,[2]Int_NH!A:A,[2]Int_NH!B:B,"-",0)</f>
        <v>2.17941E-2</v>
      </c>
    </row>
    <row r="41" spans="1:12" x14ac:dyDescent="0.2">
      <c r="A41" t="s">
        <v>361</v>
      </c>
      <c r="B41">
        <v>4.9000000000000002E-2</v>
      </c>
      <c r="C41">
        <v>4.5699999999999998E-2</v>
      </c>
      <c r="D41">
        <v>21.280200000000001</v>
      </c>
      <c r="E41">
        <v>8.7003000000000004</v>
      </c>
      <c r="F41">
        <v>21.2819</v>
      </c>
      <c r="G41">
        <v>8.6991999999999994</v>
      </c>
      <c r="H41">
        <v>7.3</v>
      </c>
      <c r="I41" t="s">
        <v>331</v>
      </c>
      <c r="J41" t="s">
        <v>328</v>
      </c>
      <c r="K41">
        <v>6931</v>
      </c>
      <c r="L41" s="4">
        <f>_xlfn.XLOOKUP(A41,[2]Int_NH!A:A,[2]Int_NH!B:B,"-",0)</f>
        <v>1.29464E-2</v>
      </c>
    </row>
    <row r="42" spans="1:12" x14ac:dyDescent="0.2">
      <c r="A42" t="s">
        <v>32</v>
      </c>
      <c r="B42">
        <v>0.20599999999999999</v>
      </c>
      <c r="C42">
        <v>2.0500000000000001E-2</v>
      </c>
      <c r="D42">
        <v>22.970099999999999</v>
      </c>
      <c r="E42">
        <v>-13.6114</v>
      </c>
      <c r="F42">
        <v>22.969000000000001</v>
      </c>
      <c r="G42">
        <v>-13.610799999999999</v>
      </c>
      <c r="H42">
        <v>4.2</v>
      </c>
      <c r="I42" t="s">
        <v>327</v>
      </c>
      <c r="J42" t="s">
        <v>328</v>
      </c>
      <c r="K42" t="s">
        <v>362</v>
      </c>
      <c r="L42" s="4">
        <f>_xlfn.XLOOKUP(A42,[2]Int_NH!A:A,[2]Int_NH!B:B,"-",0)</f>
        <v>8.8036499999999997E-3</v>
      </c>
    </row>
    <row r="43" spans="1:12" x14ac:dyDescent="0.2">
      <c r="A43" t="s">
        <v>33</v>
      </c>
      <c r="B43">
        <v>0.21099999999999999</v>
      </c>
      <c r="C43">
        <v>2.35E-2</v>
      </c>
      <c r="D43">
        <v>24.394600000000001</v>
      </c>
      <c r="E43">
        <v>-12.9931</v>
      </c>
      <c r="F43">
        <v>24.393999999999998</v>
      </c>
      <c r="G43">
        <v>-12.993</v>
      </c>
      <c r="H43">
        <v>2.2000000000000002</v>
      </c>
      <c r="I43" t="s">
        <v>327</v>
      </c>
      <c r="J43" t="s">
        <v>328</v>
      </c>
      <c r="K43">
        <v>4967</v>
      </c>
      <c r="L43" s="4">
        <f>_xlfn.XLOOKUP(A43,[2]Int_NH!A:A,[2]Int_NH!B:B,"-",0)</f>
        <v>1.1186E-2</v>
      </c>
    </row>
    <row r="44" spans="1:12" x14ac:dyDescent="0.2">
      <c r="A44" t="s">
        <v>34</v>
      </c>
      <c r="B44">
        <v>0.20699999999999999</v>
      </c>
      <c r="C44">
        <v>2.35E-2</v>
      </c>
      <c r="D44">
        <v>24.483499999999999</v>
      </c>
      <c r="E44">
        <v>-12.819800000000001</v>
      </c>
      <c r="F44">
        <v>24.4832</v>
      </c>
      <c r="G44">
        <v>-12.819599999999999</v>
      </c>
      <c r="H44">
        <v>1.4</v>
      </c>
      <c r="I44" t="s">
        <v>327</v>
      </c>
      <c r="J44" t="s">
        <v>328</v>
      </c>
      <c r="K44">
        <v>4967</v>
      </c>
      <c r="L44" s="4">
        <f>_xlfn.XLOOKUP(A44,[2]Int_NH!A:A,[2]Int_NH!B:B,"-",0)</f>
        <v>2.2197000000000001E-2</v>
      </c>
    </row>
    <row r="45" spans="1:12" x14ac:dyDescent="0.2">
      <c r="A45" t="s">
        <v>363</v>
      </c>
      <c r="B45">
        <v>0.45400000000000001</v>
      </c>
      <c r="C45">
        <v>2.9899999999999999E-2</v>
      </c>
      <c r="D45">
        <v>25.006499999999999</v>
      </c>
      <c r="E45">
        <v>-5.9191000000000003</v>
      </c>
      <c r="F45">
        <v>25.006499999999999</v>
      </c>
      <c r="G45">
        <v>-5.9191000000000003</v>
      </c>
      <c r="H45">
        <v>0</v>
      </c>
      <c r="I45" t="s">
        <v>327</v>
      </c>
      <c r="J45" t="s">
        <v>336</v>
      </c>
      <c r="K45" t="s">
        <v>364</v>
      </c>
      <c r="L45" s="4">
        <f>_xlfn.XLOOKUP(A45,[2]Int_NH!A:A,[2]Int_NH!B:B,"-",0)</f>
        <v>9.7241600000000008E-3</v>
      </c>
    </row>
    <row r="46" spans="1:12" x14ac:dyDescent="0.2">
      <c r="A46" t="s">
        <v>35</v>
      </c>
      <c r="B46">
        <v>0.28000000000000003</v>
      </c>
      <c r="C46">
        <v>7.3200000000000001E-2</v>
      </c>
      <c r="D46">
        <v>25.513400000000001</v>
      </c>
      <c r="E46">
        <v>21.5212</v>
      </c>
      <c r="F46">
        <v>25.513400000000001</v>
      </c>
      <c r="G46">
        <v>21.5215</v>
      </c>
      <c r="H46">
        <v>1</v>
      </c>
      <c r="I46" t="s">
        <v>327</v>
      </c>
      <c r="J46" t="s">
        <v>336</v>
      </c>
      <c r="K46">
        <v>10440</v>
      </c>
      <c r="L46" s="4">
        <f>_xlfn.XLOOKUP(A46,[2]Int_NH!A:A,[2]Int_NH!B:B,"-",0)</f>
        <v>2.9847699999999999E-3</v>
      </c>
    </row>
    <row r="47" spans="1:12" x14ac:dyDescent="0.2">
      <c r="A47" t="s">
        <v>36</v>
      </c>
      <c r="B47">
        <v>0.36499999999999999</v>
      </c>
      <c r="C47">
        <v>2.3599999999999999E-2</v>
      </c>
      <c r="D47">
        <v>27.5885</v>
      </c>
      <c r="E47">
        <v>-10.0915</v>
      </c>
      <c r="F47">
        <v>27.589400000000001</v>
      </c>
      <c r="G47">
        <v>-10.091799999999999</v>
      </c>
      <c r="H47">
        <v>3.1</v>
      </c>
      <c r="I47" t="s">
        <v>327</v>
      </c>
      <c r="J47" t="s">
        <v>336</v>
      </c>
      <c r="K47">
        <v>11711</v>
      </c>
      <c r="L47" s="4">
        <f>_xlfn.XLOOKUP(A47,[2]Int_NH!A:A,[2]Int_NH!B:B,"-",0)</f>
        <v>4.9187500000000002E-2</v>
      </c>
    </row>
    <row r="48" spans="1:12" x14ac:dyDescent="0.2">
      <c r="A48" t="s">
        <v>365</v>
      </c>
      <c r="B48">
        <v>1.03</v>
      </c>
      <c r="C48">
        <v>3.27E-2</v>
      </c>
      <c r="D48">
        <v>27.845199999999998</v>
      </c>
      <c r="E48">
        <v>-59.907499999999999</v>
      </c>
      <c r="F48">
        <v>27.845199999999998</v>
      </c>
      <c r="G48">
        <v>-59.907499999999999</v>
      </c>
      <c r="H48">
        <v>0</v>
      </c>
      <c r="I48" t="s">
        <v>327</v>
      </c>
      <c r="J48" t="s">
        <v>336</v>
      </c>
      <c r="K48" t="s">
        <v>366</v>
      </c>
      <c r="L48" s="4">
        <f>_xlfn.XLOOKUP(A48,[2]Int_NH!A:A,[2]Int_NH!B:B,"-",0)</f>
        <v>0.115214</v>
      </c>
    </row>
    <row r="49" spans="1:12" x14ac:dyDescent="0.2">
      <c r="A49" t="s">
        <v>367</v>
      </c>
      <c r="B49">
        <v>0.34100000000000003</v>
      </c>
      <c r="C49">
        <v>1.47E-2</v>
      </c>
      <c r="D49">
        <v>28.143699999999999</v>
      </c>
      <c r="E49">
        <v>-28.893699999999999</v>
      </c>
      <c r="F49">
        <v>28.143699999999999</v>
      </c>
      <c r="G49">
        <v>-28.893699999999999</v>
      </c>
      <c r="H49">
        <v>0</v>
      </c>
      <c r="I49" t="s">
        <v>327</v>
      </c>
      <c r="J49" t="s">
        <v>336</v>
      </c>
      <c r="K49">
        <v>3264</v>
      </c>
      <c r="L49" s="4">
        <f>_xlfn.XLOOKUP(A49,[2]Int_NH!A:A,[2]Int_NH!B:B,"-",0)</f>
        <v>4.2265799999999997E-3</v>
      </c>
    </row>
    <row r="50" spans="1:12" x14ac:dyDescent="0.2">
      <c r="A50" t="s">
        <v>37</v>
      </c>
      <c r="B50">
        <v>0.23100000000000001</v>
      </c>
      <c r="C50">
        <v>2.7699999999999999E-2</v>
      </c>
      <c r="D50">
        <v>28.177399999999999</v>
      </c>
      <c r="E50">
        <v>1.0123</v>
      </c>
      <c r="F50">
        <v>28.176100000000002</v>
      </c>
      <c r="G50">
        <v>1.0125999999999999</v>
      </c>
      <c r="H50">
        <v>4.8</v>
      </c>
      <c r="I50" t="s">
        <v>327</v>
      </c>
      <c r="J50" t="s">
        <v>328</v>
      </c>
      <c r="K50">
        <v>3580</v>
      </c>
      <c r="L50" s="4">
        <f>_xlfn.XLOOKUP(A50,[2]Int_NH!A:A,[2]Int_NH!B:B,"-",0)</f>
        <v>6.0091300000000001E-4</v>
      </c>
    </row>
    <row r="51" spans="1:12" x14ac:dyDescent="0.2">
      <c r="A51" t="s">
        <v>368</v>
      </c>
      <c r="B51">
        <v>1.7399999999999999E-2</v>
      </c>
      <c r="C51">
        <v>5.4600000000000003E-2</v>
      </c>
      <c r="D51">
        <v>28.192900000000002</v>
      </c>
      <c r="E51">
        <v>36.153300000000002</v>
      </c>
      <c r="F51">
        <v>28.192900000000002</v>
      </c>
      <c r="G51">
        <v>36.153300000000002</v>
      </c>
      <c r="H51">
        <v>0.1</v>
      </c>
      <c r="I51" t="s">
        <v>327</v>
      </c>
      <c r="J51" t="s">
        <v>328</v>
      </c>
      <c r="K51" t="s">
        <v>369</v>
      </c>
      <c r="L51" s="4">
        <f>_xlfn.XLOOKUP(A51,[2]Int_NH!A:A,[2]Int_NH!B:B,"-",0)</f>
        <v>4.77565E-2</v>
      </c>
    </row>
    <row r="52" spans="1:12" x14ac:dyDescent="0.2">
      <c r="A52" t="s">
        <v>370</v>
      </c>
      <c r="B52">
        <v>1.22</v>
      </c>
      <c r="C52">
        <v>3.49E-2</v>
      </c>
      <c r="D52">
        <v>29.042300000000001</v>
      </c>
      <c r="E52">
        <v>-55.698700000000002</v>
      </c>
      <c r="F52">
        <v>29.042300000000001</v>
      </c>
      <c r="G52">
        <v>-55.698700000000002</v>
      </c>
      <c r="H52">
        <v>0</v>
      </c>
      <c r="I52" t="s">
        <v>327</v>
      </c>
      <c r="J52" t="s">
        <v>336</v>
      </c>
      <c r="K52">
        <v>13489</v>
      </c>
      <c r="L52" s="4">
        <f>_xlfn.XLOOKUP(A52,[2]Int_NH!A:A,[2]Int_NH!B:B,"-",0)</f>
        <v>0.13734399999999999</v>
      </c>
    </row>
    <row r="53" spans="1:12" x14ac:dyDescent="0.2">
      <c r="A53" t="s">
        <v>371</v>
      </c>
      <c r="B53">
        <v>1.8499999999999999E-2</v>
      </c>
      <c r="C53">
        <v>4.4299999999999999E-2</v>
      </c>
      <c r="D53">
        <v>29.087599999999998</v>
      </c>
      <c r="E53">
        <v>5.6272000000000002</v>
      </c>
      <c r="F53">
        <v>29.087499999999999</v>
      </c>
      <c r="G53">
        <v>5.6272000000000002</v>
      </c>
      <c r="H53">
        <v>0.2</v>
      </c>
      <c r="I53" t="s">
        <v>327</v>
      </c>
      <c r="J53" t="s">
        <v>328</v>
      </c>
      <c r="K53">
        <v>2223</v>
      </c>
      <c r="L53" s="4">
        <f>_xlfn.XLOOKUP(A53,[2]Int_NH!A:A,[2]Int_NH!B:B,"-",0)</f>
        <v>7.2518899999999997E-2</v>
      </c>
    </row>
    <row r="54" spans="1:12" x14ac:dyDescent="0.2">
      <c r="A54" t="s">
        <v>38</v>
      </c>
      <c r="B54">
        <v>0.32200000000000001</v>
      </c>
      <c r="C54">
        <v>2.1000000000000001E-2</v>
      </c>
      <c r="D54">
        <v>29.956</v>
      </c>
      <c r="E54">
        <v>-8.8336000000000006</v>
      </c>
      <c r="F54">
        <v>29.956099999999999</v>
      </c>
      <c r="G54">
        <v>-8.8336000000000006</v>
      </c>
      <c r="H54">
        <v>0.2</v>
      </c>
      <c r="I54" t="s">
        <v>327</v>
      </c>
      <c r="J54" t="s">
        <v>328</v>
      </c>
      <c r="K54" t="s">
        <v>372</v>
      </c>
      <c r="L54" s="4">
        <f>_xlfn.XLOOKUP(A54,[2]Int_NH!A:A,[2]Int_NH!B:B,"-",0)</f>
        <v>1.1839499999999999E-2</v>
      </c>
    </row>
    <row r="55" spans="1:12" x14ac:dyDescent="0.2">
      <c r="A55" t="s">
        <v>373</v>
      </c>
      <c r="B55">
        <v>1.32E-2</v>
      </c>
      <c r="C55">
        <v>2.2100000000000002E-2</v>
      </c>
      <c r="D55">
        <v>32.409500000000001</v>
      </c>
      <c r="E55">
        <v>-10.145899999999999</v>
      </c>
      <c r="F55">
        <v>32.409500000000001</v>
      </c>
      <c r="G55">
        <v>-10.145899999999999</v>
      </c>
      <c r="H55">
        <v>0.1</v>
      </c>
      <c r="I55" t="s">
        <v>327</v>
      </c>
      <c r="J55" t="s">
        <v>336</v>
      </c>
      <c r="K55" t="s">
        <v>374</v>
      </c>
      <c r="L55" s="4">
        <f>_xlfn.XLOOKUP(A55,[2]Int_NH!A:A,[2]Int_NH!B:B,"-",0)</f>
        <v>2.7468599999999999E-2</v>
      </c>
    </row>
    <row r="56" spans="1:12" x14ac:dyDescent="0.2">
      <c r="A56" t="s">
        <v>375</v>
      </c>
      <c r="B56">
        <v>0.22900000000000001</v>
      </c>
      <c r="C56">
        <v>1.8499999999999999E-2</v>
      </c>
      <c r="D56">
        <v>35.235700000000001</v>
      </c>
      <c r="E56">
        <v>-38.480400000000003</v>
      </c>
      <c r="F56">
        <v>35.235799999999998</v>
      </c>
      <c r="G56">
        <v>-38.480899999999998</v>
      </c>
      <c r="H56">
        <v>1.7</v>
      </c>
      <c r="I56" t="s">
        <v>327</v>
      </c>
      <c r="J56" t="s">
        <v>328</v>
      </c>
      <c r="K56">
        <v>9411</v>
      </c>
      <c r="L56" s="4">
        <f>_xlfn.XLOOKUP(A56,[2]Int_NH!A:A,[2]Int_NH!B:B,"-",0)</f>
        <v>2.6325100000000001E-2</v>
      </c>
    </row>
    <row r="57" spans="1:12" x14ac:dyDescent="0.2">
      <c r="A57" t="s">
        <v>376</v>
      </c>
      <c r="B57">
        <v>0.22</v>
      </c>
      <c r="C57">
        <v>2.0799999999999999E-2</v>
      </c>
      <c r="D57">
        <v>36.471499999999999</v>
      </c>
      <c r="E57">
        <v>-41.915199999999999</v>
      </c>
      <c r="F57">
        <v>36.471200000000003</v>
      </c>
      <c r="G57">
        <v>-41.917900000000003</v>
      </c>
      <c r="H57">
        <v>9.9</v>
      </c>
      <c r="I57" t="s">
        <v>331</v>
      </c>
      <c r="J57" t="s">
        <v>328</v>
      </c>
      <c r="K57">
        <v>15110</v>
      </c>
      <c r="L57" s="4">
        <f>_xlfn.XLOOKUP(A57,[2]Int_NH!A:A,[2]Int_NH!B:B,"-",0)</f>
        <v>2.65612E-2</v>
      </c>
    </row>
    <row r="58" spans="1:12" x14ac:dyDescent="0.2">
      <c r="A58" t="s">
        <v>39</v>
      </c>
      <c r="B58">
        <v>0.41399999999999998</v>
      </c>
      <c r="C58">
        <v>2.9399999999999999E-2</v>
      </c>
      <c r="D58">
        <v>37.107199999999999</v>
      </c>
      <c r="E58">
        <v>0.53280000000000005</v>
      </c>
      <c r="F58">
        <v>37.107799999999997</v>
      </c>
      <c r="G58">
        <v>0.53249999999999997</v>
      </c>
      <c r="H58">
        <v>2.2000000000000002</v>
      </c>
      <c r="I58" t="s">
        <v>327</v>
      </c>
      <c r="J58" t="s">
        <v>336</v>
      </c>
      <c r="K58" t="s">
        <v>377</v>
      </c>
      <c r="L58" s="4">
        <f>_xlfn.XLOOKUP(A58,[2]Int_NH!A:A,[2]Int_NH!B:B,"-",0)</f>
        <v>0</v>
      </c>
    </row>
    <row r="59" spans="1:12" x14ac:dyDescent="0.2">
      <c r="A59" t="s">
        <v>378</v>
      </c>
      <c r="B59">
        <v>6.0999999999999999E-2</v>
      </c>
      <c r="C59">
        <v>1.6799999999999999E-2</v>
      </c>
      <c r="D59">
        <v>37.439700000000002</v>
      </c>
      <c r="E59">
        <v>-29.628699999999998</v>
      </c>
      <c r="F59">
        <v>37.440300000000001</v>
      </c>
      <c r="G59">
        <v>-29.63</v>
      </c>
      <c r="H59">
        <v>5.3</v>
      </c>
      <c r="I59" t="s">
        <v>331</v>
      </c>
      <c r="J59" t="s">
        <v>328</v>
      </c>
      <c r="K59" t="s">
        <v>379</v>
      </c>
      <c r="L59" s="4">
        <f>_xlfn.XLOOKUP(A59,[2]Int_NH!A:A,[2]Int_NH!B:B,"-",0)</f>
        <v>0.129465</v>
      </c>
    </row>
    <row r="60" spans="1:12" x14ac:dyDescent="0.2">
      <c r="A60" t="s">
        <v>380</v>
      </c>
      <c r="B60">
        <v>0.28399999999999997</v>
      </c>
      <c r="C60">
        <v>2.46E-2</v>
      </c>
      <c r="D60">
        <v>38.0777</v>
      </c>
      <c r="E60">
        <v>-44.346200000000003</v>
      </c>
      <c r="F60">
        <v>38.078200000000002</v>
      </c>
      <c r="G60">
        <v>-44.346299999999999</v>
      </c>
      <c r="H60">
        <v>1.3</v>
      </c>
      <c r="I60" t="s">
        <v>327</v>
      </c>
      <c r="J60" t="s">
        <v>328</v>
      </c>
      <c r="K60">
        <v>4993</v>
      </c>
      <c r="L60" s="4">
        <f>_xlfn.XLOOKUP(A60,[2]Int_NH!A:A,[2]Int_NH!B:B,"-",0)</f>
        <v>4.35754E-3</v>
      </c>
    </row>
    <row r="61" spans="1:12" x14ac:dyDescent="0.2">
      <c r="A61" t="s">
        <v>381</v>
      </c>
      <c r="B61">
        <v>0.41499999999999998</v>
      </c>
      <c r="C61">
        <v>3.5400000000000001E-2</v>
      </c>
      <c r="D61">
        <v>38.674700000000001</v>
      </c>
      <c r="E61">
        <v>-58.523600000000002</v>
      </c>
      <c r="F61">
        <v>38.674700000000001</v>
      </c>
      <c r="G61">
        <v>-58.523600000000002</v>
      </c>
      <c r="H61">
        <v>0</v>
      </c>
      <c r="I61" t="s">
        <v>327</v>
      </c>
      <c r="J61" t="s">
        <v>336</v>
      </c>
      <c r="K61">
        <v>13403</v>
      </c>
      <c r="L61" s="4">
        <f>_xlfn.XLOOKUP(A61,[2]Int_NH!A:A,[2]Int_NH!B:B,"-",0)</f>
        <v>0</v>
      </c>
    </row>
    <row r="62" spans="1:12" x14ac:dyDescent="0.2">
      <c r="A62" t="s">
        <v>40</v>
      </c>
      <c r="B62">
        <v>0.22</v>
      </c>
      <c r="C62">
        <v>1.7399999999999999E-2</v>
      </c>
      <c r="D62">
        <v>39.365200000000002</v>
      </c>
      <c r="E62">
        <v>-26.507999999999999</v>
      </c>
      <c r="F62">
        <v>39.365200000000002</v>
      </c>
      <c r="G62">
        <v>-26.508099999999999</v>
      </c>
      <c r="H62">
        <v>0.3</v>
      </c>
      <c r="I62" t="s">
        <v>327</v>
      </c>
      <c r="J62" t="s">
        <v>328</v>
      </c>
      <c r="K62">
        <v>9412</v>
      </c>
      <c r="L62" s="4">
        <f>_xlfn.XLOOKUP(A62,[2]Int_NH!A:A,[2]Int_NH!B:B,"-",0)</f>
        <v>1.6605100000000001E-2</v>
      </c>
    </row>
    <row r="63" spans="1:12" x14ac:dyDescent="0.2">
      <c r="A63" t="s">
        <v>41</v>
      </c>
      <c r="B63">
        <v>0.13600000000000001</v>
      </c>
      <c r="C63">
        <v>3.1099999999999999E-2</v>
      </c>
      <c r="D63">
        <v>39.503399999999999</v>
      </c>
      <c r="E63">
        <v>-52.419800000000002</v>
      </c>
      <c r="F63">
        <v>39.497599999999998</v>
      </c>
      <c r="G63">
        <v>-52.414299999999997</v>
      </c>
      <c r="H63">
        <v>23.5</v>
      </c>
      <c r="I63" t="s">
        <v>331</v>
      </c>
      <c r="J63" t="s">
        <v>336</v>
      </c>
      <c r="K63">
        <v>9392</v>
      </c>
      <c r="L63" s="4">
        <f>_xlfn.XLOOKUP(A63,[2]Int_NH!A:A,[2]Int_NH!B:B,"-",0)</f>
        <v>0</v>
      </c>
    </row>
    <row r="64" spans="1:12" x14ac:dyDescent="0.2">
      <c r="A64" t="s">
        <v>42</v>
      </c>
      <c r="B64">
        <v>0.375</v>
      </c>
      <c r="C64">
        <v>3.04E-2</v>
      </c>
      <c r="D64">
        <v>39.970700000000001</v>
      </c>
      <c r="E64">
        <v>-1.5792999999999999</v>
      </c>
      <c r="F64">
        <v>39.971499999999999</v>
      </c>
      <c r="G64">
        <v>-1.5769</v>
      </c>
      <c r="H64">
        <v>9.1</v>
      </c>
      <c r="I64" t="s">
        <v>331</v>
      </c>
      <c r="J64" t="s">
        <v>328</v>
      </c>
      <c r="K64">
        <v>515</v>
      </c>
      <c r="L64" s="4">
        <f>_xlfn.XLOOKUP(A64,[2]Int_NH!A:A,[2]Int_NH!B:B,"-",0)</f>
        <v>3.4283600000000001E-3</v>
      </c>
    </row>
    <row r="65" spans="1:12" x14ac:dyDescent="0.2">
      <c r="A65" t="s">
        <v>43</v>
      </c>
      <c r="B65">
        <v>0.314</v>
      </c>
      <c r="C65">
        <v>2.7099999999999999E-2</v>
      </c>
      <c r="D65">
        <v>40.649500000000003</v>
      </c>
      <c r="E65">
        <v>-21.540600000000001</v>
      </c>
      <c r="F65">
        <v>40.6496</v>
      </c>
      <c r="G65">
        <v>-21.540600000000001</v>
      </c>
      <c r="H65">
        <v>0.3</v>
      </c>
      <c r="I65" t="s">
        <v>327</v>
      </c>
      <c r="J65" t="s">
        <v>328</v>
      </c>
      <c r="K65">
        <v>3266</v>
      </c>
      <c r="L65" s="4">
        <f>_xlfn.XLOOKUP(A65,[2]Int_NH!A:A,[2]Int_NH!B:B,"-",0)</f>
        <v>3.63734E-2</v>
      </c>
    </row>
    <row r="66" spans="1:12" x14ac:dyDescent="0.2">
      <c r="A66" t="s">
        <v>382</v>
      </c>
      <c r="B66">
        <v>0.63500000000000001</v>
      </c>
      <c r="C66">
        <v>3.5999999999999997E-2</v>
      </c>
      <c r="D66">
        <v>40.863</v>
      </c>
      <c r="E66">
        <v>-59.517200000000003</v>
      </c>
      <c r="F66">
        <v>40.863</v>
      </c>
      <c r="G66">
        <v>-59.517200000000003</v>
      </c>
      <c r="H66">
        <v>0</v>
      </c>
      <c r="I66" t="s">
        <v>327</v>
      </c>
      <c r="J66" t="s">
        <v>336</v>
      </c>
      <c r="K66" t="s">
        <v>383</v>
      </c>
      <c r="L66" s="4">
        <f>_xlfn.XLOOKUP(A66,[2]Int_NH!A:A,[2]Int_NH!B:B,"-",0)</f>
        <v>1.95438E-2</v>
      </c>
    </row>
    <row r="67" spans="1:12" x14ac:dyDescent="0.2">
      <c r="A67" t="s">
        <v>44</v>
      </c>
      <c r="B67">
        <v>0.3</v>
      </c>
      <c r="C67">
        <v>3.3099999999999997E-2</v>
      </c>
      <c r="D67">
        <v>41.361600000000003</v>
      </c>
      <c r="E67">
        <v>-53.03</v>
      </c>
      <c r="F67">
        <v>41.360199999999999</v>
      </c>
      <c r="G67">
        <v>-53.029699999999998</v>
      </c>
      <c r="H67">
        <v>3.1</v>
      </c>
      <c r="I67" t="s">
        <v>327</v>
      </c>
      <c r="J67" t="s">
        <v>328</v>
      </c>
      <c r="K67">
        <v>12260</v>
      </c>
      <c r="L67" s="4">
        <f>_xlfn.XLOOKUP(A67,[2]Int_NH!A:A,[2]Int_NH!B:B,"-",0)</f>
        <v>3.3931599999999999E-2</v>
      </c>
    </row>
    <row r="68" spans="1:12" x14ac:dyDescent="0.2">
      <c r="A68" t="s">
        <v>45</v>
      </c>
      <c r="B68">
        <v>0.14699999999999999</v>
      </c>
      <c r="C68">
        <v>9.6100000000000005E-2</v>
      </c>
      <c r="D68">
        <v>41.453800000000001</v>
      </c>
      <c r="E68">
        <v>9.6105999999999998</v>
      </c>
      <c r="F68">
        <v>41.453800000000001</v>
      </c>
      <c r="G68">
        <v>9.6104000000000003</v>
      </c>
      <c r="H68">
        <v>1</v>
      </c>
      <c r="I68" t="s">
        <v>327</v>
      </c>
      <c r="J68" t="s">
        <v>336</v>
      </c>
      <c r="K68">
        <v>9394</v>
      </c>
      <c r="L68" s="4">
        <f>_xlfn.XLOOKUP(A68,[2]Int_NH!A:A,[2]Int_NH!B:B,"-",0)</f>
        <v>5.0925900000000003E-2</v>
      </c>
    </row>
    <row r="69" spans="1:12" x14ac:dyDescent="0.2">
      <c r="A69" t="s">
        <v>384</v>
      </c>
      <c r="B69">
        <v>4.8000000000000001E-2</v>
      </c>
      <c r="C69">
        <v>6.7000000000000004E-2</v>
      </c>
      <c r="D69">
        <v>41.516399999999997</v>
      </c>
      <c r="E69">
        <v>36.905500000000004</v>
      </c>
      <c r="F69">
        <v>41.516399999999997</v>
      </c>
      <c r="G69">
        <v>36.905500000000004</v>
      </c>
      <c r="H69">
        <v>0</v>
      </c>
      <c r="I69" t="s">
        <v>327</v>
      </c>
      <c r="J69" t="s">
        <v>328</v>
      </c>
      <c r="K69">
        <v>12277</v>
      </c>
      <c r="L69" s="4">
        <f>_xlfn.XLOOKUP(A69,[2]Int_NH!A:A,[2]Int_NH!B:B,"-",0)</f>
        <v>1.04108E-2</v>
      </c>
    </row>
    <row r="70" spans="1:12" x14ac:dyDescent="0.2">
      <c r="A70" t="s">
        <v>46</v>
      </c>
      <c r="B70">
        <v>0.187</v>
      </c>
      <c r="C70">
        <v>0.04</v>
      </c>
      <c r="D70">
        <v>42.014099999999999</v>
      </c>
      <c r="E70">
        <v>-3.5293000000000001</v>
      </c>
      <c r="F70">
        <v>42.014000000000003</v>
      </c>
      <c r="G70">
        <v>-3.5291000000000001</v>
      </c>
      <c r="H70">
        <v>0.8</v>
      </c>
      <c r="I70" t="s">
        <v>327</v>
      </c>
      <c r="J70" t="s">
        <v>328</v>
      </c>
      <c r="K70" t="s">
        <v>385</v>
      </c>
      <c r="L70" s="4">
        <f>_xlfn.XLOOKUP(A70,[2]Int_NH!A:A,[2]Int_NH!B:B,"-",0)</f>
        <v>2.7074E-3</v>
      </c>
    </row>
    <row r="71" spans="1:12" x14ac:dyDescent="0.2">
      <c r="A71" t="s">
        <v>386</v>
      </c>
      <c r="B71">
        <v>0.42099999999999999</v>
      </c>
      <c r="C71">
        <v>2.53E-2</v>
      </c>
      <c r="D71">
        <v>43.207599999999999</v>
      </c>
      <c r="E71">
        <v>-48.4163</v>
      </c>
      <c r="F71">
        <v>43.207599999999999</v>
      </c>
      <c r="G71">
        <v>-48.4163</v>
      </c>
      <c r="H71">
        <v>0</v>
      </c>
      <c r="I71" t="s">
        <v>327</v>
      </c>
      <c r="J71" t="s">
        <v>336</v>
      </c>
      <c r="K71">
        <v>13494</v>
      </c>
      <c r="L71" s="4">
        <f>_xlfn.XLOOKUP(A71,[2]Int_NH!A:A,[2]Int_NH!B:B,"-",0)</f>
        <v>4.84891E-2</v>
      </c>
    </row>
    <row r="72" spans="1:12" x14ac:dyDescent="0.2">
      <c r="A72" t="s">
        <v>387</v>
      </c>
      <c r="B72">
        <v>2.3E-2</v>
      </c>
      <c r="C72">
        <v>5.1999999999999998E-2</v>
      </c>
      <c r="D72">
        <v>43.215800000000002</v>
      </c>
      <c r="E72">
        <v>-1.2747999999999999</v>
      </c>
      <c r="F72">
        <v>43.216299999999997</v>
      </c>
      <c r="G72">
        <v>-1.274</v>
      </c>
      <c r="H72">
        <v>3.6</v>
      </c>
      <c r="I72" t="s">
        <v>327</v>
      </c>
      <c r="J72" t="s">
        <v>328</v>
      </c>
      <c r="K72">
        <v>3576</v>
      </c>
      <c r="L72" s="4">
        <f>_xlfn.XLOOKUP(A72,[2]Int_NH!A:A,[2]Int_NH!B:B,"-",0)</f>
        <v>6.6672800000000004E-2</v>
      </c>
    </row>
    <row r="73" spans="1:12" x14ac:dyDescent="0.2">
      <c r="A73" t="s">
        <v>388</v>
      </c>
      <c r="B73">
        <v>1.7000000000000001E-2</v>
      </c>
      <c r="C73">
        <v>9.5000000000000001E-2</v>
      </c>
      <c r="D73">
        <v>43.614600000000003</v>
      </c>
      <c r="E73">
        <v>41.5794</v>
      </c>
      <c r="F73">
        <v>43.615099999999998</v>
      </c>
      <c r="G73">
        <v>41.579700000000003</v>
      </c>
      <c r="H73">
        <v>1.8</v>
      </c>
      <c r="I73" t="s">
        <v>327</v>
      </c>
      <c r="J73" t="s">
        <v>336</v>
      </c>
      <c r="K73" t="s">
        <v>389</v>
      </c>
      <c r="L73" s="4">
        <f>_xlfn.XLOOKUP(A73,[2]Int_NH!A:A,[2]Int_NH!B:B,"-",0)</f>
        <v>3.03206E-2</v>
      </c>
    </row>
    <row r="74" spans="1:12" x14ac:dyDescent="0.2">
      <c r="A74" t="s">
        <v>390</v>
      </c>
      <c r="B74">
        <v>0.57999999999999996</v>
      </c>
      <c r="C74">
        <v>2.41E-2</v>
      </c>
      <c r="D74">
        <v>44.105600000000003</v>
      </c>
      <c r="E74">
        <v>-56.298200000000001</v>
      </c>
      <c r="F74">
        <v>44.105600000000003</v>
      </c>
      <c r="G74">
        <v>-56.298200000000001</v>
      </c>
      <c r="H74">
        <v>0</v>
      </c>
      <c r="I74" t="s">
        <v>327</v>
      </c>
      <c r="J74" t="s">
        <v>336</v>
      </c>
      <c r="K74" t="s">
        <v>391</v>
      </c>
      <c r="L74" s="4">
        <f>_xlfn.XLOOKUP(A74,[2]Int_NH!A:A,[2]Int_NH!B:B,"-",0)</f>
        <v>3.83162E-3</v>
      </c>
    </row>
    <row r="75" spans="1:12" x14ac:dyDescent="0.2">
      <c r="A75" t="s">
        <v>47</v>
      </c>
      <c r="B75">
        <v>0.50490000000000002</v>
      </c>
      <c r="C75">
        <v>2.12E-2</v>
      </c>
      <c r="D75">
        <v>44.287999999999997</v>
      </c>
      <c r="E75">
        <v>-23.434999999999999</v>
      </c>
      <c r="F75">
        <v>44.287999999999997</v>
      </c>
      <c r="G75">
        <v>-23.434999999999999</v>
      </c>
      <c r="H75">
        <v>0</v>
      </c>
      <c r="I75" t="s">
        <v>327</v>
      </c>
      <c r="J75" t="s">
        <v>328</v>
      </c>
      <c r="K75" t="s">
        <v>392</v>
      </c>
      <c r="L75" s="4">
        <f>_xlfn.XLOOKUP(A75,[2]Int_NH!A:A,[2]Int_NH!B:B,"-",0)</f>
        <v>1.0500499999999999E-2</v>
      </c>
    </row>
    <row r="76" spans="1:12" x14ac:dyDescent="0.2">
      <c r="A76" t="s">
        <v>48</v>
      </c>
      <c r="B76">
        <v>0.32200000000000001</v>
      </c>
      <c r="C76">
        <v>2.1600000000000001E-2</v>
      </c>
      <c r="D76">
        <v>44.421700000000001</v>
      </c>
      <c r="E76">
        <v>-22.154900000000001</v>
      </c>
      <c r="F76">
        <v>44.420900000000003</v>
      </c>
      <c r="G76">
        <v>-22.153099999999998</v>
      </c>
      <c r="H76">
        <v>7.2</v>
      </c>
      <c r="I76" t="s">
        <v>331</v>
      </c>
      <c r="J76" t="s">
        <v>328</v>
      </c>
      <c r="K76">
        <v>3267</v>
      </c>
      <c r="L76" s="4">
        <f>_xlfn.XLOOKUP(A76,[2]Int_NH!A:A,[2]Int_NH!B:B,"-",0)</f>
        <v>2.62866E-2</v>
      </c>
    </row>
    <row r="77" spans="1:12" x14ac:dyDescent="0.2">
      <c r="A77" t="s">
        <v>393</v>
      </c>
      <c r="B77">
        <v>2.4400000000000002E-2</v>
      </c>
      <c r="C77">
        <v>9.4299999999999995E-2</v>
      </c>
      <c r="D77">
        <v>44.423400000000001</v>
      </c>
      <c r="E77">
        <v>6.0243000000000002</v>
      </c>
      <c r="F77">
        <v>44.423400000000001</v>
      </c>
      <c r="G77">
        <v>6.0243000000000002</v>
      </c>
      <c r="H77">
        <v>0.2</v>
      </c>
      <c r="I77" t="s">
        <v>327</v>
      </c>
      <c r="J77" t="s">
        <v>328</v>
      </c>
      <c r="K77">
        <v>4181</v>
      </c>
      <c r="L77" s="4">
        <f>_xlfn.XLOOKUP(A77,[2]Int_NH!A:A,[2]Int_NH!B:B,"-",0)</f>
        <v>3.3335700000000003E-2</v>
      </c>
    </row>
    <row r="78" spans="1:12" x14ac:dyDescent="0.2">
      <c r="A78" t="s">
        <v>49</v>
      </c>
      <c r="B78">
        <v>7.1999999999999995E-2</v>
      </c>
      <c r="C78">
        <v>0.1193</v>
      </c>
      <c r="D78">
        <v>44.4726</v>
      </c>
      <c r="E78">
        <v>13.0253</v>
      </c>
      <c r="F78">
        <v>44.4724</v>
      </c>
      <c r="G78">
        <v>13.0252</v>
      </c>
      <c r="H78">
        <v>0.8</v>
      </c>
      <c r="I78" t="s">
        <v>327</v>
      </c>
      <c r="J78" t="s">
        <v>328</v>
      </c>
      <c r="K78">
        <v>3230</v>
      </c>
      <c r="L78" s="4">
        <f>_xlfn.XLOOKUP(A78,[2]Int_NH!A:A,[2]Int_NH!B:B,"-",0)</f>
        <v>0</v>
      </c>
    </row>
    <row r="79" spans="1:12" x14ac:dyDescent="0.2">
      <c r="A79" t="s">
        <v>50</v>
      </c>
      <c r="B79">
        <v>7.2999999999999995E-2</v>
      </c>
      <c r="C79">
        <v>2.06E-2</v>
      </c>
      <c r="D79">
        <v>44.546900000000001</v>
      </c>
      <c r="E79">
        <v>-52.728400000000001</v>
      </c>
      <c r="F79">
        <v>44.544600000000003</v>
      </c>
      <c r="G79">
        <v>-52.7333</v>
      </c>
      <c r="H79">
        <v>18.399999999999999</v>
      </c>
      <c r="I79" t="s">
        <v>331</v>
      </c>
      <c r="J79" t="s">
        <v>336</v>
      </c>
      <c r="K79" t="s">
        <v>394</v>
      </c>
      <c r="L79" s="4">
        <f>_xlfn.XLOOKUP(A79,[2]Int_NH!A:A,[2]Int_NH!B:B,"-",0)</f>
        <v>0</v>
      </c>
    </row>
    <row r="80" spans="1:12" x14ac:dyDescent="0.2">
      <c r="A80" t="s">
        <v>51</v>
      </c>
      <c r="B80">
        <v>7.3999999999999996E-2</v>
      </c>
      <c r="C80">
        <v>0.1017</v>
      </c>
      <c r="D80">
        <v>44.7438</v>
      </c>
      <c r="E80">
        <v>13.578799999999999</v>
      </c>
      <c r="F80">
        <v>44.737200000000001</v>
      </c>
      <c r="G80">
        <v>13.5707</v>
      </c>
      <c r="H80">
        <v>37.299999999999997</v>
      </c>
      <c r="I80" t="s">
        <v>331</v>
      </c>
      <c r="J80" t="s">
        <v>328</v>
      </c>
      <c r="K80">
        <v>14024</v>
      </c>
      <c r="L80" s="4">
        <f>_xlfn.XLOOKUP(A80,[2]Int_NH!A:A,[2]Int_NH!B:B,"-",0)</f>
        <v>2.37044E-2</v>
      </c>
    </row>
    <row r="81" spans="1:12" x14ac:dyDescent="0.2">
      <c r="A81" t="s">
        <v>52</v>
      </c>
      <c r="B81">
        <v>0.17</v>
      </c>
      <c r="C81">
        <v>7.5600000000000001E-2</v>
      </c>
      <c r="D81">
        <v>45.409199999999998</v>
      </c>
      <c r="E81">
        <v>1.9208000000000001</v>
      </c>
      <c r="F81">
        <v>45.409199999999998</v>
      </c>
      <c r="G81">
        <v>1.9205000000000001</v>
      </c>
      <c r="H81">
        <v>1</v>
      </c>
      <c r="I81" t="s">
        <v>327</v>
      </c>
      <c r="J81" t="s">
        <v>328</v>
      </c>
      <c r="K81">
        <v>12253</v>
      </c>
      <c r="L81" s="4">
        <f>_xlfn.XLOOKUP(A81,[2]Int_NH!A:A,[2]Int_NH!B:B,"-",0)</f>
        <v>1.37409E-2</v>
      </c>
    </row>
    <row r="82" spans="1:12" x14ac:dyDescent="0.2">
      <c r="A82" t="s">
        <v>395</v>
      </c>
      <c r="B82">
        <v>0.35</v>
      </c>
      <c r="C82">
        <v>5.5599999999999997E-2</v>
      </c>
      <c r="D82">
        <v>45.588000000000001</v>
      </c>
      <c r="E82">
        <v>-4.3899999999999997</v>
      </c>
      <c r="F82">
        <v>45.5886</v>
      </c>
      <c r="G82">
        <v>-4.3905000000000003</v>
      </c>
      <c r="H82">
        <v>2.8</v>
      </c>
      <c r="I82" t="s">
        <v>327</v>
      </c>
      <c r="J82" t="s">
        <v>336</v>
      </c>
      <c r="K82">
        <v>5782</v>
      </c>
      <c r="L82" s="4">
        <f>_xlfn.XLOOKUP(A82,[2]Int_NH!A:A,[2]Int_NH!B:B,"-",0)</f>
        <v>2.4237999999999999E-2</v>
      </c>
    </row>
    <row r="83" spans="1:12" x14ac:dyDescent="0.2">
      <c r="A83" t="s">
        <v>53</v>
      </c>
      <c r="B83">
        <v>0.27400000000000002</v>
      </c>
      <c r="C83">
        <v>8.77E-2</v>
      </c>
      <c r="D83">
        <v>45.941299999999998</v>
      </c>
      <c r="E83">
        <v>-77.879199999999997</v>
      </c>
      <c r="F83">
        <v>45.938699999999997</v>
      </c>
      <c r="G83">
        <v>-77.879800000000003</v>
      </c>
      <c r="H83">
        <v>2.8</v>
      </c>
      <c r="I83" t="s">
        <v>327</v>
      </c>
      <c r="J83" t="s">
        <v>328</v>
      </c>
      <c r="K83">
        <v>15113</v>
      </c>
      <c r="L83" s="4">
        <f>_xlfn.XLOOKUP(A83,[2]Int_NH!A:A,[2]Int_NH!B:B,"-",0)</f>
        <v>5.0224499999999998E-2</v>
      </c>
    </row>
    <row r="84" spans="1:12" x14ac:dyDescent="0.2">
      <c r="A84" t="s">
        <v>54</v>
      </c>
      <c r="B84">
        <v>0.39200000000000002</v>
      </c>
      <c r="C84">
        <v>2.3800000000000002E-2</v>
      </c>
      <c r="D84">
        <v>46.067300000000003</v>
      </c>
      <c r="E84">
        <v>-49.356999999999999</v>
      </c>
      <c r="F84">
        <v>46.068100000000001</v>
      </c>
      <c r="G84">
        <v>-49.356999999999999</v>
      </c>
      <c r="H84">
        <v>2</v>
      </c>
      <c r="I84" t="s">
        <v>327</v>
      </c>
      <c r="J84" t="s">
        <v>336</v>
      </c>
      <c r="K84">
        <v>12265</v>
      </c>
      <c r="L84" s="4">
        <f>_xlfn.XLOOKUP(A84,[2]Int_NH!A:A,[2]Int_NH!B:B,"-",0)</f>
        <v>0</v>
      </c>
    </row>
    <row r="85" spans="1:12" x14ac:dyDescent="0.2">
      <c r="A85" t="s">
        <v>55</v>
      </c>
      <c r="B85">
        <v>3.3799999999999997E-2</v>
      </c>
      <c r="C85">
        <v>6.6500000000000004E-2</v>
      </c>
      <c r="D85">
        <v>46.618600000000001</v>
      </c>
      <c r="E85">
        <v>-9.7311999999999994</v>
      </c>
      <c r="F85">
        <v>46.618600000000001</v>
      </c>
      <c r="G85">
        <v>-9.7311999999999994</v>
      </c>
      <c r="H85">
        <v>0.1</v>
      </c>
      <c r="I85" t="s">
        <v>327</v>
      </c>
      <c r="J85" t="s">
        <v>328</v>
      </c>
      <c r="K85">
        <v>9389</v>
      </c>
      <c r="L85" s="4">
        <f>_xlfn.XLOOKUP(A85,[2]Int_NH!A:A,[2]Int_NH!B:B,"-",0)</f>
        <v>6.1379999999999997E-2</v>
      </c>
    </row>
    <row r="86" spans="1:12" x14ac:dyDescent="0.2">
      <c r="A86" t="s">
        <v>396</v>
      </c>
      <c r="B86">
        <v>0.253</v>
      </c>
      <c r="C86">
        <v>1.37E-2</v>
      </c>
      <c r="D86">
        <v>46.758099999999999</v>
      </c>
      <c r="E86">
        <v>-28.665800000000001</v>
      </c>
      <c r="F86">
        <v>46.757199999999997</v>
      </c>
      <c r="G86">
        <v>-28.665400000000002</v>
      </c>
      <c r="H86">
        <v>3</v>
      </c>
      <c r="I86" t="s">
        <v>327</v>
      </c>
      <c r="J86" t="s">
        <v>328</v>
      </c>
      <c r="K86">
        <v>9414</v>
      </c>
      <c r="L86" s="4">
        <f>_xlfn.XLOOKUP(A86,[2]Int_NH!A:A,[2]Int_NH!B:B,"-",0)</f>
        <v>9.2492400000000006E-3</v>
      </c>
    </row>
    <row r="87" spans="1:12" x14ac:dyDescent="0.2">
      <c r="A87" t="s">
        <v>397</v>
      </c>
      <c r="B87">
        <v>0.57899999999999996</v>
      </c>
      <c r="C87">
        <v>2.4799999999999999E-2</v>
      </c>
      <c r="D87">
        <v>46.820300000000003</v>
      </c>
      <c r="E87">
        <v>-62.445799999999998</v>
      </c>
      <c r="F87">
        <v>46.820300000000003</v>
      </c>
      <c r="G87">
        <v>-62.445799999999998</v>
      </c>
      <c r="H87">
        <v>0</v>
      </c>
      <c r="I87" t="s">
        <v>327</v>
      </c>
      <c r="J87" t="s">
        <v>336</v>
      </c>
      <c r="K87">
        <v>12191</v>
      </c>
      <c r="L87" s="4">
        <f>_xlfn.XLOOKUP(A87,[2]Int_NH!A:A,[2]Int_NH!B:B,"-",0)</f>
        <v>2.4169699999999999E-2</v>
      </c>
    </row>
    <row r="88" spans="1:12" x14ac:dyDescent="0.2">
      <c r="A88" t="s">
        <v>398</v>
      </c>
      <c r="B88">
        <v>0.55000000000000004</v>
      </c>
      <c r="C88">
        <v>2.1000000000000001E-2</v>
      </c>
      <c r="D88">
        <v>46.960700000000003</v>
      </c>
      <c r="E88">
        <v>-50.701900000000002</v>
      </c>
      <c r="F88">
        <v>46.960700000000003</v>
      </c>
      <c r="G88">
        <v>-50.701900000000002</v>
      </c>
      <c r="H88">
        <v>0</v>
      </c>
      <c r="I88" t="s">
        <v>327</v>
      </c>
      <c r="J88" t="s">
        <v>336</v>
      </c>
      <c r="K88">
        <v>13476</v>
      </c>
      <c r="L88" s="4">
        <f>_xlfn.XLOOKUP(A88,[2]Int_NH!A:A,[2]Int_NH!B:B,"-",0)</f>
        <v>5.22636E-2</v>
      </c>
    </row>
    <row r="89" spans="1:12" x14ac:dyDescent="0.2">
      <c r="A89" t="s">
        <v>56</v>
      </c>
      <c r="B89">
        <v>0.32400000000000001</v>
      </c>
      <c r="C89">
        <v>0.1187</v>
      </c>
      <c r="D89">
        <v>47.2331</v>
      </c>
      <c r="E89">
        <v>26.761099999999999</v>
      </c>
      <c r="F89">
        <v>47.232999999999997</v>
      </c>
      <c r="G89">
        <v>26.7607</v>
      </c>
      <c r="H89">
        <v>1.7</v>
      </c>
      <c r="I89" t="s">
        <v>327</v>
      </c>
      <c r="J89" t="s">
        <v>328</v>
      </c>
      <c r="K89">
        <v>3268</v>
      </c>
      <c r="L89" s="4">
        <f>_xlfn.XLOOKUP(A89,[2]Int_NH!A:A,[2]Int_NH!B:B,"-",0)</f>
        <v>4.39125E-2</v>
      </c>
    </row>
    <row r="90" spans="1:12" x14ac:dyDescent="0.2">
      <c r="A90" t="s">
        <v>399</v>
      </c>
      <c r="B90">
        <v>0.70899999999999996</v>
      </c>
      <c r="C90">
        <v>2.2499999999999999E-2</v>
      </c>
      <c r="D90">
        <v>47.634900000000002</v>
      </c>
      <c r="E90">
        <v>-46.786200000000001</v>
      </c>
      <c r="F90">
        <v>47.634900000000002</v>
      </c>
      <c r="G90">
        <v>-46.786200000000001</v>
      </c>
      <c r="H90">
        <v>0</v>
      </c>
      <c r="I90" t="s">
        <v>327</v>
      </c>
      <c r="J90" t="s">
        <v>336</v>
      </c>
      <c r="K90">
        <v>13492</v>
      </c>
      <c r="L90" s="4">
        <f>_xlfn.XLOOKUP(A90,[2]Int_NH!A:A,[2]Int_NH!B:B,"-",0)</f>
        <v>0</v>
      </c>
    </row>
    <row r="91" spans="1:12" x14ac:dyDescent="0.2">
      <c r="A91" t="s">
        <v>57</v>
      </c>
      <c r="B91">
        <v>6.8000000000000005E-2</v>
      </c>
      <c r="C91">
        <v>1.54E-2</v>
      </c>
      <c r="D91">
        <v>47.898899999999998</v>
      </c>
      <c r="E91">
        <v>-26.898499999999999</v>
      </c>
      <c r="F91">
        <v>47.899500000000003</v>
      </c>
      <c r="G91">
        <v>-26.898800000000001</v>
      </c>
      <c r="H91">
        <v>2.2000000000000002</v>
      </c>
      <c r="I91" t="s">
        <v>327</v>
      </c>
      <c r="J91" t="s">
        <v>328</v>
      </c>
      <c r="K91">
        <v>5799</v>
      </c>
      <c r="L91" s="4">
        <f>_xlfn.XLOOKUP(A91,[2]Int_NH!A:A,[2]Int_NH!B:B,"-",0)</f>
        <v>4.22967E-2</v>
      </c>
    </row>
    <row r="92" spans="1:12" x14ac:dyDescent="0.2">
      <c r="A92" t="s">
        <v>58</v>
      </c>
      <c r="B92">
        <v>7.5200000000000003E-2</v>
      </c>
      <c r="C92">
        <v>2.5399999999999999E-2</v>
      </c>
      <c r="D92">
        <v>49.490499999999997</v>
      </c>
      <c r="E92">
        <v>-44.238399999999999</v>
      </c>
      <c r="F92">
        <v>49.490299999999998</v>
      </c>
      <c r="G92">
        <v>-44.238100000000003</v>
      </c>
      <c r="H92">
        <v>1.1000000000000001</v>
      </c>
      <c r="I92" t="s">
        <v>327</v>
      </c>
      <c r="J92" t="s">
        <v>336</v>
      </c>
      <c r="K92" t="s">
        <v>400</v>
      </c>
      <c r="L92" s="4">
        <f>_xlfn.XLOOKUP(A92,[2]Int_NH!A:A,[2]Int_NH!B:B,"-",0)</f>
        <v>1.0933999999999999E-2</v>
      </c>
    </row>
    <row r="93" spans="1:12" x14ac:dyDescent="0.2">
      <c r="A93" t="s">
        <v>59</v>
      </c>
      <c r="B93">
        <v>0.37</v>
      </c>
      <c r="C93">
        <v>4.7100000000000003E-2</v>
      </c>
      <c r="D93">
        <v>49.643700000000003</v>
      </c>
      <c r="E93">
        <v>-3.0508999999999999</v>
      </c>
      <c r="F93">
        <v>49.642899999999997</v>
      </c>
      <c r="G93">
        <v>-3.0497999999999998</v>
      </c>
      <c r="H93">
        <v>4.9000000000000004</v>
      </c>
      <c r="I93" t="s">
        <v>327</v>
      </c>
      <c r="J93" t="s">
        <v>336</v>
      </c>
      <c r="K93">
        <v>5775</v>
      </c>
      <c r="L93" s="4">
        <f>_xlfn.XLOOKUP(A93,[2]Int_NH!A:A,[2]Int_NH!B:B,"-",0)</f>
        <v>0</v>
      </c>
    </row>
    <row r="94" spans="1:12" x14ac:dyDescent="0.2">
      <c r="A94" t="s">
        <v>401</v>
      </c>
      <c r="B94">
        <v>6.9000000000000006E-2</v>
      </c>
      <c r="C94">
        <v>2.4299999999999999E-2</v>
      </c>
      <c r="D94">
        <v>50.484900000000003</v>
      </c>
      <c r="E94">
        <v>-51.326599999999999</v>
      </c>
      <c r="F94">
        <v>50.485300000000002</v>
      </c>
      <c r="G94">
        <v>-51.326500000000003</v>
      </c>
      <c r="H94">
        <v>0.9</v>
      </c>
      <c r="I94" t="s">
        <v>327</v>
      </c>
      <c r="J94" t="s">
        <v>328</v>
      </c>
      <c r="K94">
        <v>6951</v>
      </c>
      <c r="L94" s="4">
        <f>_xlfn.XLOOKUP(A94,[2]Int_NH!A:A,[2]Int_NH!B:B,"-",0)</f>
        <v>2.3090400000000001E-2</v>
      </c>
    </row>
    <row r="95" spans="1:12" x14ac:dyDescent="0.2">
      <c r="A95" t="s">
        <v>402</v>
      </c>
      <c r="B95">
        <v>0.73</v>
      </c>
      <c r="C95">
        <v>4.1599999999999998E-2</v>
      </c>
      <c r="D95">
        <v>51.0518</v>
      </c>
      <c r="E95">
        <v>-62.598799999999997</v>
      </c>
      <c r="F95">
        <v>51.0518</v>
      </c>
      <c r="G95">
        <v>-62.598799999999997</v>
      </c>
      <c r="H95">
        <v>0</v>
      </c>
      <c r="I95" t="s">
        <v>327</v>
      </c>
      <c r="J95" t="s">
        <v>336</v>
      </c>
      <c r="K95" t="s">
        <v>403</v>
      </c>
      <c r="L95" s="4">
        <f>_xlfn.XLOOKUP(A95,[2]Int_NH!A:A,[2]Int_NH!B:B,"-",0)</f>
        <v>5.8788300000000002E-2</v>
      </c>
    </row>
    <row r="96" spans="1:12" x14ac:dyDescent="0.2">
      <c r="A96" t="s">
        <v>404</v>
      </c>
      <c r="B96">
        <v>0.03</v>
      </c>
      <c r="C96">
        <v>8.7400000000000005E-2</v>
      </c>
      <c r="D96">
        <v>51.975700000000003</v>
      </c>
      <c r="E96">
        <v>2.5615999999999999</v>
      </c>
      <c r="F96">
        <v>51.975200000000001</v>
      </c>
      <c r="G96">
        <v>2.5615999999999999</v>
      </c>
      <c r="H96">
        <v>2</v>
      </c>
      <c r="I96" t="s">
        <v>327</v>
      </c>
      <c r="J96" t="s">
        <v>328</v>
      </c>
      <c r="K96" t="s">
        <v>405</v>
      </c>
      <c r="L96" s="4">
        <f>_xlfn.XLOOKUP(A96,[2]Int_NH!A:A,[2]Int_NH!B:B,"-",0)</f>
        <v>5.38685E-2</v>
      </c>
    </row>
    <row r="97" spans="1:12" x14ac:dyDescent="0.2">
      <c r="A97" t="s">
        <v>406</v>
      </c>
      <c r="B97">
        <v>0.59</v>
      </c>
      <c r="C97">
        <v>2.1700000000000001E-2</v>
      </c>
      <c r="D97">
        <v>52.1494</v>
      </c>
      <c r="E97">
        <v>-21.6736</v>
      </c>
      <c r="F97">
        <v>52.149099999999997</v>
      </c>
      <c r="G97">
        <v>-21.6736</v>
      </c>
      <c r="H97">
        <v>1</v>
      </c>
      <c r="I97" t="s">
        <v>327</v>
      </c>
      <c r="J97" t="s">
        <v>336</v>
      </c>
      <c r="K97" t="s">
        <v>407</v>
      </c>
      <c r="L97" s="4">
        <f>_xlfn.XLOOKUP(A97,[2]Int_NH!A:A,[2]Int_NH!B:B,"-",0)</f>
        <v>2.2339700000000001E-3</v>
      </c>
    </row>
    <row r="98" spans="1:12" x14ac:dyDescent="0.2">
      <c r="A98" t="s">
        <v>60</v>
      </c>
      <c r="B98">
        <v>8.5999999999999993E-2</v>
      </c>
      <c r="C98">
        <v>3.0599999999999999E-2</v>
      </c>
      <c r="D98">
        <v>52.1494</v>
      </c>
      <c r="E98">
        <v>-55.718000000000004</v>
      </c>
      <c r="F98">
        <v>52.1524</v>
      </c>
      <c r="G98">
        <v>-55.718000000000004</v>
      </c>
      <c r="H98">
        <v>5.9</v>
      </c>
      <c r="I98" t="s">
        <v>331</v>
      </c>
      <c r="J98" t="s">
        <v>328</v>
      </c>
      <c r="K98">
        <v>15313</v>
      </c>
      <c r="L98" s="4">
        <f>_xlfn.XLOOKUP(A98,[2]Int_NH!A:A,[2]Int_NH!B:B,"-",0)</f>
        <v>1.6841700000000001E-2</v>
      </c>
    </row>
    <row r="99" spans="1:12" x14ac:dyDescent="0.2">
      <c r="A99" t="s">
        <v>61</v>
      </c>
      <c r="B99">
        <v>0.45</v>
      </c>
      <c r="C99">
        <v>5.8500000000000003E-2</v>
      </c>
      <c r="D99">
        <v>52.423699999999997</v>
      </c>
      <c r="E99">
        <v>-2.1966000000000001</v>
      </c>
      <c r="F99">
        <v>52.423699999999997</v>
      </c>
      <c r="G99">
        <v>-2.1966000000000001</v>
      </c>
      <c r="H99">
        <v>0.2</v>
      </c>
      <c r="I99" t="s">
        <v>327</v>
      </c>
      <c r="J99" t="s">
        <v>328</v>
      </c>
      <c r="K99" t="s">
        <v>408</v>
      </c>
      <c r="L99" s="4">
        <f>_xlfn.XLOOKUP(A99,[2]Int_NH!A:A,[2]Int_NH!B:B,"-",0)</f>
        <v>0</v>
      </c>
    </row>
    <row r="100" spans="1:12" x14ac:dyDescent="0.2">
      <c r="A100" t="s">
        <v>62</v>
      </c>
      <c r="B100">
        <v>0.06</v>
      </c>
      <c r="C100">
        <v>1.49E-2</v>
      </c>
      <c r="D100">
        <v>52.460900000000002</v>
      </c>
      <c r="E100">
        <v>-52.580399999999997</v>
      </c>
      <c r="F100">
        <v>52.460500000000003</v>
      </c>
      <c r="G100">
        <v>-52.580100000000002</v>
      </c>
      <c r="H100">
        <v>1.4</v>
      </c>
      <c r="I100" t="s">
        <v>327</v>
      </c>
      <c r="J100" t="s">
        <v>328</v>
      </c>
      <c r="K100">
        <v>893</v>
      </c>
      <c r="L100" s="4">
        <f>_xlfn.XLOOKUP(A100,[2]Int_NH!A:A,[2]Int_NH!B:B,"-",0)</f>
        <v>1.9232599999999999E-2</v>
      </c>
    </row>
    <row r="101" spans="1:12" x14ac:dyDescent="0.2">
      <c r="A101" t="s">
        <v>63</v>
      </c>
      <c r="B101">
        <v>0.188</v>
      </c>
      <c r="C101">
        <v>2.4500000000000001E-2</v>
      </c>
      <c r="D101">
        <v>52.774999999999999</v>
      </c>
      <c r="E101">
        <v>-21.008900000000001</v>
      </c>
      <c r="F101">
        <v>52.775100000000002</v>
      </c>
      <c r="G101">
        <v>-21.0092</v>
      </c>
      <c r="H101">
        <v>0.8</v>
      </c>
      <c r="I101" t="s">
        <v>327</v>
      </c>
      <c r="J101" t="s">
        <v>328</v>
      </c>
      <c r="K101" t="s">
        <v>409</v>
      </c>
      <c r="L101" s="4">
        <f>_xlfn.XLOOKUP(A101,[2]Int_NH!A:A,[2]Int_NH!B:B,"-",0)</f>
        <v>3.1478399999999997E-2</v>
      </c>
    </row>
    <row r="102" spans="1:12" x14ac:dyDescent="0.2">
      <c r="A102" t="s">
        <v>410</v>
      </c>
      <c r="B102">
        <v>0.48499999999999999</v>
      </c>
      <c r="C102">
        <v>1.6E-2</v>
      </c>
      <c r="D102">
        <v>53.545999999999999</v>
      </c>
      <c r="E102">
        <v>-46.996000000000002</v>
      </c>
      <c r="F102">
        <v>53.545999999999999</v>
      </c>
      <c r="G102">
        <v>-46.996000000000002</v>
      </c>
      <c r="H102">
        <v>0</v>
      </c>
      <c r="I102" t="s">
        <v>327</v>
      </c>
      <c r="J102" t="s">
        <v>336</v>
      </c>
      <c r="K102">
        <v>13470</v>
      </c>
      <c r="L102" s="4">
        <f>_xlfn.XLOOKUP(A102,[2]Int_NH!A:A,[2]Int_NH!B:B,"-",0)</f>
        <v>9.1055800000000003E-3</v>
      </c>
    </row>
    <row r="103" spans="1:12" x14ac:dyDescent="0.2">
      <c r="A103" t="s">
        <v>411</v>
      </c>
      <c r="B103">
        <v>0.13900000000000001</v>
      </c>
      <c r="C103">
        <v>7.2599999999999998E-2</v>
      </c>
      <c r="D103">
        <v>53.5625</v>
      </c>
      <c r="E103">
        <v>-1.1881999999999999</v>
      </c>
      <c r="F103">
        <v>53.5625</v>
      </c>
      <c r="G103">
        <v>-1.1881999999999999</v>
      </c>
      <c r="H103">
        <v>0</v>
      </c>
      <c r="I103" t="s">
        <v>327</v>
      </c>
      <c r="J103" t="s">
        <v>328</v>
      </c>
      <c r="K103" t="s">
        <v>412</v>
      </c>
      <c r="L103" s="4">
        <f>_xlfn.XLOOKUP(A103,[2]Int_NH!A:A,[2]Int_NH!B:B,"-",0)</f>
        <v>3.48867E-2</v>
      </c>
    </row>
    <row r="104" spans="1:12" x14ac:dyDescent="0.2">
      <c r="A104" t="s">
        <v>413</v>
      </c>
      <c r="B104">
        <v>4.5999999999999999E-3</v>
      </c>
      <c r="C104">
        <v>1.49E-2</v>
      </c>
      <c r="D104">
        <v>54.620399999999997</v>
      </c>
      <c r="E104">
        <v>-35.4499</v>
      </c>
      <c r="F104">
        <v>54.620399999999997</v>
      </c>
      <c r="G104">
        <v>-35.4499</v>
      </c>
      <c r="H104">
        <v>0.1</v>
      </c>
      <c r="I104" t="s">
        <v>327</v>
      </c>
      <c r="J104" t="s">
        <v>328</v>
      </c>
      <c r="K104">
        <v>4172</v>
      </c>
      <c r="L104" s="4">
        <f>_xlfn.XLOOKUP(A104,[2]Int_NH!A:A,[2]Int_NH!B:B,"-",0)</f>
        <v>5.54891E-2</v>
      </c>
    </row>
    <row r="105" spans="1:12" x14ac:dyDescent="0.2">
      <c r="A105" t="s">
        <v>414</v>
      </c>
      <c r="B105">
        <v>3.6299999999999999E-2</v>
      </c>
      <c r="C105">
        <v>0.18140000000000001</v>
      </c>
      <c r="D105">
        <v>54.671300000000002</v>
      </c>
      <c r="E105">
        <v>9.9669000000000008</v>
      </c>
      <c r="F105">
        <v>54.671300000000002</v>
      </c>
      <c r="G105">
        <v>9.9669000000000008</v>
      </c>
      <c r="H105">
        <v>0.2</v>
      </c>
      <c r="I105" t="s">
        <v>327</v>
      </c>
      <c r="J105" t="s">
        <v>328</v>
      </c>
      <c r="K105" t="s">
        <v>415</v>
      </c>
      <c r="L105" s="4">
        <f>_xlfn.XLOOKUP(A105,[2]Int_NH!A:A,[2]Int_NH!B:B,"-",0)</f>
        <v>5.91859E-2</v>
      </c>
    </row>
    <row r="106" spans="1:12" x14ac:dyDescent="0.2">
      <c r="A106" t="s">
        <v>64</v>
      </c>
      <c r="B106">
        <v>6.8000000000000005E-2</v>
      </c>
      <c r="C106">
        <v>8.6999999999999994E-3</v>
      </c>
      <c r="D106">
        <v>55.104999999999997</v>
      </c>
      <c r="E106">
        <v>-28.677399999999999</v>
      </c>
      <c r="F106">
        <v>55.098799999999997</v>
      </c>
      <c r="G106">
        <v>-28.683700000000002</v>
      </c>
      <c r="H106">
        <v>30</v>
      </c>
      <c r="I106" t="s">
        <v>331</v>
      </c>
      <c r="J106" t="s">
        <v>336</v>
      </c>
      <c r="K106">
        <v>9385</v>
      </c>
      <c r="L106" s="4">
        <f>_xlfn.XLOOKUP(A106,[2]Int_NH!A:A,[2]Int_NH!B:B,"-",0)</f>
        <v>0</v>
      </c>
    </row>
    <row r="107" spans="1:12" x14ac:dyDescent="0.2">
      <c r="A107" t="s">
        <v>65</v>
      </c>
      <c r="B107">
        <v>7.0000000000000007E-2</v>
      </c>
      <c r="C107">
        <v>1.6199999999999999E-2</v>
      </c>
      <c r="D107">
        <v>55.2241</v>
      </c>
      <c r="E107">
        <v>-45.6768</v>
      </c>
      <c r="F107">
        <v>55.2241</v>
      </c>
      <c r="G107">
        <v>-45.676499999999997</v>
      </c>
      <c r="H107">
        <v>1</v>
      </c>
      <c r="I107" t="s">
        <v>327</v>
      </c>
      <c r="J107" t="s">
        <v>328</v>
      </c>
      <c r="K107">
        <v>6954</v>
      </c>
      <c r="L107" s="4">
        <f>_xlfn.XLOOKUP(A107,[2]Int_NH!A:A,[2]Int_NH!B:B,"-",0)</f>
        <v>2.0414700000000001E-2</v>
      </c>
    </row>
    <row r="108" spans="1:12" x14ac:dyDescent="0.2">
      <c r="A108" t="s">
        <v>416</v>
      </c>
      <c r="B108">
        <v>2.9000000000000001E-2</v>
      </c>
      <c r="C108">
        <v>0.1615</v>
      </c>
      <c r="D108">
        <v>55.315300000000001</v>
      </c>
      <c r="E108">
        <v>15.409700000000001</v>
      </c>
      <c r="F108">
        <v>55.322899999999997</v>
      </c>
      <c r="G108">
        <v>15.3985</v>
      </c>
      <c r="H108">
        <v>48</v>
      </c>
      <c r="I108" t="s">
        <v>331</v>
      </c>
      <c r="J108" t="s">
        <v>328</v>
      </c>
      <c r="K108">
        <v>4182</v>
      </c>
      <c r="L108" s="4">
        <f>_xlfn.XLOOKUP(A108,[2]Int_NH!A:A,[2]Int_NH!B:B,"-",0)</f>
        <v>4.3490099999999997E-2</v>
      </c>
    </row>
    <row r="109" spans="1:12" x14ac:dyDescent="0.2">
      <c r="A109" t="s">
        <v>66</v>
      </c>
      <c r="B109">
        <v>0.06</v>
      </c>
      <c r="C109">
        <v>1.4E-2</v>
      </c>
      <c r="D109">
        <v>55.713900000000002</v>
      </c>
      <c r="E109">
        <v>-53.6297</v>
      </c>
      <c r="F109">
        <v>55.727800000000002</v>
      </c>
      <c r="G109">
        <v>-53.623399999999997</v>
      </c>
      <c r="H109">
        <v>37.200000000000003</v>
      </c>
      <c r="I109" t="s">
        <v>331</v>
      </c>
      <c r="J109" t="s">
        <v>336</v>
      </c>
      <c r="K109" t="s">
        <v>417</v>
      </c>
      <c r="L109" s="4">
        <f>_xlfn.XLOOKUP(A109,[2]Int_NH!A:A,[2]Int_NH!B:B,"-",0)</f>
        <v>2.1087600000000001E-2</v>
      </c>
    </row>
    <row r="110" spans="1:12" x14ac:dyDescent="0.2">
      <c r="A110" t="s">
        <v>67</v>
      </c>
      <c r="B110">
        <v>0.55000000000000004</v>
      </c>
      <c r="C110">
        <v>1.67E-2</v>
      </c>
      <c r="D110">
        <v>56.732599999999998</v>
      </c>
      <c r="E110">
        <v>-54.648499999999999</v>
      </c>
      <c r="F110">
        <v>56.7331</v>
      </c>
      <c r="G110">
        <v>-54.648800000000001</v>
      </c>
      <c r="H110">
        <v>1.4</v>
      </c>
      <c r="I110" t="s">
        <v>327</v>
      </c>
      <c r="J110" t="s">
        <v>336</v>
      </c>
      <c r="K110" t="s">
        <v>418</v>
      </c>
      <c r="L110" s="4">
        <f>_xlfn.XLOOKUP(A110,[2]Int_NH!A:A,[2]Int_NH!B:B,"-",0)</f>
        <v>3.01512E-2</v>
      </c>
    </row>
    <row r="111" spans="1:12" x14ac:dyDescent="0.2">
      <c r="A111" t="s">
        <v>419</v>
      </c>
      <c r="B111">
        <v>0.67</v>
      </c>
      <c r="C111">
        <v>2.5600000000000001E-2</v>
      </c>
      <c r="D111">
        <v>58.241599999999998</v>
      </c>
      <c r="E111">
        <v>-56.795499999999997</v>
      </c>
      <c r="F111">
        <v>58.241599999999998</v>
      </c>
      <c r="G111">
        <v>-56.795499999999997</v>
      </c>
      <c r="H111">
        <v>0</v>
      </c>
      <c r="I111" t="s">
        <v>327</v>
      </c>
      <c r="J111" t="s">
        <v>336</v>
      </c>
      <c r="K111">
        <v>13490</v>
      </c>
      <c r="L111" s="4">
        <f>_xlfn.XLOOKUP(A111,[2]Int_NH!A:A,[2]Int_NH!B:B,"-",0)</f>
        <v>0</v>
      </c>
    </row>
    <row r="112" spans="1:12" x14ac:dyDescent="0.2">
      <c r="A112" t="s">
        <v>68</v>
      </c>
      <c r="B112">
        <v>0.109</v>
      </c>
      <c r="C112">
        <v>0.13900000000000001</v>
      </c>
      <c r="D112">
        <v>58.245699999999999</v>
      </c>
      <c r="E112">
        <v>19.683</v>
      </c>
      <c r="F112">
        <v>58.243699999999997</v>
      </c>
      <c r="G112">
        <v>19.681899999999999</v>
      </c>
      <c r="H112">
        <v>7.9</v>
      </c>
      <c r="I112" t="s">
        <v>331</v>
      </c>
      <c r="J112" t="s">
        <v>328</v>
      </c>
      <c r="K112">
        <v>10466</v>
      </c>
      <c r="L112" s="4">
        <f>_xlfn.XLOOKUP(A112,[2]Int_NH!A:A,[2]Int_NH!B:B,"-",0)</f>
        <v>2.22586E-2</v>
      </c>
    </row>
    <row r="113" spans="1:12" x14ac:dyDescent="0.2">
      <c r="A113" t="s">
        <v>69</v>
      </c>
      <c r="B113">
        <v>0.42499999999999999</v>
      </c>
      <c r="C113">
        <v>1.0200000000000001E-2</v>
      </c>
      <c r="D113">
        <v>59.726300000000002</v>
      </c>
      <c r="E113">
        <v>-29.925899999999999</v>
      </c>
      <c r="F113">
        <v>59.719000000000001</v>
      </c>
      <c r="G113">
        <v>-29.930299999999999</v>
      </c>
      <c r="H113">
        <v>27.6</v>
      </c>
      <c r="I113" t="s">
        <v>331</v>
      </c>
      <c r="J113" t="s">
        <v>328</v>
      </c>
      <c r="K113" t="s">
        <v>420</v>
      </c>
      <c r="L113" s="4">
        <f>_xlfn.XLOOKUP(A113,[2]Int_NH!A:A,[2]Int_NH!B:B,"-",0)</f>
        <v>1.95595E-2</v>
      </c>
    </row>
    <row r="114" spans="1:12" x14ac:dyDescent="0.2">
      <c r="A114" t="s">
        <v>70</v>
      </c>
      <c r="B114">
        <v>0.68600000000000005</v>
      </c>
      <c r="C114">
        <v>2.0199999999999999E-2</v>
      </c>
      <c r="D114">
        <v>61.351700000000001</v>
      </c>
      <c r="E114">
        <v>-41.005400000000002</v>
      </c>
      <c r="F114">
        <v>61.351700000000001</v>
      </c>
      <c r="G114">
        <v>-41.005699999999997</v>
      </c>
      <c r="H114">
        <v>1</v>
      </c>
      <c r="I114" t="s">
        <v>327</v>
      </c>
      <c r="J114" t="s">
        <v>336</v>
      </c>
      <c r="K114">
        <v>7191</v>
      </c>
      <c r="L114" s="4">
        <f>_xlfn.XLOOKUP(A114,[2]Int_NH!A:A,[2]Int_NH!B:B,"-",0)</f>
        <v>3.9104700000000001E-3</v>
      </c>
    </row>
    <row r="115" spans="1:12" x14ac:dyDescent="0.2">
      <c r="A115" t="s">
        <v>71</v>
      </c>
      <c r="B115">
        <v>8.7999999999999995E-2</v>
      </c>
      <c r="C115">
        <v>0.15060000000000001</v>
      </c>
      <c r="D115">
        <v>63.354999999999997</v>
      </c>
      <c r="E115">
        <v>10.465299999999999</v>
      </c>
      <c r="F115">
        <v>63.355600000000003</v>
      </c>
      <c r="G115">
        <v>10.465299999999999</v>
      </c>
      <c r="H115">
        <v>2.1</v>
      </c>
      <c r="I115" t="s">
        <v>327</v>
      </c>
      <c r="J115" t="s">
        <v>328</v>
      </c>
      <c r="K115">
        <v>1669</v>
      </c>
      <c r="L115" s="4">
        <f>_xlfn.XLOOKUP(A115,[2]Int_NH!A:A,[2]Int_NH!B:B,"-",0)</f>
        <v>0.16037799999999999</v>
      </c>
    </row>
    <row r="116" spans="1:12" x14ac:dyDescent="0.2">
      <c r="A116" t="s">
        <v>72</v>
      </c>
      <c r="B116">
        <v>0.42</v>
      </c>
      <c r="C116">
        <v>3.1600000000000003E-2</v>
      </c>
      <c r="D116">
        <v>64.039400000000001</v>
      </c>
      <c r="E116">
        <v>-24.0655</v>
      </c>
      <c r="F116">
        <v>64.039299999999997</v>
      </c>
      <c r="G116">
        <v>-24.0669</v>
      </c>
      <c r="H116">
        <v>4.9000000000000004</v>
      </c>
      <c r="I116" t="s">
        <v>327</v>
      </c>
      <c r="J116" t="s">
        <v>328</v>
      </c>
      <c r="K116" t="s">
        <v>421</v>
      </c>
      <c r="L116" s="4">
        <f>_xlfn.XLOOKUP(A116,[2]Int_NH!A:A,[2]Int_NH!B:B,"-",0)</f>
        <v>2.30257E-2</v>
      </c>
    </row>
    <row r="117" spans="1:12" x14ac:dyDescent="0.2">
      <c r="A117" t="s">
        <v>422</v>
      </c>
      <c r="B117">
        <v>0.62</v>
      </c>
      <c r="C117">
        <v>1.8200000000000001E-2</v>
      </c>
      <c r="D117">
        <v>64.346500000000006</v>
      </c>
      <c r="E117">
        <v>-47.813400000000001</v>
      </c>
      <c r="F117">
        <v>64.346500000000006</v>
      </c>
      <c r="G117">
        <v>-47.813400000000001</v>
      </c>
      <c r="H117">
        <v>0</v>
      </c>
      <c r="I117" t="s">
        <v>327</v>
      </c>
      <c r="J117" t="s">
        <v>336</v>
      </c>
      <c r="K117">
        <v>13397</v>
      </c>
      <c r="L117" s="4">
        <f>_xlfn.XLOOKUP(A117,[2]Int_NH!A:A,[2]Int_NH!B:B,"-",0)</f>
        <v>2.8403899999999999E-2</v>
      </c>
    </row>
    <row r="118" spans="1:12" x14ac:dyDescent="0.2">
      <c r="A118" t="s">
        <v>423</v>
      </c>
      <c r="B118">
        <v>0.44</v>
      </c>
      <c r="C118">
        <v>3.8800000000000001E-2</v>
      </c>
      <c r="D118">
        <v>64.392600000000002</v>
      </c>
      <c r="E118">
        <v>-11.909599999999999</v>
      </c>
      <c r="F118">
        <v>64.394499999999994</v>
      </c>
      <c r="G118">
        <v>-11.9091</v>
      </c>
      <c r="H118">
        <v>6.9</v>
      </c>
      <c r="I118" t="s">
        <v>331</v>
      </c>
      <c r="J118" t="s">
        <v>328</v>
      </c>
      <c r="K118" t="s">
        <v>424</v>
      </c>
      <c r="L118" s="4">
        <f>_xlfn.XLOOKUP(A118,[2]Int_NH!A:A,[2]Int_NH!B:B,"-",0)</f>
        <v>6.2510899999999999E-3</v>
      </c>
    </row>
    <row r="119" spans="1:12" x14ac:dyDescent="0.2">
      <c r="A119" t="s">
        <v>425</v>
      </c>
      <c r="B119">
        <v>1.23E-2</v>
      </c>
      <c r="C119">
        <v>0.11210000000000001</v>
      </c>
      <c r="D119">
        <v>64.908299999999997</v>
      </c>
      <c r="E119">
        <v>2.4102000000000001</v>
      </c>
      <c r="F119">
        <v>64.908799999999999</v>
      </c>
      <c r="G119">
        <v>2.4098999999999999</v>
      </c>
      <c r="H119">
        <v>2.1</v>
      </c>
      <c r="I119" t="s">
        <v>327</v>
      </c>
      <c r="J119" t="s">
        <v>328</v>
      </c>
      <c r="K119" t="s">
        <v>426</v>
      </c>
      <c r="L119" s="4">
        <f>_xlfn.XLOOKUP(A119,[2]Int_NH!A:A,[2]Int_NH!B:B,"-",0)</f>
        <v>2.4321200000000001E-2</v>
      </c>
    </row>
    <row r="120" spans="1:12" x14ac:dyDescent="0.2">
      <c r="A120" t="s">
        <v>73</v>
      </c>
      <c r="B120">
        <v>0.04</v>
      </c>
      <c r="C120">
        <v>6.2399999999999997E-2</v>
      </c>
      <c r="D120">
        <v>66.463399999999993</v>
      </c>
      <c r="E120">
        <v>-8.5603999999999996</v>
      </c>
      <c r="F120">
        <v>66.4636</v>
      </c>
      <c r="G120">
        <v>-8.5601000000000003</v>
      </c>
      <c r="H120">
        <v>1.4</v>
      </c>
      <c r="I120" t="s">
        <v>327</v>
      </c>
      <c r="J120" t="s">
        <v>328</v>
      </c>
      <c r="K120">
        <v>4183</v>
      </c>
      <c r="L120" s="4">
        <f>_xlfn.XLOOKUP(A120,[2]Int_NH!A:A,[2]Int_NH!B:B,"-",0)</f>
        <v>6.6646800000000006E-2</v>
      </c>
    </row>
    <row r="121" spans="1:12" x14ac:dyDescent="0.2">
      <c r="A121" t="s">
        <v>427</v>
      </c>
      <c r="B121">
        <v>0.63</v>
      </c>
      <c r="C121">
        <v>1.5100000000000001E-2</v>
      </c>
      <c r="D121">
        <v>66.519099999999995</v>
      </c>
      <c r="E121">
        <v>-54.9116</v>
      </c>
      <c r="F121">
        <v>66.519099999999995</v>
      </c>
      <c r="G121">
        <v>-54.9116</v>
      </c>
      <c r="H121">
        <v>0</v>
      </c>
      <c r="I121" t="s">
        <v>327</v>
      </c>
      <c r="J121" t="s">
        <v>336</v>
      </c>
      <c r="K121">
        <v>13472</v>
      </c>
      <c r="L121" s="4">
        <f>_xlfn.XLOOKUP(A121,[2]Int_NH!A:A,[2]Int_NH!B:B,"-",0)</f>
        <v>7.0278099999999996E-2</v>
      </c>
    </row>
    <row r="122" spans="1:12" x14ac:dyDescent="0.2">
      <c r="A122" t="s">
        <v>428</v>
      </c>
      <c r="B122">
        <v>3.9E-2</v>
      </c>
      <c r="C122">
        <v>1.0999999999999999E-2</v>
      </c>
      <c r="D122">
        <v>67.156899999999993</v>
      </c>
      <c r="E122">
        <v>-53.840200000000003</v>
      </c>
      <c r="F122">
        <v>67.155900000000003</v>
      </c>
      <c r="G122">
        <v>-53.841799999999999</v>
      </c>
      <c r="H122">
        <v>6.2</v>
      </c>
      <c r="I122" t="s">
        <v>331</v>
      </c>
      <c r="J122" t="s">
        <v>328</v>
      </c>
      <c r="K122" t="s">
        <v>429</v>
      </c>
      <c r="L122" s="4">
        <f>_xlfn.XLOOKUP(A122,[2]Int_NH!A:A,[2]Int_NH!B:B,"-",0)</f>
        <v>0</v>
      </c>
    </row>
    <row r="123" spans="1:12" x14ac:dyDescent="0.2">
      <c r="A123" t="s">
        <v>74</v>
      </c>
      <c r="B123">
        <v>0.39900000000000002</v>
      </c>
      <c r="C123">
        <v>5.8700000000000002E-2</v>
      </c>
      <c r="D123">
        <v>67.400000000000006</v>
      </c>
      <c r="E123">
        <v>-2.8854000000000002</v>
      </c>
      <c r="F123">
        <v>67.400400000000005</v>
      </c>
      <c r="G123">
        <v>-2.8858000000000001</v>
      </c>
      <c r="H123">
        <v>2</v>
      </c>
      <c r="I123" t="s">
        <v>327</v>
      </c>
      <c r="J123" t="s">
        <v>328</v>
      </c>
      <c r="K123">
        <v>3271</v>
      </c>
      <c r="L123" s="4">
        <f>_xlfn.XLOOKUP(A123,[2]Int_NH!A:A,[2]Int_NH!B:B,"-",0)</f>
        <v>3.59713E-3</v>
      </c>
    </row>
    <row r="124" spans="1:12" x14ac:dyDescent="0.2">
      <c r="A124" t="s">
        <v>430</v>
      </c>
      <c r="B124">
        <v>5.8900000000000001E-2</v>
      </c>
      <c r="C124">
        <v>1.5699999999999999E-2</v>
      </c>
      <c r="D124">
        <v>67.804400000000001</v>
      </c>
      <c r="E124">
        <v>-61.453699999999998</v>
      </c>
      <c r="F124">
        <v>67.805400000000006</v>
      </c>
      <c r="G124">
        <v>-61.453499999999998</v>
      </c>
      <c r="H124">
        <v>2</v>
      </c>
      <c r="I124" t="s">
        <v>327</v>
      </c>
      <c r="J124" t="s">
        <v>328</v>
      </c>
      <c r="K124">
        <v>899</v>
      </c>
      <c r="L124" s="4">
        <f>_xlfn.XLOOKUP(A124,[2]Int_NH!A:A,[2]Int_NH!B:B,"-",0)</f>
        <v>2.7536000000000001E-2</v>
      </c>
    </row>
    <row r="125" spans="1:12" x14ac:dyDescent="0.2">
      <c r="A125" t="s">
        <v>431</v>
      </c>
      <c r="B125">
        <v>3.2899999999999999E-2</v>
      </c>
      <c r="C125">
        <v>4.8099999999999997E-2</v>
      </c>
      <c r="D125">
        <v>68.408500000000004</v>
      </c>
      <c r="E125">
        <v>-13.260999999999999</v>
      </c>
      <c r="F125">
        <v>68.408500000000004</v>
      </c>
      <c r="G125">
        <v>-13.260999999999999</v>
      </c>
      <c r="H125">
        <v>0.1</v>
      </c>
      <c r="I125" t="s">
        <v>327</v>
      </c>
      <c r="J125" t="s">
        <v>328</v>
      </c>
      <c r="K125">
        <v>4976</v>
      </c>
      <c r="L125" s="4">
        <f>_xlfn.XLOOKUP(A125,[2]Int_NH!A:A,[2]Int_NH!B:B,"-",0)</f>
        <v>2.9737699999999999E-2</v>
      </c>
    </row>
    <row r="126" spans="1:12" x14ac:dyDescent="0.2">
      <c r="A126" t="s">
        <v>432</v>
      </c>
      <c r="B126">
        <v>0.28499999999999998</v>
      </c>
      <c r="C126">
        <v>7.9799999999999996E-2</v>
      </c>
      <c r="D126">
        <v>69.2898</v>
      </c>
      <c r="E126">
        <v>0.73219999999999996</v>
      </c>
      <c r="F126">
        <v>69.2898</v>
      </c>
      <c r="G126">
        <v>0.73219999999999996</v>
      </c>
      <c r="H126">
        <v>0</v>
      </c>
      <c r="I126" t="s">
        <v>327</v>
      </c>
      <c r="J126" t="s">
        <v>328</v>
      </c>
      <c r="K126" t="s">
        <v>433</v>
      </c>
      <c r="L126" s="4">
        <f>_xlfn.XLOOKUP(A126,[2]Int_NH!A:A,[2]Int_NH!B:B,"-",0)</f>
        <v>1.3638699999999999E-7</v>
      </c>
    </row>
    <row r="127" spans="1:12" x14ac:dyDescent="0.2">
      <c r="A127" t="s">
        <v>75</v>
      </c>
      <c r="B127">
        <v>0.23</v>
      </c>
      <c r="C127">
        <v>0.111</v>
      </c>
      <c r="D127">
        <v>69.752300000000005</v>
      </c>
      <c r="E127">
        <v>7.2683999999999997</v>
      </c>
      <c r="F127">
        <v>69.753</v>
      </c>
      <c r="G127">
        <v>7.2687999999999997</v>
      </c>
      <c r="H127">
        <v>2.7</v>
      </c>
      <c r="I127" t="s">
        <v>327</v>
      </c>
      <c r="J127" t="s">
        <v>328</v>
      </c>
      <c r="K127">
        <v>3583</v>
      </c>
      <c r="L127" s="4">
        <f>_xlfn.XLOOKUP(A127,[2]Int_NH!A:A,[2]Int_NH!B:B,"-",0)</f>
        <v>0</v>
      </c>
    </row>
    <row r="128" spans="1:12" x14ac:dyDescent="0.2">
      <c r="A128" t="s">
        <v>76</v>
      </c>
      <c r="B128">
        <v>0.20799999999999999</v>
      </c>
      <c r="C128">
        <v>0.1031</v>
      </c>
      <c r="D128">
        <v>69.759</v>
      </c>
      <c r="E128">
        <v>5.3453999999999997</v>
      </c>
      <c r="F128">
        <v>69.759200000000007</v>
      </c>
      <c r="G128">
        <v>5.3452999999999999</v>
      </c>
      <c r="H128">
        <v>0.9</v>
      </c>
      <c r="I128" t="s">
        <v>327</v>
      </c>
      <c r="J128" t="s">
        <v>328</v>
      </c>
      <c r="K128" t="s">
        <v>434</v>
      </c>
      <c r="L128" s="4">
        <f>_xlfn.XLOOKUP(A128,[2]Int_NH!A:A,[2]Int_NH!B:B,"-",0)</f>
        <v>3.6610700000000003E-2</v>
      </c>
    </row>
    <row r="129" spans="1:12" x14ac:dyDescent="0.2">
      <c r="A129" t="s">
        <v>77</v>
      </c>
      <c r="B129">
        <v>0.19</v>
      </c>
      <c r="C129">
        <v>9.9099999999999994E-2</v>
      </c>
      <c r="D129">
        <v>70.791399999999996</v>
      </c>
      <c r="E129">
        <v>2.1720000000000002</v>
      </c>
      <c r="F129">
        <v>70.791499999999999</v>
      </c>
      <c r="G129">
        <v>2.1718999999999999</v>
      </c>
      <c r="H129">
        <v>0.5</v>
      </c>
      <c r="I129" t="s">
        <v>327</v>
      </c>
      <c r="J129" t="s">
        <v>328</v>
      </c>
      <c r="K129">
        <v>4196</v>
      </c>
      <c r="L129" s="4">
        <f>_xlfn.XLOOKUP(A129,[2]Int_NH!A:A,[2]Int_NH!B:B,"-",0)</f>
        <v>7.9422199999999998E-2</v>
      </c>
    </row>
    <row r="130" spans="1:12" x14ac:dyDescent="0.2">
      <c r="A130" t="s">
        <v>78</v>
      </c>
      <c r="B130">
        <v>7.0999999999999994E-2</v>
      </c>
      <c r="C130">
        <v>3.1899999999999998E-2</v>
      </c>
      <c r="D130">
        <v>72.007000000000005</v>
      </c>
      <c r="E130">
        <v>-20.447800000000001</v>
      </c>
      <c r="F130">
        <v>72.017200000000003</v>
      </c>
      <c r="G130">
        <v>-20.451899999999998</v>
      </c>
      <c r="H130">
        <v>37.5</v>
      </c>
      <c r="I130" t="s">
        <v>331</v>
      </c>
      <c r="J130" t="s">
        <v>336</v>
      </c>
      <c r="K130">
        <v>3578</v>
      </c>
      <c r="L130" s="4">
        <f>_xlfn.XLOOKUP(A130,[2]Int_NH!A:A,[2]Int_NH!B:B,"-",0)</f>
        <v>1.4447700000000001E-2</v>
      </c>
    </row>
    <row r="131" spans="1:12" x14ac:dyDescent="0.2">
      <c r="A131" t="s">
        <v>79</v>
      </c>
      <c r="B131">
        <v>0.17199999999999999</v>
      </c>
      <c r="C131">
        <v>1.8599999999999998E-2</v>
      </c>
      <c r="D131">
        <v>72.483000000000004</v>
      </c>
      <c r="E131">
        <v>-44.673099999999998</v>
      </c>
      <c r="F131">
        <v>72.484099999999998</v>
      </c>
      <c r="G131">
        <v>-44.672499999999999</v>
      </c>
      <c r="H131">
        <v>3.5</v>
      </c>
      <c r="I131" t="s">
        <v>327</v>
      </c>
      <c r="J131" t="s">
        <v>328</v>
      </c>
      <c r="K131">
        <v>9417</v>
      </c>
      <c r="L131" s="4">
        <f>_xlfn.XLOOKUP(A131,[2]Int_NH!A:A,[2]Int_NH!B:B,"-",0)</f>
        <v>1.17187E-2</v>
      </c>
    </row>
    <row r="132" spans="1:12" x14ac:dyDescent="0.2">
      <c r="A132" t="s">
        <v>435</v>
      </c>
      <c r="B132">
        <v>2.1999999999999999E-2</v>
      </c>
      <c r="C132">
        <v>0.70140000000000002</v>
      </c>
      <c r="D132">
        <v>72.527100000000004</v>
      </c>
      <c r="E132">
        <v>45.0518</v>
      </c>
      <c r="F132">
        <v>72.527100000000004</v>
      </c>
      <c r="G132">
        <v>45.051000000000002</v>
      </c>
      <c r="H132">
        <v>2.9</v>
      </c>
      <c r="I132" t="s">
        <v>327</v>
      </c>
      <c r="J132" t="s">
        <v>328</v>
      </c>
      <c r="K132">
        <v>2219</v>
      </c>
      <c r="L132" s="4">
        <f>_xlfn.XLOOKUP(A132,[2]Int_NH!A:A,[2]Int_NH!B:B,"-",0)</f>
        <v>9.3149599999999999E-2</v>
      </c>
    </row>
    <row r="133" spans="1:12" x14ac:dyDescent="0.2">
      <c r="A133" t="s">
        <v>436</v>
      </c>
      <c r="B133">
        <v>0.43</v>
      </c>
      <c r="C133">
        <v>7.4399999999999994E-2</v>
      </c>
      <c r="D133">
        <v>72.976600000000005</v>
      </c>
      <c r="E133">
        <v>0.1055</v>
      </c>
      <c r="F133">
        <v>72.976600000000005</v>
      </c>
      <c r="G133">
        <v>0.1055</v>
      </c>
      <c r="H133">
        <v>0</v>
      </c>
      <c r="I133" t="s">
        <v>327</v>
      </c>
      <c r="J133" t="s">
        <v>336</v>
      </c>
      <c r="K133">
        <v>5815</v>
      </c>
      <c r="L133" s="4">
        <f>_xlfn.XLOOKUP(A133,[2]Int_NH!A:A,[2]Int_NH!B:B,"-",0)</f>
        <v>0</v>
      </c>
    </row>
    <row r="134" spans="1:12" x14ac:dyDescent="0.2">
      <c r="A134" t="s">
        <v>80</v>
      </c>
      <c r="B134">
        <v>0.25330000000000003</v>
      </c>
      <c r="C134">
        <v>5.9200000000000003E-2</v>
      </c>
      <c r="D134">
        <v>73.527799999999999</v>
      </c>
      <c r="E134">
        <v>-10.2209</v>
      </c>
      <c r="F134">
        <v>73.526399999999995</v>
      </c>
      <c r="G134">
        <v>-10.221399999999999</v>
      </c>
      <c r="H134">
        <v>5.0999999999999996</v>
      </c>
      <c r="I134" t="s">
        <v>331</v>
      </c>
      <c r="J134" t="s">
        <v>328</v>
      </c>
      <c r="K134" t="s">
        <v>437</v>
      </c>
      <c r="L134" s="4">
        <f>_xlfn.XLOOKUP(A134,[2]Int_NH!A:A,[2]Int_NH!B:B,"-",0)</f>
        <v>0</v>
      </c>
    </row>
    <row r="135" spans="1:12" x14ac:dyDescent="0.2">
      <c r="A135" t="s">
        <v>438</v>
      </c>
      <c r="B135">
        <v>0.55000000000000004</v>
      </c>
      <c r="C135">
        <v>5.2299999999999999E-2</v>
      </c>
      <c r="D135">
        <v>73.5471</v>
      </c>
      <c r="E135">
        <v>-3.0158999999999998</v>
      </c>
      <c r="F135">
        <v>73.545900000000003</v>
      </c>
      <c r="G135">
        <v>-3.0145</v>
      </c>
      <c r="H135">
        <v>6.7</v>
      </c>
      <c r="I135" t="s">
        <v>331</v>
      </c>
      <c r="J135" t="s">
        <v>328</v>
      </c>
      <c r="K135">
        <v>902</v>
      </c>
      <c r="L135" s="4">
        <f>_xlfn.XLOOKUP(A135,[2]Int_NH!A:A,[2]Int_NH!B:B,"-",0)</f>
        <v>0</v>
      </c>
    </row>
    <row r="136" spans="1:12" x14ac:dyDescent="0.2">
      <c r="A136" t="s">
        <v>439</v>
      </c>
      <c r="B136">
        <v>3.1E-2</v>
      </c>
      <c r="C136">
        <v>4.0800000000000003E-2</v>
      </c>
      <c r="D136">
        <v>73.718100000000007</v>
      </c>
      <c r="E136">
        <v>-18.115400000000001</v>
      </c>
      <c r="F136">
        <v>73.718000000000004</v>
      </c>
      <c r="G136">
        <v>-18.1157</v>
      </c>
      <c r="H136">
        <v>1.2</v>
      </c>
      <c r="I136" t="s">
        <v>327</v>
      </c>
      <c r="J136" t="s">
        <v>328</v>
      </c>
      <c r="K136">
        <v>3206</v>
      </c>
      <c r="L136" s="4">
        <f>_xlfn.XLOOKUP(A136,[2]Int_NH!A:A,[2]Int_NH!B:B,"-",0)</f>
        <v>3.3909399999999999E-2</v>
      </c>
    </row>
    <row r="137" spans="1:12" x14ac:dyDescent="0.2">
      <c r="A137" t="s">
        <v>440</v>
      </c>
      <c r="B137">
        <v>0.42499999999999999</v>
      </c>
      <c r="C137">
        <v>9.6199999999999994E-2</v>
      </c>
      <c r="D137">
        <v>73.822000000000003</v>
      </c>
      <c r="E137">
        <v>6.9634</v>
      </c>
      <c r="F137">
        <v>73.822000000000003</v>
      </c>
      <c r="G137">
        <v>6.9634</v>
      </c>
      <c r="H137">
        <v>0</v>
      </c>
      <c r="I137" t="s">
        <v>327</v>
      </c>
      <c r="J137" t="s">
        <v>336</v>
      </c>
      <c r="K137">
        <v>5812</v>
      </c>
      <c r="L137" s="4">
        <f>_xlfn.XLOOKUP(A137,[2]Int_NH!A:A,[2]Int_NH!B:B,"-",0)</f>
        <v>2.01067E-3</v>
      </c>
    </row>
    <row r="138" spans="1:12" x14ac:dyDescent="0.2">
      <c r="A138" t="s">
        <v>441</v>
      </c>
      <c r="B138">
        <v>0.56200000000000006</v>
      </c>
      <c r="C138">
        <v>1.9400000000000001E-2</v>
      </c>
      <c r="D138">
        <v>74.114900000000006</v>
      </c>
      <c r="E138">
        <v>-51.2789</v>
      </c>
      <c r="F138">
        <v>74.114900000000006</v>
      </c>
      <c r="G138">
        <v>-51.2789</v>
      </c>
      <c r="H138">
        <v>0</v>
      </c>
      <c r="I138" t="s">
        <v>327</v>
      </c>
      <c r="J138" t="s">
        <v>336</v>
      </c>
      <c r="K138">
        <v>13474</v>
      </c>
      <c r="L138" s="4">
        <f>_xlfn.XLOOKUP(A138,[2]Int_NH!A:A,[2]Int_NH!B:B,"-",0)</f>
        <v>8.7806199999999998E-10</v>
      </c>
    </row>
    <row r="139" spans="1:12" x14ac:dyDescent="0.2">
      <c r="A139" t="s">
        <v>81</v>
      </c>
      <c r="B139">
        <v>0.46300000000000002</v>
      </c>
      <c r="C139">
        <v>5.7799999999999997E-2</v>
      </c>
      <c r="D139">
        <v>77.338499999999996</v>
      </c>
      <c r="E139">
        <v>-53.703499999999998</v>
      </c>
      <c r="F139">
        <v>77.336600000000004</v>
      </c>
      <c r="G139">
        <v>-53.702399999999997</v>
      </c>
      <c r="H139">
        <v>5.6</v>
      </c>
      <c r="I139" t="s">
        <v>331</v>
      </c>
      <c r="J139" t="s">
        <v>336</v>
      </c>
      <c r="K139">
        <v>9432</v>
      </c>
      <c r="L139" s="4">
        <f>_xlfn.XLOOKUP(A139,[2]Int_NH!A:A,[2]Int_NH!B:B,"-",0)</f>
        <v>0</v>
      </c>
    </row>
    <row r="140" spans="1:12" x14ac:dyDescent="0.2">
      <c r="A140" t="s">
        <v>82</v>
      </c>
      <c r="B140">
        <v>0.2</v>
      </c>
      <c r="C140">
        <v>2.93E-2</v>
      </c>
      <c r="D140">
        <v>77.571299999999994</v>
      </c>
      <c r="E140">
        <v>-45.3215</v>
      </c>
      <c r="F140">
        <v>77.570499999999996</v>
      </c>
      <c r="G140">
        <v>-45.321199999999997</v>
      </c>
      <c r="H140">
        <v>2.2000000000000002</v>
      </c>
      <c r="I140" t="s">
        <v>327</v>
      </c>
      <c r="J140" t="s">
        <v>328</v>
      </c>
      <c r="K140">
        <v>15111</v>
      </c>
      <c r="L140" s="4">
        <f>_xlfn.XLOOKUP(A140,[2]Int_NH!A:A,[2]Int_NH!B:B,"-",0)</f>
        <v>4.3104700000000003E-2</v>
      </c>
    </row>
    <row r="141" spans="1:12" x14ac:dyDescent="0.2">
      <c r="A141" t="s">
        <v>442</v>
      </c>
      <c r="B141">
        <v>0.22</v>
      </c>
      <c r="C141">
        <v>8.3000000000000004E-2</v>
      </c>
      <c r="D141">
        <v>77.698499999999996</v>
      </c>
      <c r="E141">
        <v>-8.0274999999999999</v>
      </c>
      <c r="F141">
        <v>77.698499999999996</v>
      </c>
      <c r="G141">
        <v>-8.0274999999999999</v>
      </c>
      <c r="H141">
        <v>0</v>
      </c>
      <c r="I141" t="s">
        <v>327</v>
      </c>
      <c r="J141" t="s">
        <v>328</v>
      </c>
      <c r="K141">
        <v>14011</v>
      </c>
      <c r="L141" s="4">
        <f>_xlfn.XLOOKUP(A141,[2]Int_NH!A:A,[2]Int_NH!B:B,"-",0)</f>
        <v>2.20009E-2</v>
      </c>
    </row>
    <row r="142" spans="1:12" x14ac:dyDescent="0.2">
      <c r="A142" t="s">
        <v>83</v>
      </c>
      <c r="B142">
        <v>9.1999999999999998E-2</v>
      </c>
      <c r="C142">
        <v>2.5000000000000001E-2</v>
      </c>
      <c r="D142">
        <v>78.664699999999996</v>
      </c>
      <c r="E142">
        <v>-49.058100000000003</v>
      </c>
      <c r="F142">
        <v>78.668800000000005</v>
      </c>
      <c r="G142">
        <v>-49.054600000000001</v>
      </c>
      <c r="H142">
        <v>16.100000000000001</v>
      </c>
      <c r="I142" t="s">
        <v>331</v>
      </c>
      <c r="J142" t="s">
        <v>336</v>
      </c>
      <c r="K142">
        <v>4980</v>
      </c>
      <c r="L142" s="4">
        <f>_xlfn.XLOOKUP(A142,[2]Int_NH!A:A,[2]Int_NH!B:B,"-",0)</f>
        <v>6.3466299999999998E-3</v>
      </c>
    </row>
    <row r="143" spans="1:12" x14ac:dyDescent="0.2">
      <c r="A143" t="s">
        <v>84</v>
      </c>
      <c r="B143">
        <v>2.8000000000000001E-2</v>
      </c>
      <c r="C143">
        <v>0.12790000000000001</v>
      </c>
      <c r="D143">
        <v>79.155699999999996</v>
      </c>
      <c r="E143">
        <v>6.4405999999999999</v>
      </c>
      <c r="F143">
        <v>79.155600000000007</v>
      </c>
      <c r="G143">
        <v>6.4402999999999997</v>
      </c>
      <c r="H143">
        <v>0.9</v>
      </c>
      <c r="I143" t="s">
        <v>327</v>
      </c>
      <c r="J143" t="s">
        <v>336</v>
      </c>
      <c r="K143" t="s">
        <v>443</v>
      </c>
      <c r="L143" s="4">
        <f>_xlfn.XLOOKUP(A143,[2]Int_NH!A:A,[2]Int_NH!B:B,"-",0)</f>
        <v>0</v>
      </c>
    </row>
    <row r="144" spans="1:12" x14ac:dyDescent="0.2">
      <c r="A144" t="s">
        <v>444</v>
      </c>
      <c r="B144">
        <v>0.29499999999999998</v>
      </c>
      <c r="C144">
        <v>6.4699999999999994E-2</v>
      </c>
      <c r="D144">
        <v>79.1571</v>
      </c>
      <c r="E144">
        <v>-54.513100000000001</v>
      </c>
      <c r="F144">
        <v>79.1571</v>
      </c>
      <c r="G144">
        <v>-54.513100000000001</v>
      </c>
      <c r="H144">
        <v>0</v>
      </c>
      <c r="I144" t="s">
        <v>327</v>
      </c>
      <c r="J144" t="s">
        <v>328</v>
      </c>
      <c r="K144" t="s">
        <v>445</v>
      </c>
      <c r="L144" s="4">
        <f>_xlfn.XLOOKUP(A144,[2]Int_NH!A:A,[2]Int_NH!B:B,"-",0)</f>
        <v>2.52547E-8</v>
      </c>
    </row>
    <row r="145" spans="1:12" x14ac:dyDescent="0.2">
      <c r="A145" t="s">
        <v>85</v>
      </c>
      <c r="B145">
        <v>0.34</v>
      </c>
      <c r="C145">
        <v>8.5400000000000004E-2</v>
      </c>
      <c r="D145">
        <v>80.1751</v>
      </c>
      <c r="E145">
        <v>-13.4803</v>
      </c>
      <c r="F145">
        <v>80.175200000000004</v>
      </c>
      <c r="G145">
        <v>-13.480399999999999</v>
      </c>
      <c r="H145">
        <v>0.3</v>
      </c>
      <c r="I145" t="s">
        <v>327</v>
      </c>
      <c r="J145" t="s">
        <v>328</v>
      </c>
      <c r="K145">
        <v>3272</v>
      </c>
      <c r="L145" s="4">
        <f>_xlfn.XLOOKUP(A145,[2]Int_NH!A:A,[2]Int_NH!B:B,"-",0)</f>
        <v>0</v>
      </c>
    </row>
    <row r="146" spans="1:12" x14ac:dyDescent="0.2">
      <c r="A146" t="s">
        <v>86</v>
      </c>
      <c r="B146">
        <v>0.29599999999999999</v>
      </c>
      <c r="C146">
        <v>3.85E-2</v>
      </c>
      <c r="D146">
        <v>80.563500000000005</v>
      </c>
      <c r="E146">
        <v>-48.304499999999997</v>
      </c>
      <c r="F146">
        <v>80.561099999999996</v>
      </c>
      <c r="G146">
        <v>-48.303899999999999</v>
      </c>
      <c r="H146">
        <v>6.2</v>
      </c>
      <c r="I146" t="s">
        <v>331</v>
      </c>
      <c r="J146" t="s">
        <v>336</v>
      </c>
      <c r="K146">
        <v>4208</v>
      </c>
      <c r="L146" s="4">
        <f>_xlfn.XLOOKUP(A146,[2]Int_NH!A:A,[2]Int_NH!B:B,"-",0)</f>
        <v>0</v>
      </c>
    </row>
    <row r="147" spans="1:12" x14ac:dyDescent="0.2">
      <c r="A147" t="s">
        <v>87</v>
      </c>
      <c r="B147">
        <v>0.191</v>
      </c>
      <c r="C147">
        <v>4.0899999999999999E-2</v>
      </c>
      <c r="D147">
        <v>81.453400000000002</v>
      </c>
      <c r="E147">
        <v>-47.252800000000001</v>
      </c>
      <c r="F147">
        <v>81.453000000000003</v>
      </c>
      <c r="G147">
        <v>-47.252800000000001</v>
      </c>
      <c r="H147">
        <v>1</v>
      </c>
      <c r="I147" t="s">
        <v>327</v>
      </c>
      <c r="J147" t="s">
        <v>328</v>
      </c>
      <c r="K147">
        <v>15122</v>
      </c>
      <c r="L147" s="4">
        <f>_xlfn.XLOOKUP(A147,[2]Int_NH!A:A,[2]Int_NH!B:B,"-",0)</f>
        <v>7.05961E-3</v>
      </c>
    </row>
    <row r="148" spans="1:12" x14ac:dyDescent="0.2">
      <c r="A148" t="s">
        <v>88</v>
      </c>
      <c r="B148">
        <v>0.158</v>
      </c>
      <c r="C148">
        <v>1.83E-2</v>
      </c>
      <c r="D148">
        <v>82.060699999999997</v>
      </c>
      <c r="E148">
        <v>-29.721900000000002</v>
      </c>
      <c r="F148">
        <v>82.061300000000003</v>
      </c>
      <c r="G148">
        <v>-29.720800000000001</v>
      </c>
      <c r="H148">
        <v>4.4000000000000004</v>
      </c>
      <c r="I148" t="s">
        <v>327</v>
      </c>
      <c r="J148" t="s">
        <v>328</v>
      </c>
      <c r="K148">
        <v>9418</v>
      </c>
      <c r="L148" s="4">
        <f>_xlfn.XLOOKUP(A148,[2]Int_NH!A:A,[2]Int_NH!B:B,"-",0)</f>
        <v>3.8339100000000001E-2</v>
      </c>
    </row>
    <row r="149" spans="1:12" x14ac:dyDescent="0.2">
      <c r="A149" t="s">
        <v>89</v>
      </c>
      <c r="B149">
        <v>0.28399999999999997</v>
      </c>
      <c r="C149">
        <v>2.35E-2</v>
      </c>
      <c r="D149">
        <v>82.2209</v>
      </c>
      <c r="E149">
        <v>-39.470500000000001</v>
      </c>
      <c r="F149">
        <v>82.221000000000004</v>
      </c>
      <c r="G149">
        <v>-39.470999999999997</v>
      </c>
      <c r="H149">
        <v>1.7</v>
      </c>
      <c r="I149" t="s">
        <v>327</v>
      </c>
      <c r="J149" t="s">
        <v>328</v>
      </c>
      <c r="K149" t="s">
        <v>446</v>
      </c>
      <c r="L149" s="4">
        <f>_xlfn.XLOOKUP(A149,[2]Int_NH!A:A,[2]Int_NH!B:B,"-",0)</f>
        <v>1.46394E-2</v>
      </c>
    </row>
    <row r="150" spans="1:12" x14ac:dyDescent="0.2">
      <c r="A150" t="s">
        <v>90</v>
      </c>
      <c r="B150">
        <v>0.21</v>
      </c>
      <c r="C150">
        <v>8.7900000000000006E-2</v>
      </c>
      <c r="D150">
        <v>82.869500000000002</v>
      </c>
      <c r="E150">
        <v>-75.1768</v>
      </c>
      <c r="F150">
        <v>82.868399999999994</v>
      </c>
      <c r="G150">
        <v>-75.179299999999998</v>
      </c>
      <c r="H150">
        <v>8.9</v>
      </c>
      <c r="I150" t="s">
        <v>331</v>
      </c>
      <c r="J150" t="s">
        <v>328</v>
      </c>
      <c r="K150">
        <v>15115</v>
      </c>
      <c r="L150" s="4">
        <f>_xlfn.XLOOKUP(A150,[2]Int_NH!A:A,[2]Int_NH!B:B,"-",0)</f>
        <v>2.5744699999999999E-2</v>
      </c>
    </row>
    <row r="151" spans="1:12" x14ac:dyDescent="0.2">
      <c r="A151" t="s">
        <v>447</v>
      </c>
      <c r="B151">
        <v>0.154</v>
      </c>
      <c r="C151">
        <v>0.1142</v>
      </c>
      <c r="D151">
        <v>83.105699999999999</v>
      </c>
      <c r="E151">
        <v>-11.542199999999999</v>
      </c>
      <c r="F151">
        <v>83.105400000000003</v>
      </c>
      <c r="G151">
        <v>-11.542400000000001</v>
      </c>
      <c r="H151">
        <v>1.4</v>
      </c>
      <c r="I151" t="s">
        <v>327</v>
      </c>
      <c r="J151" t="s">
        <v>328</v>
      </c>
      <c r="K151">
        <v>13998</v>
      </c>
      <c r="L151" s="4">
        <f>_xlfn.XLOOKUP(A151,[2]Int_NH!A:A,[2]Int_NH!B:B,"-",0)</f>
        <v>6.3329199999999997E-3</v>
      </c>
    </row>
    <row r="152" spans="1:12" x14ac:dyDescent="0.2">
      <c r="A152" t="s">
        <v>448</v>
      </c>
      <c r="B152">
        <v>0.27500000000000002</v>
      </c>
      <c r="C152">
        <v>2.7900000000000001E-2</v>
      </c>
      <c r="D152">
        <v>83.231399999999994</v>
      </c>
      <c r="E152">
        <v>-37.026400000000002</v>
      </c>
      <c r="F152">
        <v>83.231399999999994</v>
      </c>
      <c r="G152">
        <v>-37.026400000000002</v>
      </c>
      <c r="H152">
        <v>0</v>
      </c>
      <c r="I152" t="s">
        <v>327</v>
      </c>
      <c r="J152" t="s">
        <v>328</v>
      </c>
      <c r="K152">
        <v>15112</v>
      </c>
      <c r="L152" s="4">
        <f>_xlfn.XLOOKUP(A152,[2]Int_NH!A:A,[2]Int_NH!B:B,"-",0)</f>
        <v>3.4539899999999998E-2</v>
      </c>
    </row>
    <row r="153" spans="1:12" x14ac:dyDescent="0.2">
      <c r="A153" t="s">
        <v>91</v>
      </c>
      <c r="B153">
        <v>3.5999999999999997E-2</v>
      </c>
      <c r="C153">
        <v>3.2099999999999997E-2</v>
      </c>
      <c r="D153">
        <v>85.027799999999999</v>
      </c>
      <c r="E153">
        <v>-40.836599999999997</v>
      </c>
      <c r="F153">
        <v>85.027900000000002</v>
      </c>
      <c r="G153">
        <v>-40.8369</v>
      </c>
      <c r="H153">
        <v>1</v>
      </c>
      <c r="I153" t="s">
        <v>327</v>
      </c>
      <c r="J153" t="s">
        <v>328</v>
      </c>
      <c r="K153" t="s">
        <v>449</v>
      </c>
      <c r="L153" s="4">
        <f>_xlfn.XLOOKUP(A153,[2]Int_NH!A:A,[2]Int_NH!B:B,"-",0)</f>
        <v>1.44884E-2</v>
      </c>
    </row>
    <row r="154" spans="1:12" x14ac:dyDescent="0.2">
      <c r="A154" t="s">
        <v>450</v>
      </c>
      <c r="B154">
        <v>0.64</v>
      </c>
      <c r="C154">
        <v>3.5900000000000001E-2</v>
      </c>
      <c r="D154">
        <v>85.709100000000007</v>
      </c>
      <c r="E154">
        <v>-40.999600000000001</v>
      </c>
      <c r="F154">
        <v>85.706999999999994</v>
      </c>
      <c r="G154">
        <v>-40.999400000000001</v>
      </c>
      <c r="H154">
        <v>6</v>
      </c>
      <c r="I154" t="s">
        <v>331</v>
      </c>
      <c r="J154" t="s">
        <v>336</v>
      </c>
      <c r="K154">
        <v>914</v>
      </c>
      <c r="L154" s="4">
        <f>_xlfn.XLOOKUP(A154,[2]Int_NH!A:A,[2]Int_NH!B:B,"-",0)</f>
        <v>0</v>
      </c>
    </row>
    <row r="155" spans="1:12" x14ac:dyDescent="0.2">
      <c r="A155" t="s">
        <v>451</v>
      </c>
      <c r="B155">
        <v>0.21</v>
      </c>
      <c r="C155">
        <v>4.0300000000000002E-2</v>
      </c>
      <c r="D155">
        <v>86.756299999999996</v>
      </c>
      <c r="E155">
        <v>-39.073999999999998</v>
      </c>
      <c r="F155">
        <v>86.756600000000006</v>
      </c>
      <c r="G155">
        <v>-39.0745</v>
      </c>
      <c r="H155">
        <v>1.9</v>
      </c>
      <c r="I155" t="s">
        <v>327</v>
      </c>
      <c r="J155" t="s">
        <v>328</v>
      </c>
      <c r="K155">
        <v>3273</v>
      </c>
      <c r="L155" s="4">
        <f>_xlfn.XLOOKUP(A155,[2]Int_NH!A:A,[2]Int_NH!B:B,"-",0)</f>
        <v>0</v>
      </c>
    </row>
    <row r="156" spans="1:12" x14ac:dyDescent="0.2">
      <c r="A156" t="s">
        <v>92</v>
      </c>
      <c r="B156">
        <v>0.14799999999999999</v>
      </c>
      <c r="C156">
        <v>2.0299999999999999E-2</v>
      </c>
      <c r="D156">
        <v>86.906499999999994</v>
      </c>
      <c r="E156">
        <v>-31.871200000000002</v>
      </c>
      <c r="F156">
        <v>86.9071</v>
      </c>
      <c r="G156">
        <v>-31.873200000000001</v>
      </c>
      <c r="H156">
        <v>7.3</v>
      </c>
      <c r="I156" t="s">
        <v>331</v>
      </c>
      <c r="J156" t="s">
        <v>328</v>
      </c>
      <c r="K156">
        <v>9419</v>
      </c>
      <c r="L156" s="4">
        <f>_xlfn.XLOOKUP(A156,[2]Int_NH!A:A,[2]Int_NH!B:B,"-",0)</f>
        <v>2.0656600000000001E-2</v>
      </c>
    </row>
    <row r="157" spans="1:12" x14ac:dyDescent="0.2">
      <c r="A157" t="s">
        <v>452</v>
      </c>
      <c r="B157">
        <v>0.04</v>
      </c>
      <c r="C157">
        <v>1.9E-2</v>
      </c>
      <c r="D157">
        <v>87.159599999999998</v>
      </c>
      <c r="E157">
        <v>-25.477900000000002</v>
      </c>
      <c r="F157">
        <v>87.159599999999998</v>
      </c>
      <c r="G157">
        <v>-25.477900000000002</v>
      </c>
      <c r="H157">
        <v>0</v>
      </c>
      <c r="I157" t="s">
        <v>327</v>
      </c>
      <c r="J157" t="s">
        <v>328</v>
      </c>
      <c r="K157">
        <v>12273</v>
      </c>
      <c r="L157" s="4">
        <f>_xlfn.XLOOKUP(A157,[2]Int_NH!A:A,[2]Int_NH!B:B,"-",0)</f>
        <v>3.8586799999999997E-2</v>
      </c>
    </row>
    <row r="158" spans="1:12" x14ac:dyDescent="0.2">
      <c r="A158" t="s">
        <v>453</v>
      </c>
      <c r="B158">
        <v>0.42299999999999999</v>
      </c>
      <c r="C158">
        <v>6.4000000000000001E-2</v>
      </c>
      <c r="D158">
        <v>87.887600000000006</v>
      </c>
      <c r="E158">
        <v>-57.149099999999997</v>
      </c>
      <c r="F158">
        <v>87.887600000000006</v>
      </c>
      <c r="G158">
        <v>-57.149099999999997</v>
      </c>
      <c r="H158">
        <v>0</v>
      </c>
      <c r="I158" t="s">
        <v>327</v>
      </c>
      <c r="J158" t="s">
        <v>336</v>
      </c>
      <c r="K158" t="s">
        <v>454</v>
      </c>
      <c r="L158" s="4">
        <f>_xlfn.XLOOKUP(A158,[2]Int_NH!A:A,[2]Int_NH!B:B,"-",0)</f>
        <v>0</v>
      </c>
    </row>
    <row r="159" spans="1:12" x14ac:dyDescent="0.2">
      <c r="A159" t="s">
        <v>93</v>
      </c>
      <c r="B159">
        <v>9.9000000000000005E-2</v>
      </c>
      <c r="C159">
        <v>4.3900000000000002E-2</v>
      </c>
      <c r="D159">
        <v>88.215900000000005</v>
      </c>
      <c r="E159">
        <v>-21.053599999999999</v>
      </c>
      <c r="F159">
        <v>88.214699999999993</v>
      </c>
      <c r="G159">
        <v>-21.053599999999999</v>
      </c>
      <c r="H159">
        <v>3.9</v>
      </c>
      <c r="I159" t="s">
        <v>327</v>
      </c>
      <c r="J159" t="s">
        <v>328</v>
      </c>
      <c r="K159">
        <v>15307</v>
      </c>
      <c r="L159" s="4">
        <f>_xlfn.XLOOKUP(A159,[2]Int_NH!A:A,[2]Int_NH!B:B,"-",0)</f>
        <v>6.0985699999999997E-2</v>
      </c>
    </row>
    <row r="160" spans="1:12" x14ac:dyDescent="0.2">
      <c r="A160" t="s">
        <v>94</v>
      </c>
      <c r="B160">
        <v>0.40699999999999997</v>
      </c>
      <c r="C160">
        <v>2.76E-2</v>
      </c>
      <c r="D160">
        <v>88.357399999999998</v>
      </c>
      <c r="E160">
        <v>-33.708500000000001</v>
      </c>
      <c r="F160">
        <v>88.365300000000005</v>
      </c>
      <c r="G160">
        <v>-33.7104</v>
      </c>
      <c r="H160">
        <v>24.6</v>
      </c>
      <c r="I160" t="s">
        <v>331</v>
      </c>
      <c r="J160" t="s">
        <v>328</v>
      </c>
      <c r="K160">
        <v>12244</v>
      </c>
      <c r="L160" s="4">
        <f>_xlfn.XLOOKUP(A160,[2]Int_NH!A:A,[2]Int_NH!B:B,"-",0)</f>
        <v>1.8157599999999999E-2</v>
      </c>
    </row>
    <row r="161" spans="1:12" x14ac:dyDescent="0.2">
      <c r="A161" t="s">
        <v>95</v>
      </c>
      <c r="B161">
        <v>0.61099999999999999</v>
      </c>
      <c r="C161">
        <v>5.6599999999999998E-2</v>
      </c>
      <c r="D161">
        <v>89.928299999999993</v>
      </c>
      <c r="E161">
        <v>-52.8309</v>
      </c>
      <c r="F161">
        <v>89.929199999999994</v>
      </c>
      <c r="G161">
        <v>-52.829799999999999</v>
      </c>
      <c r="H161">
        <v>4.4000000000000004</v>
      </c>
      <c r="I161" t="s">
        <v>327</v>
      </c>
      <c r="J161" t="s">
        <v>336</v>
      </c>
      <c r="K161" t="s">
        <v>455</v>
      </c>
      <c r="L161" s="4">
        <f>_xlfn.XLOOKUP(A161,[2]Int_NH!A:A,[2]Int_NH!B:B,"-",0)</f>
        <v>5.9570999999999999E-2</v>
      </c>
    </row>
    <row r="162" spans="1:12" x14ac:dyDescent="0.2">
      <c r="A162" t="s">
        <v>456</v>
      </c>
      <c r="B162">
        <v>4.5999999999999999E-2</v>
      </c>
      <c r="C162">
        <v>5.0299999999999997E-2</v>
      </c>
      <c r="D162">
        <v>90.548000000000002</v>
      </c>
      <c r="E162">
        <v>-39.949800000000003</v>
      </c>
      <c r="F162">
        <v>90.549000000000007</v>
      </c>
      <c r="G162">
        <v>-39.9497</v>
      </c>
      <c r="H162">
        <v>2.7</v>
      </c>
      <c r="I162" t="s">
        <v>327</v>
      </c>
      <c r="J162" t="s">
        <v>336</v>
      </c>
      <c r="K162" t="s">
        <v>457</v>
      </c>
      <c r="L162" s="4">
        <f>_xlfn.XLOOKUP(A162,[2]Int_NH!A:A,[2]Int_NH!B:B,"-",0)</f>
        <v>0</v>
      </c>
    </row>
    <row r="163" spans="1:12" x14ac:dyDescent="0.2">
      <c r="A163" t="s">
        <v>458</v>
      </c>
      <c r="B163">
        <v>0.14099999999999999</v>
      </c>
      <c r="C163">
        <v>4.3200000000000002E-2</v>
      </c>
      <c r="D163">
        <v>91.474900000000005</v>
      </c>
      <c r="E163">
        <v>-35.302199999999999</v>
      </c>
      <c r="F163">
        <v>91.474900000000005</v>
      </c>
      <c r="G163">
        <v>-35.302199999999999</v>
      </c>
      <c r="H163">
        <v>0</v>
      </c>
      <c r="I163" t="s">
        <v>327</v>
      </c>
      <c r="J163" t="s">
        <v>328</v>
      </c>
      <c r="K163">
        <v>15315</v>
      </c>
      <c r="L163" s="4">
        <f>_xlfn.XLOOKUP(A163,[2]Int_NH!A:A,[2]Int_NH!B:B,"-",0)</f>
        <v>4.0214399999999997E-2</v>
      </c>
    </row>
    <row r="164" spans="1:12" x14ac:dyDescent="0.2">
      <c r="A164" t="s">
        <v>96</v>
      </c>
      <c r="B164">
        <v>0.97199999999999998</v>
      </c>
      <c r="C164">
        <v>4.58E-2</v>
      </c>
      <c r="D164">
        <v>93.966099999999997</v>
      </c>
      <c r="E164">
        <v>-57.779400000000003</v>
      </c>
      <c r="F164">
        <v>93.966099999999997</v>
      </c>
      <c r="G164">
        <v>-57.779400000000003</v>
      </c>
      <c r="H164">
        <v>0</v>
      </c>
      <c r="I164" t="s">
        <v>327</v>
      </c>
      <c r="J164" t="s">
        <v>328</v>
      </c>
      <c r="K164" t="s">
        <v>459</v>
      </c>
      <c r="L164" s="4">
        <f>_xlfn.XLOOKUP(A164,[2]Int_NH!A:A,[2]Int_NH!B:B,"-",0)</f>
        <v>1.2831800000000001E-2</v>
      </c>
    </row>
    <row r="165" spans="1:12" x14ac:dyDescent="0.2">
      <c r="A165" t="s">
        <v>460</v>
      </c>
      <c r="B165">
        <v>0.17100000000000001</v>
      </c>
      <c r="C165">
        <v>0.107</v>
      </c>
      <c r="D165">
        <v>94.103300000000004</v>
      </c>
      <c r="E165">
        <v>-21.938300000000002</v>
      </c>
      <c r="F165">
        <v>94.103300000000004</v>
      </c>
      <c r="G165">
        <v>-21.938300000000002</v>
      </c>
      <c r="H165">
        <v>0</v>
      </c>
      <c r="I165" t="s">
        <v>327</v>
      </c>
      <c r="J165" t="s">
        <v>328</v>
      </c>
      <c r="K165">
        <v>15100</v>
      </c>
      <c r="L165" s="4">
        <f>_xlfn.XLOOKUP(A165,[2]Int_NH!A:A,[2]Int_NH!B:B,"-",0)</f>
        <v>1.1631900000000001E-2</v>
      </c>
    </row>
    <row r="166" spans="1:12" x14ac:dyDescent="0.2">
      <c r="A166" t="s">
        <v>97</v>
      </c>
      <c r="B166">
        <v>0.152</v>
      </c>
      <c r="C166">
        <v>7.2400000000000006E-2</v>
      </c>
      <c r="D166">
        <v>94.133899999999997</v>
      </c>
      <c r="E166">
        <v>-39.796799999999998</v>
      </c>
      <c r="F166">
        <v>94.133899999999997</v>
      </c>
      <c r="G166">
        <v>-39.796799999999998</v>
      </c>
      <c r="H166">
        <v>0</v>
      </c>
      <c r="I166" t="s">
        <v>327</v>
      </c>
      <c r="J166" t="s">
        <v>328</v>
      </c>
      <c r="K166">
        <v>15126</v>
      </c>
      <c r="L166" s="4">
        <f>_xlfn.XLOOKUP(A166,[2]Int_NH!A:A,[2]Int_NH!B:B,"-",0)</f>
        <v>2.12357E-2</v>
      </c>
    </row>
    <row r="167" spans="1:12" x14ac:dyDescent="0.2">
      <c r="A167" t="s">
        <v>98</v>
      </c>
      <c r="B167">
        <v>0.71</v>
      </c>
      <c r="C167">
        <v>5.1299999999999998E-2</v>
      </c>
      <c r="D167">
        <v>94.142700000000005</v>
      </c>
      <c r="E167">
        <v>-52.452100000000002</v>
      </c>
      <c r="F167">
        <v>94.142300000000006</v>
      </c>
      <c r="G167">
        <v>-52.4529</v>
      </c>
      <c r="H167">
        <v>3.1</v>
      </c>
      <c r="I167" t="s">
        <v>327</v>
      </c>
      <c r="J167" t="s">
        <v>336</v>
      </c>
      <c r="K167" t="s">
        <v>461</v>
      </c>
      <c r="L167" s="4">
        <f>_xlfn.XLOOKUP(A167,[2]Int_NH!A:A,[2]Int_NH!B:B,"-",0)</f>
        <v>1.3080199999999999E-6</v>
      </c>
    </row>
    <row r="168" spans="1:12" x14ac:dyDescent="0.2">
      <c r="A168" t="s">
        <v>462</v>
      </c>
      <c r="B168">
        <v>0.27</v>
      </c>
      <c r="C168">
        <v>7.6600000000000001E-2</v>
      </c>
      <c r="D168">
        <v>95.454099999999997</v>
      </c>
      <c r="E168">
        <v>74.701400000000007</v>
      </c>
      <c r="F168">
        <v>95.454099999999997</v>
      </c>
      <c r="G168">
        <v>74.701400000000007</v>
      </c>
      <c r="H168">
        <v>0</v>
      </c>
      <c r="I168" t="s">
        <v>327</v>
      </c>
      <c r="J168" t="s">
        <v>328</v>
      </c>
      <c r="K168">
        <v>15139</v>
      </c>
      <c r="L168" s="4">
        <f>_xlfn.XLOOKUP(A168,[2]Int_NH!A:A,[2]Int_NH!B:B,"-",0)</f>
        <v>4.4243499999999998E-2</v>
      </c>
    </row>
    <row r="169" spans="1:12" x14ac:dyDescent="0.2">
      <c r="A169" t="s">
        <v>463</v>
      </c>
      <c r="B169">
        <v>5.0999999999999997E-2</v>
      </c>
      <c r="C169">
        <v>5.4800000000000001E-2</v>
      </c>
      <c r="D169">
        <v>96.578500000000005</v>
      </c>
      <c r="E169">
        <v>-53.692599999999999</v>
      </c>
      <c r="F169">
        <v>96.589600000000004</v>
      </c>
      <c r="G169">
        <v>-53.695799999999998</v>
      </c>
      <c r="H169">
        <v>26.4</v>
      </c>
      <c r="I169" t="s">
        <v>331</v>
      </c>
      <c r="J169" t="s">
        <v>328</v>
      </c>
      <c r="K169">
        <v>4943</v>
      </c>
      <c r="L169" s="4">
        <f>_xlfn.XLOOKUP(A169,[2]Int_NH!A:A,[2]Int_NH!B:B,"-",0)</f>
        <v>1.40766E-2</v>
      </c>
    </row>
    <row r="170" spans="1:12" x14ac:dyDescent="0.2">
      <c r="A170" t="s">
        <v>99</v>
      </c>
      <c r="B170">
        <v>5.0999999999999997E-2</v>
      </c>
      <c r="C170">
        <v>6.9199999999999998E-2</v>
      </c>
      <c r="D170">
        <v>96.680599999999998</v>
      </c>
      <c r="E170">
        <v>-54.543500000000002</v>
      </c>
      <c r="F170">
        <v>96.701899999999995</v>
      </c>
      <c r="G170">
        <v>-54.549799999999998</v>
      </c>
      <c r="H170">
        <v>49.9</v>
      </c>
      <c r="I170" t="s">
        <v>331</v>
      </c>
      <c r="J170" t="s">
        <v>328</v>
      </c>
      <c r="K170">
        <v>4944</v>
      </c>
      <c r="L170" s="4">
        <f>_xlfn.XLOOKUP(A170,[2]Int_NH!A:A,[2]Int_NH!B:B,"-",0)</f>
        <v>4.6270199999999997E-2</v>
      </c>
    </row>
    <row r="171" spans="1:12" x14ac:dyDescent="0.2">
      <c r="A171" t="s">
        <v>100</v>
      </c>
      <c r="B171">
        <v>0.20300000000000001</v>
      </c>
      <c r="C171">
        <v>6.9699999999999998E-2</v>
      </c>
      <c r="D171">
        <v>99.308800000000005</v>
      </c>
      <c r="E171">
        <v>-48.471899999999998</v>
      </c>
      <c r="F171">
        <v>99.310500000000005</v>
      </c>
      <c r="G171">
        <v>-48.471899999999998</v>
      </c>
      <c r="H171">
        <v>3.9</v>
      </c>
      <c r="I171" t="s">
        <v>327</v>
      </c>
      <c r="J171" t="s">
        <v>328</v>
      </c>
      <c r="K171">
        <v>15125</v>
      </c>
      <c r="L171" s="4">
        <f>_xlfn.XLOOKUP(A171,[2]Int_NH!A:A,[2]Int_NH!B:B,"-",0)</f>
        <v>0</v>
      </c>
    </row>
    <row r="172" spans="1:12" x14ac:dyDescent="0.2">
      <c r="A172" t="s">
        <v>101</v>
      </c>
      <c r="B172">
        <v>0.17399999999999999</v>
      </c>
      <c r="C172">
        <v>0.1116</v>
      </c>
      <c r="D172">
        <v>99.516199999999998</v>
      </c>
      <c r="E172">
        <v>47.7986</v>
      </c>
      <c r="F172">
        <v>99.5154</v>
      </c>
      <c r="G172">
        <v>47.798299999999998</v>
      </c>
      <c r="H172">
        <v>2.2000000000000002</v>
      </c>
      <c r="I172" t="s">
        <v>327</v>
      </c>
      <c r="J172" t="s">
        <v>328</v>
      </c>
      <c r="K172">
        <v>14388</v>
      </c>
      <c r="L172" s="4">
        <f>_xlfn.XLOOKUP(A172,[2]Int_NH!A:A,[2]Int_NH!B:B,"-",0)</f>
        <v>0</v>
      </c>
    </row>
    <row r="173" spans="1:12" x14ac:dyDescent="0.2">
      <c r="A173" t="s">
        <v>102</v>
      </c>
      <c r="B173">
        <v>0.222</v>
      </c>
      <c r="C173">
        <v>6.4600000000000005E-2</v>
      </c>
      <c r="D173">
        <v>99.701999999999998</v>
      </c>
      <c r="E173">
        <v>-53.974200000000003</v>
      </c>
      <c r="F173">
        <v>99.702500000000001</v>
      </c>
      <c r="G173">
        <v>-53.973999999999997</v>
      </c>
      <c r="H173">
        <v>1.4</v>
      </c>
      <c r="I173" t="s">
        <v>327</v>
      </c>
      <c r="J173" t="s">
        <v>328</v>
      </c>
      <c r="K173">
        <v>9420</v>
      </c>
      <c r="L173" s="4">
        <f>_xlfn.XLOOKUP(A173,[2]Int_NH!A:A,[2]Int_NH!B:B,"-",0)</f>
        <v>1.8227E-2</v>
      </c>
    </row>
    <row r="174" spans="1:12" x14ac:dyDescent="0.2">
      <c r="A174" t="s">
        <v>103</v>
      </c>
      <c r="B174">
        <v>0.14599999999999999</v>
      </c>
      <c r="C174">
        <v>4.5699999999999998E-2</v>
      </c>
      <c r="D174">
        <v>100.4229</v>
      </c>
      <c r="E174">
        <v>-49.794699999999999</v>
      </c>
      <c r="F174">
        <v>100.4102</v>
      </c>
      <c r="G174">
        <v>-49.784399999999998</v>
      </c>
      <c r="H174">
        <v>47.6</v>
      </c>
      <c r="I174" t="s">
        <v>331</v>
      </c>
      <c r="J174" t="s">
        <v>336</v>
      </c>
      <c r="K174">
        <v>12267</v>
      </c>
      <c r="L174" s="4">
        <f>_xlfn.XLOOKUP(A174,[2]Int_NH!A:A,[2]Int_NH!B:B,"-",0)</f>
        <v>0</v>
      </c>
    </row>
    <row r="175" spans="1:12" x14ac:dyDescent="0.2">
      <c r="A175" t="s">
        <v>104</v>
      </c>
      <c r="B175">
        <v>0.16700000000000001</v>
      </c>
      <c r="C175">
        <v>6.54E-2</v>
      </c>
      <c r="D175">
        <v>101.37</v>
      </c>
      <c r="E175">
        <v>-54.228400000000001</v>
      </c>
      <c r="F175">
        <v>101.37090000000001</v>
      </c>
      <c r="G175">
        <v>-54.2286</v>
      </c>
      <c r="H175">
        <v>2.2000000000000002</v>
      </c>
      <c r="I175" t="s">
        <v>327</v>
      </c>
      <c r="J175" t="s">
        <v>328</v>
      </c>
      <c r="K175">
        <v>15301</v>
      </c>
      <c r="L175" s="4">
        <f>_xlfn.XLOOKUP(A175,[2]Int_NH!A:A,[2]Int_NH!B:B,"-",0)</f>
        <v>2.60115E-2</v>
      </c>
    </row>
    <row r="176" spans="1:12" x14ac:dyDescent="0.2">
      <c r="A176" t="s">
        <v>105</v>
      </c>
      <c r="B176">
        <v>0.5907</v>
      </c>
      <c r="C176">
        <v>5.1999999999999998E-2</v>
      </c>
      <c r="D176">
        <v>101.9585</v>
      </c>
      <c r="E176">
        <v>70.247100000000003</v>
      </c>
      <c r="F176">
        <v>101.9585</v>
      </c>
      <c r="G176">
        <v>70.247100000000003</v>
      </c>
      <c r="H176">
        <v>0</v>
      </c>
      <c r="I176" t="s">
        <v>327</v>
      </c>
      <c r="J176" t="s">
        <v>328</v>
      </c>
      <c r="K176" t="s">
        <v>464</v>
      </c>
      <c r="L176" s="4">
        <f>_xlfn.XLOOKUP(A176,[2]Int_NH!A:A,[2]Int_NH!B:B,"-",0)</f>
        <v>6.3591400000000006E-2</v>
      </c>
    </row>
    <row r="177" spans="1:12" x14ac:dyDescent="0.2">
      <c r="A177" t="s">
        <v>106</v>
      </c>
      <c r="B177">
        <v>0.11</v>
      </c>
      <c r="C177">
        <v>5.2699999999999997E-2</v>
      </c>
      <c r="D177">
        <v>103.3394</v>
      </c>
      <c r="E177">
        <v>69.331000000000003</v>
      </c>
      <c r="F177">
        <v>103.33969999999999</v>
      </c>
      <c r="G177">
        <v>69.3309</v>
      </c>
      <c r="H177">
        <v>0.4</v>
      </c>
      <c r="I177" t="s">
        <v>327</v>
      </c>
      <c r="J177" t="s">
        <v>328</v>
      </c>
      <c r="K177">
        <v>6936</v>
      </c>
      <c r="L177" s="4">
        <f>_xlfn.XLOOKUP(A177,[2]Int_NH!A:A,[2]Int_NH!B:B,"-",0)</f>
        <v>7.3559799999999998E-3</v>
      </c>
    </row>
    <row r="178" spans="1:12" x14ac:dyDescent="0.2">
      <c r="A178" t="s">
        <v>107</v>
      </c>
      <c r="B178">
        <v>0.29599999999999999</v>
      </c>
      <c r="C178">
        <v>6.3700000000000007E-2</v>
      </c>
      <c r="D178">
        <v>104.6276</v>
      </c>
      <c r="E178">
        <v>-55.938800000000001</v>
      </c>
      <c r="F178">
        <v>104.62350000000001</v>
      </c>
      <c r="G178">
        <v>-55.944400000000002</v>
      </c>
      <c r="H178">
        <v>21.7</v>
      </c>
      <c r="I178" t="s">
        <v>331</v>
      </c>
      <c r="J178" t="s">
        <v>336</v>
      </c>
      <c r="K178" t="s">
        <v>465</v>
      </c>
      <c r="L178" s="4">
        <f>_xlfn.XLOOKUP(A178,[2]Int_NH!A:A,[2]Int_NH!B:B,"-",0)</f>
        <v>5.4668399999999997E-3</v>
      </c>
    </row>
    <row r="179" spans="1:12" x14ac:dyDescent="0.2">
      <c r="A179" t="s">
        <v>108</v>
      </c>
      <c r="B179">
        <v>0.32800000000000001</v>
      </c>
      <c r="C179">
        <v>5.5500000000000001E-2</v>
      </c>
      <c r="D179">
        <v>108.0864</v>
      </c>
      <c r="E179">
        <v>59.538899999999998</v>
      </c>
      <c r="F179">
        <v>108.0853</v>
      </c>
      <c r="G179">
        <v>59.538699999999999</v>
      </c>
      <c r="H179">
        <v>2.2000000000000002</v>
      </c>
      <c r="I179" t="s">
        <v>327</v>
      </c>
      <c r="J179" t="s">
        <v>336</v>
      </c>
      <c r="K179">
        <v>11709</v>
      </c>
      <c r="L179" s="4">
        <f>_xlfn.XLOOKUP(A179,[2]Int_NH!A:A,[2]Int_NH!B:B,"-",0)</f>
        <v>2.7925999999999998E-4</v>
      </c>
    </row>
    <row r="180" spans="1:12" x14ac:dyDescent="0.2">
      <c r="A180" t="s">
        <v>109</v>
      </c>
      <c r="B180">
        <v>0.54600000000000004</v>
      </c>
      <c r="C180">
        <v>7.0599999999999996E-2</v>
      </c>
      <c r="D180">
        <v>109.37560000000001</v>
      </c>
      <c r="E180">
        <v>37.76</v>
      </c>
      <c r="F180">
        <v>109.3819</v>
      </c>
      <c r="G180">
        <v>37.755099999999999</v>
      </c>
      <c r="H180">
        <v>25</v>
      </c>
      <c r="I180" t="s">
        <v>331</v>
      </c>
      <c r="J180" t="s">
        <v>328</v>
      </c>
      <c r="K180" t="s">
        <v>466</v>
      </c>
      <c r="L180" s="4">
        <f>_xlfn.XLOOKUP(A180,[2]Int_NH!A:A,[2]Int_NH!B:B,"-",0)</f>
        <v>2.4603E-2</v>
      </c>
    </row>
    <row r="181" spans="1:12" x14ac:dyDescent="0.2">
      <c r="A181" t="s">
        <v>110</v>
      </c>
      <c r="B181">
        <v>0.23100000000000001</v>
      </c>
      <c r="C181">
        <v>3.8800000000000001E-2</v>
      </c>
      <c r="D181">
        <v>110.2248</v>
      </c>
      <c r="E181">
        <v>71.149699999999996</v>
      </c>
      <c r="F181">
        <v>110.2231</v>
      </c>
      <c r="G181">
        <v>71.149100000000004</v>
      </c>
      <c r="H181">
        <v>2.8</v>
      </c>
      <c r="I181" t="s">
        <v>327</v>
      </c>
      <c r="J181" t="s">
        <v>336</v>
      </c>
      <c r="K181" t="s">
        <v>467</v>
      </c>
      <c r="L181" s="4">
        <f>_xlfn.XLOOKUP(A181,[2]Int_NH!A:A,[2]Int_NH!B:B,"-",0)</f>
        <v>2.47269E-2</v>
      </c>
    </row>
    <row r="182" spans="1:12" x14ac:dyDescent="0.2">
      <c r="A182" t="s">
        <v>468</v>
      </c>
      <c r="B182">
        <v>3.8899999999999997E-2</v>
      </c>
      <c r="C182">
        <v>5.5800000000000002E-2</v>
      </c>
      <c r="D182">
        <v>110.3766</v>
      </c>
      <c r="E182">
        <v>55.761600000000001</v>
      </c>
      <c r="F182">
        <v>110.3766</v>
      </c>
      <c r="G182">
        <v>55.761699999999998</v>
      </c>
      <c r="H182">
        <v>0.2</v>
      </c>
      <c r="I182" t="s">
        <v>327</v>
      </c>
      <c r="J182" t="s">
        <v>328</v>
      </c>
      <c r="K182">
        <v>3289</v>
      </c>
      <c r="L182" s="4">
        <f>_xlfn.XLOOKUP(A182,[2]Int_NH!A:A,[2]Int_NH!B:B,"-",0)</f>
        <v>1.93616E-2</v>
      </c>
    </row>
    <row r="183" spans="1:12" x14ac:dyDescent="0.2">
      <c r="A183" t="s">
        <v>111</v>
      </c>
      <c r="B183">
        <v>8.6999999999999994E-2</v>
      </c>
      <c r="C183">
        <v>4.3999999999999997E-2</v>
      </c>
      <c r="D183">
        <v>111.223</v>
      </c>
      <c r="E183">
        <v>66.985399999999998</v>
      </c>
      <c r="F183">
        <v>111.223</v>
      </c>
      <c r="G183">
        <v>66.985399999999998</v>
      </c>
      <c r="H183">
        <v>0</v>
      </c>
      <c r="I183" t="s">
        <v>327</v>
      </c>
      <c r="J183" t="s">
        <v>328</v>
      </c>
      <c r="K183" t="s">
        <v>469</v>
      </c>
      <c r="L183" s="4">
        <f>_xlfn.XLOOKUP(A183,[2]Int_NH!A:A,[2]Int_NH!B:B,"-",0)</f>
        <v>2.60634E-2</v>
      </c>
    </row>
    <row r="184" spans="1:12" x14ac:dyDescent="0.2">
      <c r="A184" t="s">
        <v>112</v>
      </c>
      <c r="B184">
        <v>0.17100000000000001</v>
      </c>
      <c r="C184">
        <v>4.9399999999999999E-2</v>
      </c>
      <c r="D184">
        <v>113.0847</v>
      </c>
      <c r="E184">
        <v>31.6325</v>
      </c>
      <c r="F184">
        <v>113.0848</v>
      </c>
      <c r="G184">
        <v>31.632899999999999</v>
      </c>
      <c r="H184">
        <v>1.5</v>
      </c>
      <c r="I184" t="s">
        <v>327</v>
      </c>
      <c r="J184" t="s">
        <v>328</v>
      </c>
      <c r="K184" t="s">
        <v>470</v>
      </c>
      <c r="L184" s="4">
        <f>_xlfn.XLOOKUP(A184,[2]Int_NH!A:A,[2]Int_NH!B:B,"-",0)</f>
        <v>1.7037799999999999E-2</v>
      </c>
    </row>
    <row r="185" spans="1:12" x14ac:dyDescent="0.2">
      <c r="A185" t="s">
        <v>113</v>
      </c>
      <c r="B185">
        <v>0.216</v>
      </c>
      <c r="C185">
        <v>3.5700000000000003E-2</v>
      </c>
      <c r="D185">
        <v>115.4346</v>
      </c>
      <c r="E185">
        <v>74.244</v>
      </c>
      <c r="F185">
        <v>115.4344</v>
      </c>
      <c r="G185">
        <v>74.244</v>
      </c>
      <c r="H185">
        <v>0.4</v>
      </c>
      <c r="I185" t="s">
        <v>327</v>
      </c>
      <c r="J185" t="s">
        <v>328</v>
      </c>
      <c r="K185" t="s">
        <v>471</v>
      </c>
      <c r="L185" s="4">
        <f>_xlfn.XLOOKUP(A185,[2]Int_NH!A:A,[2]Int_NH!B:B,"-",0)</f>
        <v>8.5717399999999996E-3</v>
      </c>
    </row>
    <row r="186" spans="1:12" x14ac:dyDescent="0.2">
      <c r="A186" t="s">
        <v>114</v>
      </c>
      <c r="B186">
        <v>1.0686</v>
      </c>
      <c r="C186">
        <v>5.6399999999999999E-2</v>
      </c>
      <c r="D186">
        <v>116.0724</v>
      </c>
      <c r="E186">
        <v>37.887799999999999</v>
      </c>
      <c r="F186">
        <v>116.07250000000001</v>
      </c>
      <c r="G186">
        <v>37.887799999999999</v>
      </c>
      <c r="H186">
        <v>0.3</v>
      </c>
      <c r="I186" t="s">
        <v>327</v>
      </c>
      <c r="J186" t="s">
        <v>328</v>
      </c>
      <c r="K186" t="s">
        <v>472</v>
      </c>
      <c r="L186" s="4">
        <f>_xlfn.XLOOKUP(A186,[2]Int_NH!A:A,[2]Int_NH!B:B,"-",0)</f>
        <v>0</v>
      </c>
    </row>
    <row r="187" spans="1:12" x14ac:dyDescent="0.2">
      <c r="A187" t="s">
        <v>473</v>
      </c>
      <c r="B187">
        <v>0.69799999999999995</v>
      </c>
      <c r="C187">
        <v>2.76E-2</v>
      </c>
      <c r="D187">
        <v>116.2201</v>
      </c>
      <c r="E187">
        <v>39.457299999999996</v>
      </c>
      <c r="F187">
        <v>116.22</v>
      </c>
      <c r="G187">
        <v>39.456800000000001</v>
      </c>
      <c r="H187">
        <v>1.7</v>
      </c>
      <c r="I187" t="s">
        <v>327</v>
      </c>
      <c r="J187" t="s">
        <v>328</v>
      </c>
      <c r="K187" t="s">
        <v>474</v>
      </c>
      <c r="L187" s="4">
        <f>_xlfn.XLOOKUP(A187,[2]Int_NH!A:A,[2]Int_NH!B:B,"-",0)</f>
        <v>4.4623999999999997E-2</v>
      </c>
    </row>
    <row r="188" spans="1:12" x14ac:dyDescent="0.2">
      <c r="A188" t="s">
        <v>475</v>
      </c>
      <c r="B188">
        <v>0.10299999999999999</v>
      </c>
      <c r="C188">
        <v>0.43280000000000002</v>
      </c>
      <c r="D188">
        <v>116.87949999999999</v>
      </c>
      <c r="E188">
        <v>-19.294699999999999</v>
      </c>
      <c r="F188">
        <v>116.881</v>
      </c>
      <c r="G188">
        <v>-19.2944</v>
      </c>
      <c r="H188">
        <v>5.0999999999999996</v>
      </c>
      <c r="I188" t="s">
        <v>331</v>
      </c>
      <c r="J188" t="s">
        <v>328</v>
      </c>
      <c r="K188">
        <v>12881</v>
      </c>
      <c r="L188" s="4">
        <f>_xlfn.XLOOKUP(A188,[2]Int_NH!A:A,[2]Int_NH!B:B,"-",0)</f>
        <v>0</v>
      </c>
    </row>
    <row r="189" spans="1:12" x14ac:dyDescent="0.2">
      <c r="A189" t="s">
        <v>476</v>
      </c>
      <c r="B189">
        <v>2.1999999999999999E-2</v>
      </c>
      <c r="C189">
        <v>5.1299999999999998E-2</v>
      </c>
      <c r="D189">
        <v>117.8364</v>
      </c>
      <c r="E189">
        <v>50.233899999999998</v>
      </c>
      <c r="F189">
        <v>117.8377</v>
      </c>
      <c r="G189">
        <v>50.235300000000002</v>
      </c>
      <c r="H189">
        <v>5.7</v>
      </c>
      <c r="I189" t="s">
        <v>331</v>
      </c>
      <c r="J189" t="s">
        <v>336</v>
      </c>
      <c r="K189">
        <v>15170</v>
      </c>
      <c r="L189" s="4">
        <f>_xlfn.XLOOKUP(A189,[2]Int_NH!A:A,[2]Int_NH!B:B,"-",0)</f>
        <v>4.6749199999999998E-2</v>
      </c>
    </row>
    <row r="190" spans="1:12" x14ac:dyDescent="0.2">
      <c r="A190" t="s">
        <v>115</v>
      </c>
      <c r="B190">
        <v>0.189</v>
      </c>
      <c r="C190">
        <v>3.9399999999999998E-2</v>
      </c>
      <c r="D190">
        <v>117.855</v>
      </c>
      <c r="E190">
        <v>17.5139</v>
      </c>
      <c r="F190">
        <v>117.85039999999999</v>
      </c>
      <c r="G190">
        <v>17.514700000000001</v>
      </c>
      <c r="H190">
        <v>16</v>
      </c>
      <c r="I190" t="s">
        <v>331</v>
      </c>
      <c r="J190" t="s">
        <v>328</v>
      </c>
      <c r="K190">
        <v>10442</v>
      </c>
      <c r="L190" s="4">
        <f>_xlfn.XLOOKUP(A190,[2]Int_NH!A:A,[2]Int_NH!B:B,"-",0)</f>
        <v>1.13913E-2</v>
      </c>
    </row>
    <row r="191" spans="1:12" x14ac:dyDescent="0.2">
      <c r="A191" t="s">
        <v>116</v>
      </c>
      <c r="B191">
        <v>0.28799999999999998</v>
      </c>
      <c r="C191">
        <v>4.9500000000000002E-2</v>
      </c>
      <c r="D191">
        <v>120.23699999999999</v>
      </c>
      <c r="E191">
        <v>36.056600000000003</v>
      </c>
      <c r="F191">
        <v>120.2368</v>
      </c>
      <c r="G191">
        <v>36.056699999999999</v>
      </c>
      <c r="H191">
        <v>0.5</v>
      </c>
      <c r="I191" t="s">
        <v>327</v>
      </c>
      <c r="J191" t="s">
        <v>328</v>
      </c>
      <c r="K191">
        <v>3194</v>
      </c>
      <c r="L191" s="4">
        <f>_xlfn.XLOOKUP(A191,[2]Int_NH!A:A,[2]Int_NH!B:B,"-",0)</f>
        <v>5.1877E-3</v>
      </c>
    </row>
    <row r="192" spans="1:12" x14ac:dyDescent="0.2">
      <c r="A192" t="s">
        <v>117</v>
      </c>
      <c r="B192">
        <v>0.3</v>
      </c>
      <c r="C192">
        <v>3.7900000000000003E-2</v>
      </c>
      <c r="D192">
        <v>122.4251</v>
      </c>
      <c r="E192">
        <v>28.202300000000001</v>
      </c>
      <c r="F192">
        <v>122.4288</v>
      </c>
      <c r="G192">
        <v>28.2075</v>
      </c>
      <c r="H192">
        <v>22.1</v>
      </c>
      <c r="I192" t="s">
        <v>331</v>
      </c>
      <c r="J192" t="s">
        <v>336</v>
      </c>
      <c r="K192">
        <v>5774</v>
      </c>
      <c r="L192" s="4">
        <f>_xlfn.XLOOKUP(A192,[2]Int_NH!A:A,[2]Int_NH!B:B,"-",0)</f>
        <v>8.8297800000000006E-3</v>
      </c>
    </row>
    <row r="193" spans="1:12" x14ac:dyDescent="0.2">
      <c r="A193" t="s">
        <v>118</v>
      </c>
      <c r="B193">
        <v>6.4000000000000001E-2</v>
      </c>
      <c r="C193">
        <v>4.9399999999999999E-2</v>
      </c>
      <c r="D193">
        <v>122.5973</v>
      </c>
      <c r="E193">
        <v>42.273899999999998</v>
      </c>
      <c r="F193">
        <v>122.5951</v>
      </c>
      <c r="G193">
        <v>42.273899999999998</v>
      </c>
      <c r="H193">
        <v>5.9</v>
      </c>
      <c r="I193" t="s">
        <v>331</v>
      </c>
      <c r="J193" t="s">
        <v>328</v>
      </c>
      <c r="K193">
        <v>13986</v>
      </c>
      <c r="L193" s="4">
        <f>_xlfn.XLOOKUP(A193,[2]Int_NH!A:A,[2]Int_NH!B:B,"-",0)</f>
        <v>1.26315E-2</v>
      </c>
    </row>
    <row r="194" spans="1:12" x14ac:dyDescent="0.2">
      <c r="A194" t="s">
        <v>119</v>
      </c>
      <c r="B194">
        <v>7.0000000000000007E-2</v>
      </c>
      <c r="C194">
        <v>6.5100000000000005E-2</v>
      </c>
      <c r="D194">
        <v>124.35850000000001</v>
      </c>
      <c r="E194">
        <v>-7.5087999999999999</v>
      </c>
      <c r="F194">
        <v>124.35509999999999</v>
      </c>
      <c r="G194">
        <v>-7.5110999999999999</v>
      </c>
      <c r="H194">
        <v>14.8</v>
      </c>
      <c r="I194" t="s">
        <v>331</v>
      </c>
      <c r="J194" t="s">
        <v>328</v>
      </c>
      <c r="K194">
        <v>2211</v>
      </c>
      <c r="L194" s="4">
        <f>_xlfn.XLOOKUP(A194,[2]Int_NH!A:A,[2]Int_NH!B:B,"-",0)</f>
        <v>5.7373800000000003E-2</v>
      </c>
    </row>
    <row r="195" spans="1:12" x14ac:dyDescent="0.2">
      <c r="A195" t="s">
        <v>120</v>
      </c>
      <c r="B195">
        <v>0.11899999999999999</v>
      </c>
      <c r="C195">
        <v>4.1599999999999998E-2</v>
      </c>
      <c r="D195">
        <v>124.858</v>
      </c>
      <c r="E195">
        <v>63.623800000000003</v>
      </c>
      <c r="F195">
        <v>124.8584</v>
      </c>
      <c r="G195">
        <v>63.624000000000002</v>
      </c>
      <c r="H195">
        <v>1</v>
      </c>
      <c r="I195" t="s">
        <v>327</v>
      </c>
      <c r="J195" t="s">
        <v>328</v>
      </c>
      <c r="K195">
        <v>2199</v>
      </c>
      <c r="L195" s="4">
        <f>_xlfn.XLOOKUP(A195,[2]Int_NH!A:A,[2]Int_NH!B:B,"-",0)</f>
        <v>3.0329700000000001E-2</v>
      </c>
    </row>
    <row r="196" spans="1:12" x14ac:dyDescent="0.2">
      <c r="A196" t="s">
        <v>477</v>
      </c>
      <c r="B196">
        <v>1.6299999999999999E-2</v>
      </c>
      <c r="C196">
        <v>4.2599999999999999E-2</v>
      </c>
      <c r="D196">
        <v>125.1485</v>
      </c>
      <c r="E196">
        <v>21.067900000000002</v>
      </c>
      <c r="F196">
        <v>125.1485</v>
      </c>
      <c r="G196">
        <v>21.067900000000002</v>
      </c>
      <c r="H196">
        <v>0.1</v>
      </c>
      <c r="I196" t="s">
        <v>327</v>
      </c>
      <c r="J196" t="s">
        <v>328</v>
      </c>
      <c r="K196">
        <v>7925</v>
      </c>
      <c r="L196" s="4">
        <f>_xlfn.XLOOKUP(A196,[2]Int_NH!A:A,[2]Int_NH!B:B,"-",0)</f>
        <v>1.54661E-2</v>
      </c>
    </row>
    <row r="197" spans="1:12" x14ac:dyDescent="0.2">
      <c r="A197" t="s">
        <v>478</v>
      </c>
      <c r="B197">
        <v>2.9000000000000001E-2</v>
      </c>
      <c r="C197">
        <v>2.76E-2</v>
      </c>
      <c r="D197">
        <v>125.8402</v>
      </c>
      <c r="E197">
        <v>4.3726000000000003</v>
      </c>
      <c r="F197">
        <v>125.8402</v>
      </c>
      <c r="G197">
        <v>4.3726000000000003</v>
      </c>
      <c r="H197">
        <v>0</v>
      </c>
      <c r="I197" t="s">
        <v>327</v>
      </c>
      <c r="J197" t="s">
        <v>328</v>
      </c>
      <c r="K197">
        <v>15161</v>
      </c>
      <c r="L197" s="4">
        <f>_xlfn.XLOOKUP(A197,[2]Int_NH!A:A,[2]Int_NH!B:B,"-",0)</f>
        <v>1.44432E-3</v>
      </c>
    </row>
    <row r="198" spans="1:12" x14ac:dyDescent="0.2">
      <c r="A198" t="s">
        <v>121</v>
      </c>
      <c r="B198">
        <v>0.22500000000000001</v>
      </c>
      <c r="C198">
        <v>2.7099999999999999E-2</v>
      </c>
      <c r="D198">
        <v>126.4913</v>
      </c>
      <c r="E198">
        <v>4.2466999999999997</v>
      </c>
      <c r="F198">
        <v>126.491</v>
      </c>
      <c r="G198">
        <v>4.2469999999999999</v>
      </c>
      <c r="H198">
        <v>1.4</v>
      </c>
      <c r="I198" t="s">
        <v>327</v>
      </c>
      <c r="J198" t="s">
        <v>328</v>
      </c>
      <c r="K198">
        <v>10441</v>
      </c>
      <c r="L198" s="4">
        <f>_xlfn.XLOOKUP(A198,[2]Int_NH!A:A,[2]Int_NH!B:B,"-",0)</f>
        <v>4.1439200000000002E-2</v>
      </c>
    </row>
    <row r="199" spans="1:12" x14ac:dyDescent="0.2">
      <c r="A199" t="s">
        <v>122</v>
      </c>
      <c r="B199">
        <v>0.182</v>
      </c>
      <c r="C199">
        <v>4.2500000000000003E-2</v>
      </c>
      <c r="D199">
        <v>127.74679999999999</v>
      </c>
      <c r="E199">
        <v>65.839500000000001</v>
      </c>
      <c r="F199">
        <v>127.74679999999999</v>
      </c>
      <c r="G199">
        <v>65.838899999999995</v>
      </c>
      <c r="H199">
        <v>2.2000000000000002</v>
      </c>
      <c r="I199" t="s">
        <v>327</v>
      </c>
      <c r="J199" t="s">
        <v>336</v>
      </c>
      <c r="K199" t="s">
        <v>479</v>
      </c>
      <c r="L199" s="4">
        <f>_xlfn.XLOOKUP(A199,[2]Int_NH!A:A,[2]Int_NH!B:B,"-",0)</f>
        <v>1.77637E-2</v>
      </c>
    </row>
    <row r="200" spans="1:12" x14ac:dyDescent="0.2">
      <c r="A200" t="s">
        <v>123</v>
      </c>
      <c r="B200">
        <v>0.24099999999999999</v>
      </c>
      <c r="C200">
        <v>4.0399999999999998E-2</v>
      </c>
      <c r="D200">
        <v>128.72839999999999</v>
      </c>
      <c r="E200">
        <v>55.572200000000002</v>
      </c>
      <c r="F200">
        <v>128.72890000000001</v>
      </c>
      <c r="G200">
        <v>55.572499999999998</v>
      </c>
      <c r="H200">
        <v>1.4</v>
      </c>
      <c r="I200" t="s">
        <v>327</v>
      </c>
      <c r="J200" t="s">
        <v>328</v>
      </c>
      <c r="K200">
        <v>4940</v>
      </c>
      <c r="L200" s="4">
        <f>_xlfn.XLOOKUP(A200,[2]Int_NH!A:A,[2]Int_NH!B:B,"-",0)</f>
        <v>2.4425700000000002E-2</v>
      </c>
    </row>
    <row r="201" spans="1:12" x14ac:dyDescent="0.2">
      <c r="A201" t="s">
        <v>124</v>
      </c>
      <c r="B201">
        <v>0.123</v>
      </c>
      <c r="C201">
        <v>3.1899999999999998E-2</v>
      </c>
      <c r="D201">
        <v>129.62880000000001</v>
      </c>
      <c r="E201">
        <v>19.805499999999999</v>
      </c>
      <c r="F201">
        <v>129.62880000000001</v>
      </c>
      <c r="G201">
        <v>19.804200000000002</v>
      </c>
      <c r="H201">
        <v>4.9000000000000004</v>
      </c>
      <c r="I201" t="s">
        <v>327</v>
      </c>
      <c r="J201" t="s">
        <v>336</v>
      </c>
      <c r="K201">
        <v>9397</v>
      </c>
      <c r="L201" s="4">
        <f>_xlfn.XLOOKUP(A201,[2]Int_NH!A:A,[2]Int_NH!B:B,"-",0)</f>
        <v>5.4455399999999996E-3</v>
      </c>
    </row>
    <row r="202" spans="1:12" x14ac:dyDescent="0.2">
      <c r="A202" t="s">
        <v>480</v>
      </c>
      <c r="B202">
        <v>0.16900000000000001</v>
      </c>
      <c r="C202">
        <v>5.4199999999999998E-2</v>
      </c>
      <c r="D202">
        <v>130.46639999999999</v>
      </c>
      <c r="E202">
        <v>-17.462700000000002</v>
      </c>
      <c r="F202">
        <v>130.46639999999999</v>
      </c>
      <c r="G202">
        <v>-17.462700000000002</v>
      </c>
      <c r="H202">
        <v>0</v>
      </c>
      <c r="I202" t="s">
        <v>327</v>
      </c>
      <c r="J202" t="s">
        <v>328</v>
      </c>
      <c r="K202" t="s">
        <v>481</v>
      </c>
      <c r="L202" s="4">
        <f>_xlfn.XLOOKUP(A202,[2]Int_NH!A:A,[2]Int_NH!B:B,"-",0)</f>
        <v>2.90925E-2</v>
      </c>
    </row>
    <row r="203" spans="1:12" x14ac:dyDescent="0.2">
      <c r="A203" t="s">
        <v>125</v>
      </c>
      <c r="B203">
        <v>0.19400000000000001</v>
      </c>
      <c r="C203">
        <v>4.2200000000000001E-2</v>
      </c>
      <c r="D203">
        <v>130.7329</v>
      </c>
      <c r="E203">
        <v>29.457599999999999</v>
      </c>
      <c r="F203">
        <v>130.73320000000001</v>
      </c>
      <c r="G203">
        <v>29.4575</v>
      </c>
      <c r="H203">
        <v>0.8</v>
      </c>
      <c r="I203" t="s">
        <v>327</v>
      </c>
      <c r="J203" t="s">
        <v>328</v>
      </c>
      <c r="K203">
        <v>2224</v>
      </c>
      <c r="L203" s="4">
        <f>_xlfn.XLOOKUP(A203,[2]Int_NH!A:A,[2]Int_NH!B:B,"-",0)</f>
        <v>1.5406899999999999E-2</v>
      </c>
    </row>
    <row r="204" spans="1:12" x14ac:dyDescent="0.2">
      <c r="A204" t="s">
        <v>126</v>
      </c>
      <c r="B204">
        <v>0.28199999999999997</v>
      </c>
      <c r="C204">
        <v>3.3700000000000001E-2</v>
      </c>
      <c r="D204">
        <v>130.73990000000001</v>
      </c>
      <c r="E204">
        <v>36.366399999999999</v>
      </c>
      <c r="F204">
        <v>130.7398</v>
      </c>
      <c r="G204">
        <v>36.366</v>
      </c>
      <c r="H204">
        <v>1.3</v>
      </c>
      <c r="I204" t="s">
        <v>327</v>
      </c>
      <c r="J204" t="s">
        <v>328</v>
      </c>
      <c r="K204">
        <v>4217</v>
      </c>
      <c r="L204" s="4">
        <f>_xlfn.XLOOKUP(A204,[2]Int_NH!A:A,[2]Int_NH!B:B,"-",0)</f>
        <v>0</v>
      </c>
    </row>
    <row r="205" spans="1:12" x14ac:dyDescent="0.2">
      <c r="A205" t="s">
        <v>127</v>
      </c>
      <c r="B205">
        <v>0.54300000000000004</v>
      </c>
      <c r="C205">
        <v>2.7300000000000001E-2</v>
      </c>
      <c r="D205">
        <v>132.19900000000001</v>
      </c>
      <c r="E205">
        <v>44.937800000000003</v>
      </c>
      <c r="F205">
        <v>132.19900000000001</v>
      </c>
      <c r="G205">
        <v>44.938099999999999</v>
      </c>
      <c r="H205">
        <v>1</v>
      </c>
      <c r="I205" t="s">
        <v>327</v>
      </c>
      <c r="J205" t="s">
        <v>336</v>
      </c>
      <c r="K205" t="s">
        <v>482</v>
      </c>
      <c r="L205" s="4">
        <f>_xlfn.XLOOKUP(A205,[2]Int_NH!A:A,[2]Int_NH!B:B,"-",0)</f>
        <v>9.4532099999999994E-2</v>
      </c>
    </row>
    <row r="206" spans="1:12" x14ac:dyDescent="0.2">
      <c r="A206" t="s">
        <v>483</v>
      </c>
      <c r="B206">
        <v>0.378</v>
      </c>
      <c r="C206">
        <v>3.09E-2</v>
      </c>
      <c r="D206">
        <v>132.52780000000001</v>
      </c>
      <c r="E206">
        <v>36.071199999999997</v>
      </c>
      <c r="F206">
        <v>132.52780000000001</v>
      </c>
      <c r="G206">
        <v>36.071199999999997</v>
      </c>
      <c r="H206">
        <v>0</v>
      </c>
      <c r="I206" t="s">
        <v>327</v>
      </c>
      <c r="J206" t="s">
        <v>328</v>
      </c>
      <c r="K206">
        <v>1659</v>
      </c>
      <c r="L206" s="4">
        <f>_xlfn.XLOOKUP(A206,[2]Int_NH!A:A,[2]Int_NH!B:B,"-",0)</f>
        <v>0</v>
      </c>
    </row>
    <row r="207" spans="1:12" x14ac:dyDescent="0.2">
      <c r="A207" t="s">
        <v>128</v>
      </c>
      <c r="B207">
        <v>0.371</v>
      </c>
      <c r="C207">
        <v>3.09E-2</v>
      </c>
      <c r="D207">
        <v>132.91210000000001</v>
      </c>
      <c r="E207">
        <v>33.518799999999999</v>
      </c>
      <c r="F207">
        <v>132.91239999999999</v>
      </c>
      <c r="G207">
        <v>33.519100000000002</v>
      </c>
      <c r="H207">
        <v>1.4</v>
      </c>
      <c r="I207" t="s">
        <v>327</v>
      </c>
      <c r="J207" t="s">
        <v>336</v>
      </c>
      <c r="K207">
        <v>4205</v>
      </c>
      <c r="L207" s="4">
        <f>_xlfn.XLOOKUP(A207,[2]Int_NH!A:A,[2]Int_NH!B:B,"-",0)</f>
        <v>1.0122000000000001E-2</v>
      </c>
    </row>
    <row r="208" spans="1:12" x14ac:dyDescent="0.2">
      <c r="A208" t="s">
        <v>129</v>
      </c>
      <c r="B208">
        <v>0.23</v>
      </c>
      <c r="C208">
        <v>3.3700000000000001E-2</v>
      </c>
      <c r="D208">
        <v>135.15350000000001</v>
      </c>
      <c r="E208">
        <v>20.894400000000001</v>
      </c>
      <c r="F208">
        <v>135.15350000000001</v>
      </c>
      <c r="G208">
        <v>20.894500000000001</v>
      </c>
      <c r="H208">
        <v>0.7</v>
      </c>
      <c r="I208" t="s">
        <v>327</v>
      </c>
      <c r="J208" t="s">
        <v>328</v>
      </c>
      <c r="K208">
        <v>10463</v>
      </c>
      <c r="L208" s="4">
        <f>_xlfn.XLOOKUP(A208,[2]Int_NH!A:A,[2]Int_NH!B:B,"-",0)</f>
        <v>0</v>
      </c>
    </row>
    <row r="209" spans="1:12" x14ac:dyDescent="0.2">
      <c r="A209" t="s">
        <v>130</v>
      </c>
      <c r="B209">
        <v>7.2999999999999995E-2</v>
      </c>
      <c r="C209">
        <v>3.6499999999999998E-2</v>
      </c>
      <c r="D209">
        <v>136.8355</v>
      </c>
      <c r="E209">
        <v>16.651700000000002</v>
      </c>
      <c r="F209">
        <v>136.83519999999999</v>
      </c>
      <c r="G209">
        <v>16.651700000000002</v>
      </c>
      <c r="H209">
        <v>0.8</v>
      </c>
      <c r="I209" t="s">
        <v>327</v>
      </c>
      <c r="J209" t="s">
        <v>328</v>
      </c>
      <c r="K209">
        <v>6947</v>
      </c>
      <c r="L209" s="4">
        <f>_xlfn.XLOOKUP(A209,[2]Int_NH!A:A,[2]Int_NH!B:B,"-",0)</f>
        <v>1.5732800000000002E-2</v>
      </c>
    </row>
    <row r="210" spans="1:12" x14ac:dyDescent="0.2">
      <c r="A210" t="s">
        <v>131</v>
      </c>
      <c r="B210">
        <v>0.18</v>
      </c>
      <c r="C210">
        <v>3.61E-2</v>
      </c>
      <c r="D210">
        <v>137.3031</v>
      </c>
      <c r="E210">
        <v>10.9748</v>
      </c>
      <c r="F210">
        <v>137.3031</v>
      </c>
      <c r="G210">
        <v>10.9756</v>
      </c>
      <c r="H210">
        <v>2.7</v>
      </c>
      <c r="I210" t="s">
        <v>327</v>
      </c>
      <c r="J210" t="s">
        <v>328</v>
      </c>
      <c r="K210">
        <v>924</v>
      </c>
      <c r="L210" s="4">
        <f>_xlfn.XLOOKUP(A210,[2]Int_NH!A:A,[2]Int_NH!B:B,"-",0)</f>
        <v>2.3374800000000001E-2</v>
      </c>
    </row>
    <row r="211" spans="1:12" x14ac:dyDescent="0.2">
      <c r="A211" t="s">
        <v>484</v>
      </c>
      <c r="B211">
        <v>5.4199999999999998E-2</v>
      </c>
      <c r="C211">
        <v>4.4999999999999998E-2</v>
      </c>
      <c r="D211">
        <v>137.32730000000001</v>
      </c>
      <c r="E211">
        <v>-9.6859000000000002</v>
      </c>
      <c r="F211">
        <v>137.32579999999999</v>
      </c>
      <c r="G211">
        <v>-9.6859999999999999</v>
      </c>
      <c r="H211">
        <v>5.4</v>
      </c>
      <c r="I211" t="s">
        <v>331</v>
      </c>
      <c r="J211" t="s">
        <v>336</v>
      </c>
      <c r="K211" t="s">
        <v>485</v>
      </c>
      <c r="L211" s="4">
        <f>_xlfn.XLOOKUP(A211,[2]Int_NH!A:A,[2]Int_NH!B:B,"-",0)</f>
        <v>4.1039100000000002E-2</v>
      </c>
    </row>
    <row r="212" spans="1:12" x14ac:dyDescent="0.2">
      <c r="A212" t="s">
        <v>486</v>
      </c>
      <c r="B212">
        <v>0.505</v>
      </c>
      <c r="C212">
        <v>3.73E-2</v>
      </c>
      <c r="D212">
        <v>137.7988</v>
      </c>
      <c r="E212">
        <v>17.775700000000001</v>
      </c>
      <c r="F212">
        <v>137.7988</v>
      </c>
      <c r="G212">
        <v>17.775700000000001</v>
      </c>
      <c r="H212">
        <v>0</v>
      </c>
      <c r="I212" t="s">
        <v>327</v>
      </c>
      <c r="J212" t="s">
        <v>336</v>
      </c>
      <c r="K212" t="s">
        <v>487</v>
      </c>
      <c r="L212" s="4">
        <f>_xlfn.XLOOKUP(A212,[2]Int_NH!A:A,[2]Int_NH!B:B,"-",0)</f>
        <v>5.1242599999999999E-2</v>
      </c>
    </row>
    <row r="213" spans="1:12" x14ac:dyDescent="0.2">
      <c r="A213" t="s">
        <v>488</v>
      </c>
      <c r="B213">
        <v>2.1999999999999999E-2</v>
      </c>
      <c r="C213">
        <v>2.3E-2</v>
      </c>
      <c r="D213">
        <v>138.41460000000001</v>
      </c>
      <c r="E213">
        <v>29.992799999999999</v>
      </c>
      <c r="F213">
        <v>138.41300000000001</v>
      </c>
      <c r="G213">
        <v>29.995200000000001</v>
      </c>
      <c r="H213">
        <v>10.1</v>
      </c>
      <c r="I213" t="s">
        <v>331</v>
      </c>
      <c r="J213" t="s">
        <v>336</v>
      </c>
      <c r="K213">
        <v>5789</v>
      </c>
      <c r="L213" s="4">
        <f>_xlfn.XLOOKUP(A213,[2]Int_NH!A:A,[2]Int_NH!B:B,"-",0)</f>
        <v>4.8992399999999998E-2</v>
      </c>
    </row>
    <row r="214" spans="1:12" x14ac:dyDescent="0.2">
      <c r="A214" t="s">
        <v>132</v>
      </c>
      <c r="B214">
        <v>0.442</v>
      </c>
      <c r="C214">
        <v>1.14E-2</v>
      </c>
      <c r="D214">
        <v>138.43950000000001</v>
      </c>
      <c r="E214">
        <v>40.941299999999998</v>
      </c>
      <c r="F214">
        <v>138.44049999999999</v>
      </c>
      <c r="G214">
        <v>40.941600000000001</v>
      </c>
      <c r="H214">
        <v>3.1</v>
      </c>
      <c r="I214" t="s">
        <v>327</v>
      </c>
      <c r="J214" t="s">
        <v>328</v>
      </c>
      <c r="K214">
        <v>10445</v>
      </c>
      <c r="L214" s="4">
        <f>_xlfn.XLOOKUP(A214,[2]Int_NH!A:A,[2]Int_NH!B:B,"-",0)</f>
        <v>0</v>
      </c>
    </row>
    <row r="215" spans="1:12" x14ac:dyDescent="0.2">
      <c r="A215" t="s">
        <v>133</v>
      </c>
      <c r="B215">
        <v>0.217</v>
      </c>
      <c r="C215">
        <v>1.4999999999999999E-2</v>
      </c>
      <c r="D215">
        <v>139.47110000000001</v>
      </c>
      <c r="E215">
        <v>51.728000000000002</v>
      </c>
      <c r="F215">
        <v>139.46899999999999</v>
      </c>
      <c r="G215">
        <v>51.7273</v>
      </c>
      <c r="H215">
        <v>5.3</v>
      </c>
      <c r="I215" t="s">
        <v>331</v>
      </c>
      <c r="J215" t="s">
        <v>328</v>
      </c>
      <c r="K215" t="s">
        <v>489</v>
      </c>
      <c r="L215" s="4">
        <f>_xlfn.XLOOKUP(A215,[2]Int_NH!A:A,[2]Int_NH!B:B,"-",0)</f>
        <v>2.2602500000000001E-2</v>
      </c>
    </row>
    <row r="216" spans="1:12" x14ac:dyDescent="0.2">
      <c r="A216" t="s">
        <v>490</v>
      </c>
      <c r="B216">
        <v>5.5E-2</v>
      </c>
      <c r="C216">
        <v>4.8399999999999999E-2</v>
      </c>
      <c r="D216">
        <v>139.52459999999999</v>
      </c>
      <c r="E216">
        <v>-12.095700000000001</v>
      </c>
      <c r="F216">
        <v>139.5249</v>
      </c>
      <c r="G216">
        <v>-12.095499999999999</v>
      </c>
      <c r="H216">
        <v>1.4</v>
      </c>
      <c r="I216" t="s">
        <v>327</v>
      </c>
      <c r="J216" t="s">
        <v>328</v>
      </c>
      <c r="K216" t="s">
        <v>491</v>
      </c>
      <c r="L216" s="4">
        <f>_xlfn.XLOOKUP(A216,[2]Int_NH!A:A,[2]Int_NH!B:B,"-",0)</f>
        <v>9.9021799999999996E-4</v>
      </c>
    </row>
    <row r="217" spans="1:12" x14ac:dyDescent="0.2">
      <c r="A217" t="s">
        <v>134</v>
      </c>
      <c r="B217">
        <v>0.28899999999999998</v>
      </c>
      <c r="C217">
        <v>2.1499999999999998E-2</v>
      </c>
      <c r="D217">
        <v>139.65020000000001</v>
      </c>
      <c r="E217">
        <v>29.8919</v>
      </c>
      <c r="F217">
        <v>139.65020000000001</v>
      </c>
      <c r="G217">
        <v>29.8917</v>
      </c>
      <c r="H217">
        <v>1</v>
      </c>
      <c r="I217" t="s">
        <v>327</v>
      </c>
      <c r="J217" t="s">
        <v>336</v>
      </c>
      <c r="K217">
        <v>12186</v>
      </c>
      <c r="L217" s="4">
        <f>_xlfn.XLOOKUP(A217,[2]Int_NH!A:A,[2]Int_NH!B:B,"-",0)</f>
        <v>0.19939399999999999</v>
      </c>
    </row>
    <row r="218" spans="1:12" x14ac:dyDescent="0.2">
      <c r="A218" t="s">
        <v>135</v>
      </c>
      <c r="B218">
        <v>0.25800000000000001</v>
      </c>
      <c r="C218">
        <v>1.9099999999999999E-2</v>
      </c>
      <c r="D218">
        <v>140.11179999999999</v>
      </c>
      <c r="E218">
        <v>30.492699999999999</v>
      </c>
      <c r="F218">
        <v>140.1105</v>
      </c>
      <c r="G218">
        <v>30.4938</v>
      </c>
      <c r="H218">
        <v>5.6</v>
      </c>
      <c r="I218" t="s">
        <v>331</v>
      </c>
      <c r="J218" t="s">
        <v>328</v>
      </c>
      <c r="K218">
        <v>15128</v>
      </c>
      <c r="L218" s="4">
        <f>_xlfn.XLOOKUP(A218,[2]Int_NH!A:A,[2]Int_NH!B:B,"-",0)</f>
        <v>1.31637E-2</v>
      </c>
    </row>
    <row r="219" spans="1:12" x14ac:dyDescent="0.2">
      <c r="A219" t="s">
        <v>136</v>
      </c>
      <c r="B219">
        <v>0.28000000000000003</v>
      </c>
      <c r="C219">
        <v>3.56E-2</v>
      </c>
      <c r="D219">
        <v>140.5428</v>
      </c>
      <c r="E219">
        <v>3.7774999999999999</v>
      </c>
      <c r="F219">
        <v>140.54220000000001</v>
      </c>
      <c r="G219">
        <v>3.7770000000000001</v>
      </c>
      <c r="H219">
        <v>2.8</v>
      </c>
      <c r="I219" t="s">
        <v>327</v>
      </c>
      <c r="J219" t="s">
        <v>336</v>
      </c>
      <c r="K219">
        <v>11768</v>
      </c>
      <c r="L219" s="4">
        <f>_xlfn.XLOOKUP(A219,[2]Int_NH!A:A,[2]Int_NH!B:B,"-",0)</f>
        <v>4.8068100000000002E-2</v>
      </c>
    </row>
    <row r="220" spans="1:12" x14ac:dyDescent="0.2">
      <c r="A220" t="s">
        <v>137</v>
      </c>
      <c r="B220">
        <v>0.13600000000000001</v>
      </c>
      <c r="C220">
        <v>3.5200000000000002E-2</v>
      </c>
      <c r="D220">
        <v>141.0241</v>
      </c>
      <c r="E220">
        <v>14.1739</v>
      </c>
      <c r="F220">
        <v>141.0241</v>
      </c>
      <c r="G220">
        <v>14.1736</v>
      </c>
      <c r="H220">
        <v>1</v>
      </c>
      <c r="I220" t="s">
        <v>327</v>
      </c>
      <c r="J220" t="s">
        <v>328</v>
      </c>
      <c r="K220">
        <v>11734</v>
      </c>
      <c r="L220" s="4">
        <f>_xlfn.XLOOKUP(A220,[2]Int_NH!A:A,[2]Int_NH!B:B,"-",0)</f>
        <v>9.25459E-3</v>
      </c>
    </row>
    <row r="221" spans="1:12" x14ac:dyDescent="0.2">
      <c r="A221" t="s">
        <v>492</v>
      </c>
      <c r="B221">
        <v>0.48899999999999999</v>
      </c>
      <c r="C221">
        <v>3.5000000000000003E-2</v>
      </c>
      <c r="D221">
        <v>141.65309999999999</v>
      </c>
      <c r="E221">
        <v>12.7178</v>
      </c>
      <c r="F221">
        <v>141.65309999999999</v>
      </c>
      <c r="G221">
        <v>12.7178</v>
      </c>
      <c r="H221">
        <v>0</v>
      </c>
      <c r="I221" t="s">
        <v>327</v>
      </c>
      <c r="J221" t="s">
        <v>336</v>
      </c>
      <c r="K221" t="s">
        <v>493</v>
      </c>
      <c r="L221" s="4">
        <f>_xlfn.XLOOKUP(A221,[2]Int_NH!A:A,[2]Int_NH!B:B,"-",0)</f>
        <v>0</v>
      </c>
    </row>
    <row r="222" spans="1:12" x14ac:dyDescent="0.2">
      <c r="A222" t="s">
        <v>138</v>
      </c>
      <c r="B222">
        <v>2.7E-2</v>
      </c>
      <c r="C222">
        <v>1.47E-2</v>
      </c>
      <c r="D222">
        <v>143.35730000000001</v>
      </c>
      <c r="E222">
        <v>34.048099999999998</v>
      </c>
      <c r="F222">
        <v>143.357</v>
      </c>
      <c r="G222">
        <v>34.048099999999998</v>
      </c>
      <c r="H222">
        <v>1</v>
      </c>
      <c r="I222" t="s">
        <v>327</v>
      </c>
      <c r="J222" t="s">
        <v>328</v>
      </c>
      <c r="K222">
        <v>3227</v>
      </c>
      <c r="L222" s="4">
        <f>_xlfn.XLOOKUP(A222,[2]Int_NH!A:A,[2]Int_NH!B:B,"-",0)</f>
        <v>3.91045E-2</v>
      </c>
    </row>
    <row r="223" spans="1:12" x14ac:dyDescent="0.2">
      <c r="A223" t="s">
        <v>139</v>
      </c>
      <c r="B223">
        <v>0.36</v>
      </c>
      <c r="C223">
        <v>1.3599999999999999E-2</v>
      </c>
      <c r="D223">
        <v>144.5847</v>
      </c>
      <c r="E223">
        <v>52.048400000000001</v>
      </c>
      <c r="F223">
        <v>144.5847</v>
      </c>
      <c r="G223">
        <v>52.048200000000001</v>
      </c>
      <c r="H223">
        <v>1</v>
      </c>
      <c r="I223" t="s">
        <v>327</v>
      </c>
      <c r="J223" t="s">
        <v>328</v>
      </c>
      <c r="K223" t="s">
        <v>494</v>
      </c>
      <c r="L223" s="4">
        <f>_xlfn.XLOOKUP(A223,[2]Int_NH!A:A,[2]Int_NH!B:B,"-",0)</f>
        <v>3.0931400000000001E-2</v>
      </c>
    </row>
    <row r="224" spans="1:12" x14ac:dyDescent="0.2">
      <c r="A224" t="s">
        <v>495</v>
      </c>
      <c r="B224">
        <v>0.16600000000000001</v>
      </c>
      <c r="C224">
        <v>3.49E-2</v>
      </c>
      <c r="D224">
        <v>145.5609</v>
      </c>
      <c r="E224">
        <v>15.3818</v>
      </c>
      <c r="F224">
        <v>145.56120000000001</v>
      </c>
      <c r="G224">
        <v>15.380699999999999</v>
      </c>
      <c r="H224">
        <v>4.0999999999999996</v>
      </c>
      <c r="I224" t="s">
        <v>327</v>
      </c>
      <c r="J224" t="s">
        <v>336</v>
      </c>
      <c r="K224">
        <v>12250</v>
      </c>
      <c r="L224" s="4">
        <f>_xlfn.XLOOKUP(A224,[2]Int_NH!A:A,[2]Int_NH!B:B,"-",0)</f>
        <v>1.3055000000000001E-2</v>
      </c>
    </row>
    <row r="225" spans="1:12" x14ac:dyDescent="0.2">
      <c r="A225" t="s">
        <v>496</v>
      </c>
      <c r="B225">
        <v>0.153</v>
      </c>
      <c r="C225">
        <v>3.7600000000000001E-2</v>
      </c>
      <c r="D225">
        <v>146.35890000000001</v>
      </c>
      <c r="E225">
        <v>-8.6568000000000005</v>
      </c>
      <c r="F225">
        <v>146.35890000000001</v>
      </c>
      <c r="G225">
        <v>-8.6568000000000005</v>
      </c>
      <c r="H225">
        <v>0</v>
      </c>
      <c r="I225" t="s">
        <v>327</v>
      </c>
      <c r="J225" t="s">
        <v>328</v>
      </c>
      <c r="K225">
        <v>15109</v>
      </c>
      <c r="L225" s="4">
        <f>_xlfn.XLOOKUP(A225,[2]Int_NH!A:A,[2]Int_NH!B:B,"-",0)</f>
        <v>6.6824700000000001E-2</v>
      </c>
    </row>
    <row r="226" spans="1:12" x14ac:dyDescent="0.2">
      <c r="A226" t="s">
        <v>497</v>
      </c>
      <c r="B226">
        <v>0.35399999999999998</v>
      </c>
      <c r="C226">
        <v>2.2100000000000002E-2</v>
      </c>
      <c r="D226">
        <v>146.80279999999999</v>
      </c>
      <c r="E226">
        <v>76.387100000000004</v>
      </c>
      <c r="F226">
        <v>146.80289999999999</v>
      </c>
      <c r="G226">
        <v>76.387100000000004</v>
      </c>
      <c r="H226">
        <v>0.2</v>
      </c>
      <c r="I226" t="s">
        <v>327</v>
      </c>
      <c r="J226" t="s">
        <v>328</v>
      </c>
      <c r="K226" t="s">
        <v>498</v>
      </c>
      <c r="L226" s="4">
        <f>_xlfn.XLOOKUP(A226,[2]Int_NH!A:A,[2]Int_NH!B:B,"-",0)</f>
        <v>2.2609299999999999E-2</v>
      </c>
    </row>
    <row r="227" spans="1:12" x14ac:dyDescent="0.2">
      <c r="A227" t="s">
        <v>499</v>
      </c>
      <c r="B227">
        <v>0.38300000000000001</v>
      </c>
      <c r="C227">
        <v>3.1899999999999998E-2</v>
      </c>
      <c r="D227">
        <v>147.46520000000001</v>
      </c>
      <c r="E227">
        <v>17.1187</v>
      </c>
      <c r="F227">
        <v>147.4657</v>
      </c>
      <c r="G227">
        <v>17.1187</v>
      </c>
      <c r="H227">
        <v>2</v>
      </c>
      <c r="I227" t="s">
        <v>327</v>
      </c>
      <c r="J227" t="s">
        <v>336</v>
      </c>
      <c r="K227">
        <v>3274</v>
      </c>
      <c r="L227" s="4">
        <f>_xlfn.XLOOKUP(A227,[2]Int_NH!A:A,[2]Int_NH!B:B,"-",0)</f>
        <v>1.3050300000000001E-2</v>
      </c>
    </row>
    <row r="228" spans="1:12" x14ac:dyDescent="0.2">
      <c r="A228" t="s">
        <v>140</v>
      </c>
      <c r="B228">
        <v>0.214</v>
      </c>
      <c r="C228">
        <v>8.8000000000000005E-3</v>
      </c>
      <c r="D228">
        <v>148.2056</v>
      </c>
      <c r="E228">
        <v>51.8842</v>
      </c>
      <c r="F228">
        <v>148.20490000000001</v>
      </c>
      <c r="G228">
        <v>51.884799999999998</v>
      </c>
      <c r="H228">
        <v>2.5</v>
      </c>
      <c r="I228" t="s">
        <v>327</v>
      </c>
      <c r="J228" t="s">
        <v>328</v>
      </c>
      <c r="K228" t="s">
        <v>500</v>
      </c>
      <c r="L228" s="4">
        <f>_xlfn.XLOOKUP(A228,[2]Int_NH!A:A,[2]Int_NH!B:B,"-",0)</f>
        <v>1.33011E-2</v>
      </c>
    </row>
    <row r="229" spans="1:12" x14ac:dyDescent="0.2">
      <c r="A229" t="s">
        <v>141</v>
      </c>
      <c r="B229">
        <v>0.82799999999999996</v>
      </c>
      <c r="C229">
        <v>3.1800000000000002E-2</v>
      </c>
      <c r="D229">
        <v>148.57069999999999</v>
      </c>
      <c r="E229">
        <v>17.634899999999998</v>
      </c>
      <c r="F229">
        <v>148.571</v>
      </c>
      <c r="G229">
        <v>17.634599999999999</v>
      </c>
      <c r="H229">
        <v>1.4</v>
      </c>
      <c r="I229" t="s">
        <v>327</v>
      </c>
      <c r="J229" t="s">
        <v>336</v>
      </c>
      <c r="K229" t="s">
        <v>501</v>
      </c>
      <c r="L229" s="4">
        <f>_xlfn.XLOOKUP(A229,[2]Int_NH!A:A,[2]Int_NH!B:B,"-",0)</f>
        <v>1.89182E-2</v>
      </c>
    </row>
    <row r="230" spans="1:12" x14ac:dyDescent="0.2">
      <c r="A230" t="s">
        <v>142</v>
      </c>
      <c r="B230">
        <v>0.58699999999999997</v>
      </c>
      <c r="C230">
        <v>5.7999999999999996E-3</v>
      </c>
      <c r="D230">
        <v>149.01140000000001</v>
      </c>
      <c r="E230">
        <v>41.122599999999998</v>
      </c>
      <c r="F230">
        <v>149.01169999999999</v>
      </c>
      <c r="G230">
        <v>41.122399999999999</v>
      </c>
      <c r="H230">
        <v>1.4</v>
      </c>
      <c r="I230" t="s">
        <v>327</v>
      </c>
      <c r="J230" t="s">
        <v>336</v>
      </c>
      <c r="K230" t="s">
        <v>502</v>
      </c>
      <c r="L230" s="4">
        <f>_xlfn.XLOOKUP(A230,[2]Int_NH!A:A,[2]Int_NH!B:B,"-",0)</f>
        <v>0.112146</v>
      </c>
    </row>
    <row r="231" spans="1:12" x14ac:dyDescent="0.2">
      <c r="A231" t="s">
        <v>143</v>
      </c>
      <c r="B231">
        <v>0.153</v>
      </c>
      <c r="C231">
        <v>5.3100000000000001E-2</v>
      </c>
      <c r="D231">
        <v>149.5917</v>
      </c>
      <c r="E231">
        <v>-11.064</v>
      </c>
      <c r="F231">
        <v>149.59139999999999</v>
      </c>
      <c r="G231">
        <v>-11.0641</v>
      </c>
      <c r="H231">
        <v>1.1000000000000001</v>
      </c>
      <c r="I231" t="s">
        <v>327</v>
      </c>
      <c r="J231" t="s">
        <v>328</v>
      </c>
      <c r="K231" t="s">
        <v>503</v>
      </c>
      <c r="L231" s="4">
        <f>_xlfn.XLOOKUP(A231,[2]Int_NH!A:A,[2]Int_NH!B:B,"-",0)</f>
        <v>2.7169499999999999E-2</v>
      </c>
    </row>
    <row r="232" spans="1:12" x14ac:dyDescent="0.2">
      <c r="A232" t="s">
        <v>144</v>
      </c>
      <c r="B232">
        <v>0.24</v>
      </c>
      <c r="C232">
        <v>5.8999999999999997E-2</v>
      </c>
      <c r="D232">
        <v>150.0067</v>
      </c>
      <c r="E232">
        <v>-30.277200000000001</v>
      </c>
      <c r="F232">
        <v>150.0067</v>
      </c>
      <c r="G232">
        <v>-30.277000000000001</v>
      </c>
      <c r="H232">
        <v>1</v>
      </c>
      <c r="I232" t="s">
        <v>327</v>
      </c>
      <c r="J232" t="s">
        <v>328</v>
      </c>
      <c r="K232">
        <v>15132</v>
      </c>
      <c r="L232" s="4">
        <f>_xlfn.XLOOKUP(A232,[2]Int_NH!A:A,[2]Int_NH!B:B,"-",0)</f>
        <v>1.53294E-2</v>
      </c>
    </row>
    <row r="233" spans="1:12" x14ac:dyDescent="0.2">
      <c r="A233" t="s">
        <v>504</v>
      </c>
      <c r="B233">
        <v>1.3299999999999999E-2</v>
      </c>
      <c r="C233">
        <v>4.7899999999999998E-2</v>
      </c>
      <c r="D233">
        <v>150.05930000000001</v>
      </c>
      <c r="E233">
        <v>-19.636299999999999</v>
      </c>
      <c r="F233">
        <v>150.05930000000001</v>
      </c>
      <c r="G233">
        <v>-19.636299999999999</v>
      </c>
      <c r="H233">
        <v>0.1</v>
      </c>
      <c r="I233" t="s">
        <v>327</v>
      </c>
      <c r="J233" t="s">
        <v>328</v>
      </c>
      <c r="K233">
        <v>3215</v>
      </c>
      <c r="L233" s="4">
        <f>_xlfn.XLOOKUP(A233,[2]Int_NH!A:A,[2]Int_NH!B:B,"-",0)</f>
        <v>0.13622500000000001</v>
      </c>
    </row>
    <row r="234" spans="1:12" x14ac:dyDescent="0.2">
      <c r="A234" t="s">
        <v>145</v>
      </c>
      <c r="B234">
        <v>0.154</v>
      </c>
      <c r="C234">
        <v>1.0800000000000001E-2</v>
      </c>
      <c r="D234">
        <v>150.13069999999999</v>
      </c>
      <c r="E234">
        <v>44.145800000000001</v>
      </c>
      <c r="F234">
        <v>150.13339999999999</v>
      </c>
      <c r="G234">
        <v>44.144399999999997</v>
      </c>
      <c r="H234">
        <v>8.8000000000000007</v>
      </c>
      <c r="I234" t="s">
        <v>331</v>
      </c>
      <c r="J234" t="s">
        <v>328</v>
      </c>
      <c r="K234">
        <v>9421</v>
      </c>
      <c r="L234" s="4">
        <f>_xlfn.XLOOKUP(A234,[2]Int_NH!A:A,[2]Int_NH!B:B,"-",0)</f>
        <v>2.03582E-2</v>
      </c>
    </row>
    <row r="235" spans="1:12" x14ac:dyDescent="0.2">
      <c r="A235" t="s">
        <v>146</v>
      </c>
      <c r="B235">
        <v>0.35899999999999999</v>
      </c>
      <c r="C235">
        <v>1.72E-2</v>
      </c>
      <c r="D235">
        <v>151.72800000000001</v>
      </c>
      <c r="E235">
        <v>32.028599999999997</v>
      </c>
      <c r="F235">
        <v>151.7277</v>
      </c>
      <c r="G235">
        <v>32.027700000000003</v>
      </c>
      <c r="H235">
        <v>3.1</v>
      </c>
      <c r="I235" t="s">
        <v>327</v>
      </c>
      <c r="J235" t="s">
        <v>336</v>
      </c>
      <c r="K235">
        <v>5819</v>
      </c>
      <c r="L235" s="4">
        <f>_xlfn.XLOOKUP(A235,[2]Int_NH!A:A,[2]Int_NH!B:B,"-",0)</f>
        <v>5.2053500000000003E-2</v>
      </c>
    </row>
    <row r="236" spans="1:12" x14ac:dyDescent="0.2">
      <c r="A236" t="s">
        <v>147</v>
      </c>
      <c r="B236">
        <v>0.221</v>
      </c>
      <c r="C236">
        <v>3.6900000000000002E-2</v>
      </c>
      <c r="D236">
        <v>152.19810000000001</v>
      </c>
      <c r="E236">
        <v>11.790800000000001</v>
      </c>
      <c r="F236">
        <v>152.1978</v>
      </c>
      <c r="G236">
        <v>11.7934</v>
      </c>
      <c r="H236">
        <v>9.4</v>
      </c>
      <c r="I236" t="s">
        <v>331</v>
      </c>
      <c r="J236" t="s">
        <v>328</v>
      </c>
      <c r="K236" t="s">
        <v>505</v>
      </c>
      <c r="L236" s="4">
        <f>_xlfn.XLOOKUP(A236,[2]Int_NH!A:A,[2]Int_NH!B:B,"-",0)</f>
        <v>3.1119899999999999E-2</v>
      </c>
    </row>
    <row r="237" spans="1:12" x14ac:dyDescent="0.2">
      <c r="A237" t="s">
        <v>148</v>
      </c>
      <c r="B237">
        <v>0.30099999999999999</v>
      </c>
      <c r="C237">
        <v>6.7599999999999993E-2</v>
      </c>
      <c r="D237">
        <v>152.63550000000001</v>
      </c>
      <c r="E237">
        <v>-12.6633</v>
      </c>
      <c r="F237">
        <v>152.63460000000001</v>
      </c>
      <c r="G237">
        <v>-12.665800000000001</v>
      </c>
      <c r="H237">
        <v>9.3000000000000007</v>
      </c>
      <c r="I237" t="s">
        <v>331</v>
      </c>
      <c r="J237" t="s">
        <v>328</v>
      </c>
      <c r="K237">
        <v>926</v>
      </c>
      <c r="L237" s="4">
        <f>_xlfn.XLOOKUP(A237,[2]Int_NH!A:A,[2]Int_NH!B:B,"-",0)</f>
        <v>0</v>
      </c>
    </row>
    <row r="238" spans="1:12" x14ac:dyDescent="0.2">
      <c r="A238" t="s">
        <v>149</v>
      </c>
      <c r="B238">
        <v>0.20599999999999999</v>
      </c>
      <c r="C238">
        <v>1.4E-2</v>
      </c>
      <c r="D238">
        <v>154.26519999999999</v>
      </c>
      <c r="E238">
        <v>39.0471</v>
      </c>
      <c r="F238">
        <v>154.26560000000001</v>
      </c>
      <c r="G238">
        <v>39.046999999999997</v>
      </c>
      <c r="H238">
        <v>1.2</v>
      </c>
      <c r="I238" t="s">
        <v>327</v>
      </c>
      <c r="J238" t="s">
        <v>328</v>
      </c>
      <c r="K238">
        <v>903</v>
      </c>
      <c r="L238" s="4">
        <f>_xlfn.XLOOKUP(A238,[2]Int_NH!A:A,[2]Int_NH!B:B,"-",0)</f>
        <v>8.7790999999999998E-3</v>
      </c>
    </row>
    <row r="239" spans="1:12" x14ac:dyDescent="0.2">
      <c r="A239" t="s">
        <v>506</v>
      </c>
      <c r="B239">
        <v>5.8999999999999997E-2</v>
      </c>
      <c r="C239">
        <v>5.3199999999999997E-2</v>
      </c>
      <c r="D239">
        <v>154.34809999999999</v>
      </c>
      <c r="E239">
        <v>-10.6851</v>
      </c>
      <c r="F239">
        <v>154.3476</v>
      </c>
      <c r="G239">
        <v>-10.6859</v>
      </c>
      <c r="H239">
        <v>3.6</v>
      </c>
      <c r="I239" t="s">
        <v>327</v>
      </c>
      <c r="J239" t="s">
        <v>328</v>
      </c>
      <c r="K239">
        <v>12285</v>
      </c>
      <c r="L239" s="4">
        <f>_xlfn.XLOOKUP(A239,[2]Int_NH!A:A,[2]Int_NH!B:B,"-",0)</f>
        <v>9.8226900000000002E-3</v>
      </c>
    </row>
    <row r="240" spans="1:12" x14ac:dyDescent="0.2">
      <c r="A240" t="s">
        <v>507</v>
      </c>
      <c r="B240">
        <v>4.9000000000000002E-2</v>
      </c>
      <c r="C240">
        <v>1.41E-2</v>
      </c>
      <c r="D240">
        <v>155.54159999999999</v>
      </c>
      <c r="E240">
        <v>38.523000000000003</v>
      </c>
      <c r="F240">
        <v>155.54179999999999</v>
      </c>
      <c r="G240">
        <v>38.523200000000003</v>
      </c>
      <c r="H240">
        <v>0.9</v>
      </c>
      <c r="I240" t="s">
        <v>327</v>
      </c>
      <c r="J240" t="s">
        <v>328</v>
      </c>
      <c r="K240">
        <v>6942</v>
      </c>
      <c r="L240" s="4">
        <f>_xlfn.XLOOKUP(A240,[2]Int_NH!A:A,[2]Int_NH!B:B,"-",0)</f>
        <v>1.2800300000000001E-2</v>
      </c>
    </row>
    <row r="241" spans="1:12" x14ac:dyDescent="0.2">
      <c r="A241" t="s">
        <v>508</v>
      </c>
      <c r="B241">
        <v>0.158</v>
      </c>
      <c r="C241">
        <v>1.09E-2</v>
      </c>
      <c r="D241">
        <v>155.6182</v>
      </c>
      <c r="E241">
        <v>50.106099999999998</v>
      </c>
      <c r="F241">
        <v>155.6182</v>
      </c>
      <c r="G241">
        <v>50.106099999999998</v>
      </c>
      <c r="H241">
        <v>0</v>
      </c>
      <c r="I241" t="s">
        <v>327</v>
      </c>
      <c r="J241" t="s">
        <v>328</v>
      </c>
      <c r="K241">
        <v>15105</v>
      </c>
      <c r="L241" s="4">
        <f>_xlfn.XLOOKUP(A241,[2]Int_NH!A:A,[2]Int_NH!B:B,"-",0)</f>
        <v>1.55411E-2</v>
      </c>
    </row>
    <row r="242" spans="1:12" x14ac:dyDescent="0.2">
      <c r="A242" t="s">
        <v>509</v>
      </c>
      <c r="B242">
        <v>0.29099999999999998</v>
      </c>
      <c r="C242">
        <v>2.9399999999999999E-2</v>
      </c>
      <c r="D242">
        <v>155.91540000000001</v>
      </c>
      <c r="E242">
        <v>4.1863000000000001</v>
      </c>
      <c r="F242">
        <v>155.91560000000001</v>
      </c>
      <c r="G242">
        <v>4.1856</v>
      </c>
      <c r="H242">
        <v>2.8</v>
      </c>
      <c r="I242" t="s">
        <v>327</v>
      </c>
      <c r="J242" t="s">
        <v>328</v>
      </c>
      <c r="K242" t="s">
        <v>510</v>
      </c>
      <c r="L242" s="4">
        <f>_xlfn.XLOOKUP(A242,[2]Int_NH!A:A,[2]Int_NH!B:B,"-",0)</f>
        <v>4.0327100000000001E-3</v>
      </c>
    </row>
    <row r="243" spans="1:12" x14ac:dyDescent="0.2">
      <c r="A243" t="s">
        <v>511</v>
      </c>
      <c r="B243">
        <v>0.14399999999999999</v>
      </c>
      <c r="C243">
        <v>1.0800000000000001E-2</v>
      </c>
      <c r="D243">
        <v>155.9162</v>
      </c>
      <c r="E243">
        <v>49.144500000000001</v>
      </c>
      <c r="F243">
        <v>155.9162</v>
      </c>
      <c r="G243">
        <v>49.144500000000001</v>
      </c>
      <c r="H243">
        <v>0</v>
      </c>
      <c r="I243" t="s">
        <v>327</v>
      </c>
      <c r="J243" t="s">
        <v>328</v>
      </c>
      <c r="K243">
        <v>15114</v>
      </c>
      <c r="L243" s="4">
        <f>_xlfn.XLOOKUP(A243,[2]Int_NH!A:A,[2]Int_NH!B:B,"-",0)</f>
        <v>6.1193299999999999E-2</v>
      </c>
    </row>
    <row r="244" spans="1:12" x14ac:dyDescent="0.2">
      <c r="A244" t="s">
        <v>150</v>
      </c>
      <c r="B244">
        <v>0.253</v>
      </c>
      <c r="C244">
        <v>5.4600000000000003E-2</v>
      </c>
      <c r="D244">
        <v>155.95920000000001</v>
      </c>
      <c r="E244">
        <v>-27.256399999999999</v>
      </c>
      <c r="F244">
        <v>155.95920000000001</v>
      </c>
      <c r="G244">
        <v>-27.256599999999999</v>
      </c>
      <c r="H244">
        <v>0.8</v>
      </c>
      <c r="I244" t="s">
        <v>327</v>
      </c>
      <c r="J244" t="s">
        <v>328</v>
      </c>
      <c r="K244">
        <v>9400</v>
      </c>
      <c r="L244" s="4">
        <f>_xlfn.XLOOKUP(A244,[2]Int_NH!A:A,[2]Int_NH!B:B,"-",0)</f>
        <v>0</v>
      </c>
    </row>
    <row r="245" spans="1:12" x14ac:dyDescent="0.2">
      <c r="A245" t="s">
        <v>512</v>
      </c>
      <c r="B245">
        <v>0.58399999999999996</v>
      </c>
      <c r="C245">
        <v>1.7899999999999999E-2</v>
      </c>
      <c r="D245">
        <v>157.30070000000001</v>
      </c>
      <c r="E245">
        <v>26.3931</v>
      </c>
      <c r="F245">
        <v>157.30070000000001</v>
      </c>
      <c r="G245">
        <v>26.3931</v>
      </c>
      <c r="H245">
        <v>0</v>
      </c>
      <c r="I245" t="s">
        <v>327</v>
      </c>
      <c r="J245" t="s">
        <v>336</v>
      </c>
      <c r="K245">
        <v>11755</v>
      </c>
      <c r="L245" s="4">
        <f>_xlfn.XLOOKUP(A245,[2]Int_NH!A:A,[2]Int_NH!B:B,"-",0)</f>
        <v>1.6656899999999999E-2</v>
      </c>
    </row>
    <row r="246" spans="1:12" x14ac:dyDescent="0.2">
      <c r="A246" t="s">
        <v>151</v>
      </c>
      <c r="B246">
        <v>0.126</v>
      </c>
      <c r="C246">
        <v>1.83E-2</v>
      </c>
      <c r="D246">
        <v>157.93629999999999</v>
      </c>
      <c r="E246">
        <v>35.040700000000001</v>
      </c>
      <c r="F246">
        <v>157.9367</v>
      </c>
      <c r="G246">
        <v>35.0396</v>
      </c>
      <c r="H246">
        <v>4.0999999999999996</v>
      </c>
      <c r="I246" t="s">
        <v>327</v>
      </c>
      <c r="J246" t="s">
        <v>328</v>
      </c>
      <c r="K246" t="s">
        <v>513</v>
      </c>
      <c r="L246" s="4">
        <f>_xlfn.XLOOKUP(A246,[2]Int_NH!A:A,[2]Int_NH!B:B,"-",0)</f>
        <v>2.9270000000000001E-2</v>
      </c>
    </row>
    <row r="247" spans="1:12" x14ac:dyDescent="0.2">
      <c r="A247" t="s">
        <v>514</v>
      </c>
      <c r="B247">
        <v>1.26E-2</v>
      </c>
      <c r="C247">
        <v>4.9399999999999999E-2</v>
      </c>
      <c r="D247">
        <v>159.1782</v>
      </c>
      <c r="E247">
        <v>-27.526900000000001</v>
      </c>
      <c r="F247">
        <v>159.17850000000001</v>
      </c>
      <c r="G247">
        <v>-27.528400000000001</v>
      </c>
      <c r="H247">
        <v>5.2</v>
      </c>
      <c r="I247" t="s">
        <v>331</v>
      </c>
      <c r="J247" t="s">
        <v>328</v>
      </c>
      <c r="K247">
        <v>2220</v>
      </c>
      <c r="L247" s="4">
        <f>_xlfn.XLOOKUP(A247,[2]Int_NH!A:A,[2]Int_NH!B:B,"-",0)</f>
        <v>2.72073E-2</v>
      </c>
    </row>
    <row r="248" spans="1:12" x14ac:dyDescent="0.2">
      <c r="A248" t="s">
        <v>152</v>
      </c>
      <c r="B248">
        <v>0.42599999999999999</v>
      </c>
      <c r="C248">
        <v>1.29E-2</v>
      </c>
      <c r="D248">
        <v>159.67859999999999</v>
      </c>
      <c r="E248">
        <v>48.822400000000002</v>
      </c>
      <c r="F248">
        <v>159.6799</v>
      </c>
      <c r="G248">
        <v>48.821800000000003</v>
      </c>
      <c r="H248">
        <v>3.5</v>
      </c>
      <c r="I248" t="s">
        <v>327</v>
      </c>
      <c r="J248" t="s">
        <v>336</v>
      </c>
      <c r="K248" t="s">
        <v>515</v>
      </c>
      <c r="L248" s="4">
        <f>_xlfn.XLOOKUP(A248,[2]Int_NH!A:A,[2]Int_NH!B:B,"-",0)</f>
        <v>0</v>
      </c>
    </row>
    <row r="249" spans="1:12" x14ac:dyDescent="0.2">
      <c r="A249" t="s">
        <v>516</v>
      </c>
      <c r="B249">
        <v>7.1999999999999995E-2</v>
      </c>
      <c r="C249">
        <v>3.1E-2</v>
      </c>
      <c r="D249">
        <v>159.91149999999999</v>
      </c>
      <c r="E249">
        <v>5.1757</v>
      </c>
      <c r="F249">
        <v>159.77869999999999</v>
      </c>
      <c r="G249">
        <v>5.2091000000000003</v>
      </c>
      <c r="H249">
        <v>491.2</v>
      </c>
      <c r="I249" t="s">
        <v>331</v>
      </c>
      <c r="J249" t="s">
        <v>336</v>
      </c>
      <c r="K249">
        <v>15117</v>
      </c>
      <c r="L249" s="4">
        <f>_xlfn.XLOOKUP(A249,[2]Int_NH!A:A,[2]Int_NH!B:B,"-",0)</f>
        <v>8.9999200000000001E-2</v>
      </c>
    </row>
    <row r="250" spans="1:12" x14ac:dyDescent="0.2">
      <c r="A250" t="s">
        <v>153</v>
      </c>
      <c r="B250">
        <v>0.13800000000000001</v>
      </c>
      <c r="C250">
        <v>1.2200000000000001E-2</v>
      </c>
      <c r="D250">
        <v>160.18549999999999</v>
      </c>
      <c r="E250">
        <v>39.953400000000002</v>
      </c>
      <c r="F250">
        <v>160.18549999999999</v>
      </c>
      <c r="G250">
        <v>39.9529</v>
      </c>
      <c r="H250">
        <v>1.9</v>
      </c>
      <c r="I250" t="s">
        <v>327</v>
      </c>
      <c r="J250" t="s">
        <v>328</v>
      </c>
      <c r="K250">
        <v>1652</v>
      </c>
      <c r="L250" s="4">
        <f>_xlfn.XLOOKUP(A250,[2]Int_NH!A:A,[2]Int_NH!B:B,"-",0)</f>
        <v>1.8072600000000001E-2</v>
      </c>
    </row>
    <row r="251" spans="1:12" x14ac:dyDescent="0.2">
      <c r="A251" t="s">
        <v>517</v>
      </c>
      <c r="B251">
        <v>1.4999999999999999E-2</v>
      </c>
      <c r="C251">
        <v>4.4600000000000001E-2</v>
      </c>
      <c r="D251">
        <v>162.6086</v>
      </c>
      <c r="E251">
        <v>-12.845000000000001</v>
      </c>
      <c r="F251">
        <v>162.60890000000001</v>
      </c>
      <c r="G251">
        <v>-12.844900000000001</v>
      </c>
      <c r="H251">
        <v>0.8</v>
      </c>
      <c r="I251" t="s">
        <v>327</v>
      </c>
      <c r="J251" t="s">
        <v>328</v>
      </c>
      <c r="K251">
        <v>3243</v>
      </c>
      <c r="L251" s="4">
        <f>_xlfn.XLOOKUP(A251,[2]Int_NH!A:A,[2]Int_NH!B:B,"-",0)</f>
        <v>0.108515</v>
      </c>
    </row>
    <row r="252" spans="1:12" x14ac:dyDescent="0.2">
      <c r="A252" t="s">
        <v>518</v>
      </c>
      <c r="B252">
        <v>7.0000000000000007E-2</v>
      </c>
      <c r="C252">
        <v>8.6E-3</v>
      </c>
      <c r="D252">
        <v>163.38419999999999</v>
      </c>
      <c r="E252">
        <v>54.875399999999999</v>
      </c>
      <c r="F252">
        <v>163.3837</v>
      </c>
      <c r="G252">
        <v>54.879199999999997</v>
      </c>
      <c r="H252">
        <v>13.8</v>
      </c>
      <c r="I252" t="s">
        <v>331</v>
      </c>
      <c r="J252" t="s">
        <v>328</v>
      </c>
      <c r="K252">
        <v>15322</v>
      </c>
      <c r="L252" s="4">
        <f>_xlfn.XLOOKUP(A252,[2]Int_NH!A:A,[2]Int_NH!B:B,"-",0)</f>
        <v>6.9241800000000006E-2</v>
      </c>
    </row>
    <row r="253" spans="1:12" x14ac:dyDescent="0.2">
      <c r="A253" t="s">
        <v>154</v>
      </c>
      <c r="B253">
        <v>0.82299999999999995</v>
      </c>
      <c r="C253">
        <v>3.6600000000000001E-2</v>
      </c>
      <c r="D253">
        <v>164.23269999999999</v>
      </c>
      <c r="E253">
        <v>-3.6272000000000002</v>
      </c>
      <c r="F253">
        <v>164.233</v>
      </c>
      <c r="G253">
        <v>-3.6276999999999999</v>
      </c>
      <c r="H253">
        <v>2.2000000000000002</v>
      </c>
      <c r="I253" t="s">
        <v>327</v>
      </c>
      <c r="J253" t="s">
        <v>328</v>
      </c>
      <c r="K253">
        <v>512</v>
      </c>
      <c r="L253" s="4">
        <f>_xlfn.XLOOKUP(A253,[2]Int_NH!A:A,[2]Int_NH!B:B,"-",0)</f>
        <v>1.0518400000000001E-2</v>
      </c>
    </row>
    <row r="254" spans="1:12" x14ac:dyDescent="0.2">
      <c r="A254" t="s">
        <v>519</v>
      </c>
      <c r="B254">
        <v>3.5000000000000003E-2</v>
      </c>
      <c r="C254">
        <v>2.5000000000000001E-2</v>
      </c>
      <c r="D254">
        <v>165.1936</v>
      </c>
      <c r="E254">
        <v>10.547800000000001</v>
      </c>
      <c r="F254">
        <v>165.19200000000001</v>
      </c>
      <c r="G254">
        <v>10.5489</v>
      </c>
      <c r="H254">
        <v>7.1</v>
      </c>
      <c r="I254" t="s">
        <v>331</v>
      </c>
      <c r="J254" t="s">
        <v>336</v>
      </c>
      <c r="K254">
        <v>6938</v>
      </c>
      <c r="L254" s="4">
        <f>_xlfn.XLOOKUP(A254,[2]Int_NH!A:A,[2]Int_NH!B:B,"-",0)</f>
        <v>3.3789699999999999E-2</v>
      </c>
    </row>
    <row r="255" spans="1:12" x14ac:dyDescent="0.2">
      <c r="A255" t="s">
        <v>155</v>
      </c>
      <c r="B255">
        <v>0.46600000000000003</v>
      </c>
      <c r="C255">
        <v>4.2000000000000003E-2</v>
      </c>
      <c r="D255">
        <v>166.4435</v>
      </c>
      <c r="E255">
        <v>-10.2438</v>
      </c>
      <c r="F255">
        <v>166.44380000000001</v>
      </c>
      <c r="G255">
        <v>-10.2438</v>
      </c>
      <c r="H255">
        <v>1</v>
      </c>
      <c r="I255" t="s">
        <v>327</v>
      </c>
      <c r="J255" t="s">
        <v>336</v>
      </c>
      <c r="K255">
        <v>5817</v>
      </c>
      <c r="L255" s="4">
        <f>_xlfn.XLOOKUP(A255,[2]Int_NH!A:A,[2]Int_NH!B:B,"-",0)</f>
        <v>3.3457199999999999E-2</v>
      </c>
    </row>
    <row r="256" spans="1:12" x14ac:dyDescent="0.2">
      <c r="A256" t="s">
        <v>156</v>
      </c>
      <c r="B256">
        <v>0.44900000000000001</v>
      </c>
      <c r="C256">
        <v>2.7400000000000001E-2</v>
      </c>
      <c r="D256">
        <v>167.2304</v>
      </c>
      <c r="E256">
        <v>9.0989000000000004</v>
      </c>
      <c r="F256">
        <v>167.2304</v>
      </c>
      <c r="G256">
        <v>9.0991</v>
      </c>
      <c r="H256">
        <v>1</v>
      </c>
      <c r="I256" t="s">
        <v>327</v>
      </c>
      <c r="J256" t="s">
        <v>328</v>
      </c>
      <c r="K256" t="s">
        <v>520</v>
      </c>
      <c r="L256" s="4">
        <f>_xlfn.XLOOKUP(A256,[2]Int_NH!A:A,[2]Int_NH!B:B,"-",0)</f>
        <v>2.3570000000000001E-2</v>
      </c>
    </row>
    <row r="257" spans="1:12" x14ac:dyDescent="0.2">
      <c r="A257" t="s">
        <v>157</v>
      </c>
      <c r="B257">
        <v>3.2000000000000001E-2</v>
      </c>
      <c r="C257">
        <v>1.4E-2</v>
      </c>
      <c r="D257">
        <v>167.43520000000001</v>
      </c>
      <c r="E257">
        <v>21.7591</v>
      </c>
      <c r="F257">
        <v>167.43430000000001</v>
      </c>
      <c r="G257">
        <v>21.759399999999999</v>
      </c>
      <c r="H257">
        <v>3.1</v>
      </c>
      <c r="I257" t="s">
        <v>327</v>
      </c>
      <c r="J257" t="s">
        <v>328</v>
      </c>
      <c r="K257">
        <v>6940</v>
      </c>
      <c r="L257" s="4">
        <f>_xlfn.XLOOKUP(A257,[2]Int_NH!A:A,[2]Int_NH!B:B,"-",0)</f>
        <v>2.06847E-2</v>
      </c>
    </row>
    <row r="258" spans="1:12" x14ac:dyDescent="0.2">
      <c r="A258" t="s">
        <v>521</v>
      </c>
      <c r="B258">
        <v>2.1999999999999999E-2</v>
      </c>
      <c r="C258">
        <v>1.72E-2</v>
      </c>
      <c r="D258">
        <v>167.66900000000001</v>
      </c>
      <c r="E258">
        <v>28.713799999999999</v>
      </c>
      <c r="F258">
        <v>167.66900000000001</v>
      </c>
      <c r="G258">
        <v>28.713799999999999</v>
      </c>
      <c r="H258">
        <v>0.1</v>
      </c>
      <c r="I258" t="s">
        <v>327</v>
      </c>
      <c r="J258" t="s">
        <v>328</v>
      </c>
      <c r="K258">
        <v>6937</v>
      </c>
      <c r="L258" s="4">
        <f>_xlfn.XLOOKUP(A258,[2]Int_NH!A:A,[2]Int_NH!B:B,"-",0)</f>
        <v>9.3389700000000003E-3</v>
      </c>
    </row>
    <row r="259" spans="1:12" x14ac:dyDescent="0.2">
      <c r="A259" t="s">
        <v>522</v>
      </c>
      <c r="B259">
        <v>7.4999999999999997E-2</v>
      </c>
      <c r="C259">
        <v>1.7000000000000001E-2</v>
      </c>
      <c r="D259">
        <v>167.91589999999999</v>
      </c>
      <c r="E259">
        <v>40.840200000000003</v>
      </c>
      <c r="F259">
        <v>167.91589999999999</v>
      </c>
      <c r="G259">
        <v>40.840200000000003</v>
      </c>
      <c r="H259">
        <v>0</v>
      </c>
      <c r="I259" t="s">
        <v>327</v>
      </c>
      <c r="J259" t="s">
        <v>328</v>
      </c>
      <c r="K259">
        <v>15106</v>
      </c>
      <c r="L259" s="4">
        <f>_xlfn.XLOOKUP(A259,[2]Int_NH!A:A,[2]Int_NH!B:B,"-",0)</f>
        <v>7.4978100000000006E-2</v>
      </c>
    </row>
    <row r="260" spans="1:12" x14ac:dyDescent="0.2">
      <c r="A260" t="s">
        <v>158</v>
      </c>
      <c r="B260">
        <v>0.16900000000000001</v>
      </c>
      <c r="C260">
        <v>1.6500000000000001E-2</v>
      </c>
      <c r="D260">
        <v>168.2278</v>
      </c>
      <c r="E260">
        <v>13.4339</v>
      </c>
      <c r="F260">
        <v>168.227</v>
      </c>
      <c r="G260">
        <v>13.4358</v>
      </c>
      <c r="H260">
        <v>7.1</v>
      </c>
      <c r="I260" t="s">
        <v>331</v>
      </c>
      <c r="J260" t="s">
        <v>328</v>
      </c>
      <c r="K260" t="s">
        <v>523</v>
      </c>
      <c r="L260" s="4">
        <f>_xlfn.XLOOKUP(A260,[2]Int_NH!A:A,[2]Int_NH!B:B,"-",0)</f>
        <v>1.2501999999999999E-2</v>
      </c>
    </row>
    <row r="261" spans="1:12" x14ac:dyDescent="0.2">
      <c r="A261" t="s">
        <v>159</v>
      </c>
      <c r="B261">
        <v>0.72499999999999998</v>
      </c>
      <c r="C261">
        <v>5.5199999999999999E-2</v>
      </c>
      <c r="D261">
        <v>168.27170000000001</v>
      </c>
      <c r="E261">
        <v>-26.260999999999999</v>
      </c>
      <c r="F261">
        <v>168.27170000000001</v>
      </c>
      <c r="G261">
        <v>-26.260999999999999</v>
      </c>
      <c r="H261">
        <v>0</v>
      </c>
      <c r="I261" t="s">
        <v>327</v>
      </c>
      <c r="J261" t="s">
        <v>336</v>
      </c>
      <c r="K261">
        <v>915</v>
      </c>
      <c r="L261" s="4">
        <f>_xlfn.XLOOKUP(A261,[2]Int_NH!A:A,[2]Int_NH!B:B,"-",0)</f>
        <v>0</v>
      </c>
    </row>
    <row r="262" spans="1:12" x14ac:dyDescent="0.2">
      <c r="A262" t="s">
        <v>160</v>
      </c>
      <c r="B262">
        <v>0.17100000000000001</v>
      </c>
      <c r="C262">
        <v>1.38E-2</v>
      </c>
      <c r="D262">
        <v>168.33510000000001</v>
      </c>
      <c r="E262">
        <v>17.5944</v>
      </c>
      <c r="F262">
        <v>168.33510000000001</v>
      </c>
      <c r="G262">
        <v>17.594000000000001</v>
      </c>
      <c r="H262">
        <v>1.6</v>
      </c>
      <c r="I262" t="s">
        <v>327</v>
      </c>
      <c r="J262" t="s">
        <v>328</v>
      </c>
      <c r="K262">
        <v>2205</v>
      </c>
      <c r="L262" s="4">
        <f>_xlfn.XLOOKUP(A262,[2]Int_NH!A:A,[2]Int_NH!B:B,"-",0)</f>
        <v>1.6890100000000002E-2</v>
      </c>
    </row>
    <row r="263" spans="1:12" x14ac:dyDescent="0.2">
      <c r="A263" t="s">
        <v>161</v>
      </c>
      <c r="B263">
        <v>0.46600000000000003</v>
      </c>
      <c r="C263">
        <v>9.2999999999999992E-3</v>
      </c>
      <c r="D263">
        <v>168.8116</v>
      </c>
      <c r="E263">
        <v>53.333300000000001</v>
      </c>
      <c r="F263">
        <v>168.8151</v>
      </c>
      <c r="G263">
        <v>53.334299999999999</v>
      </c>
      <c r="H263">
        <v>8.1999999999999993</v>
      </c>
      <c r="I263" t="s">
        <v>331</v>
      </c>
      <c r="J263" t="s">
        <v>328</v>
      </c>
      <c r="K263">
        <v>5008</v>
      </c>
      <c r="L263" s="4">
        <f>_xlfn.XLOOKUP(A263,[2]Int_NH!A:A,[2]Int_NH!B:B,"-",0)</f>
        <v>4.0225499999999997E-2</v>
      </c>
    </row>
    <row r="264" spans="1:12" x14ac:dyDescent="0.2">
      <c r="A264" t="s">
        <v>162</v>
      </c>
      <c r="B264">
        <v>0.35199999999999998</v>
      </c>
      <c r="C264">
        <v>4.3799999999999999E-2</v>
      </c>
      <c r="D264">
        <v>168.96610000000001</v>
      </c>
      <c r="E264">
        <v>1.4990000000000001</v>
      </c>
      <c r="F264">
        <v>168.96690000000001</v>
      </c>
      <c r="G264">
        <v>1.4990000000000001</v>
      </c>
      <c r="H264">
        <v>2.7</v>
      </c>
      <c r="I264" t="s">
        <v>327</v>
      </c>
      <c r="J264" t="s">
        <v>328</v>
      </c>
      <c r="K264" t="s">
        <v>524</v>
      </c>
      <c r="L264" s="4">
        <f>_xlfn.XLOOKUP(A264,[2]Int_NH!A:A,[2]Int_NH!B:B,"-",0)</f>
        <v>1.32418E-2</v>
      </c>
    </row>
    <row r="265" spans="1:12" x14ac:dyDescent="0.2">
      <c r="A265" t="s">
        <v>525</v>
      </c>
      <c r="B265">
        <v>0.6</v>
      </c>
      <c r="C265">
        <v>2.0500000000000001E-2</v>
      </c>
      <c r="D265">
        <v>170.02959999999999</v>
      </c>
      <c r="E265">
        <v>43.302199999999999</v>
      </c>
      <c r="F265">
        <v>170.02959999999999</v>
      </c>
      <c r="G265">
        <v>43.302199999999999</v>
      </c>
      <c r="H265">
        <v>0</v>
      </c>
      <c r="I265" t="s">
        <v>327</v>
      </c>
      <c r="J265" t="s">
        <v>336</v>
      </c>
      <c r="K265">
        <v>5771</v>
      </c>
      <c r="L265" s="4">
        <f>_xlfn.XLOOKUP(A265,[2]Int_NH!A:A,[2]Int_NH!B:B,"-",0)</f>
        <v>8.2444199999999995E-2</v>
      </c>
    </row>
    <row r="266" spans="1:12" x14ac:dyDescent="0.2">
      <c r="A266" t="s">
        <v>163</v>
      </c>
      <c r="B266">
        <v>0.56200000000000006</v>
      </c>
      <c r="C266">
        <v>1.2999999999999999E-2</v>
      </c>
      <c r="D266">
        <v>170.2379</v>
      </c>
      <c r="E266">
        <v>23.4419</v>
      </c>
      <c r="F266">
        <v>170.2379</v>
      </c>
      <c r="G266">
        <v>23.443000000000001</v>
      </c>
      <c r="H266">
        <v>3.9</v>
      </c>
      <c r="I266" t="s">
        <v>327</v>
      </c>
      <c r="J266" t="s">
        <v>336</v>
      </c>
      <c r="K266">
        <v>1660</v>
      </c>
      <c r="L266" s="4">
        <f>_xlfn.XLOOKUP(A266,[2]Int_NH!A:A,[2]Int_NH!B:B,"-",0)</f>
        <v>5.1507899999999997E-3</v>
      </c>
    </row>
    <row r="267" spans="1:12" x14ac:dyDescent="0.2">
      <c r="A267" t="s">
        <v>526</v>
      </c>
      <c r="B267">
        <v>2.5999999999999999E-2</v>
      </c>
      <c r="C267">
        <v>1.32E-2</v>
      </c>
      <c r="D267">
        <v>170.60980000000001</v>
      </c>
      <c r="E267">
        <v>24.2986</v>
      </c>
      <c r="F267">
        <v>170.61009999999999</v>
      </c>
      <c r="G267">
        <v>24.297599999999999</v>
      </c>
      <c r="H267">
        <v>4.0999999999999996</v>
      </c>
      <c r="I267" t="s">
        <v>327</v>
      </c>
      <c r="J267" t="s">
        <v>328</v>
      </c>
      <c r="K267" t="s">
        <v>527</v>
      </c>
      <c r="L267" s="4">
        <f>_xlfn.XLOOKUP(A267,[2]Int_NH!A:A,[2]Int_NH!B:B,"-",0)</f>
        <v>6.6197900000000004E-2</v>
      </c>
    </row>
    <row r="268" spans="1:12" x14ac:dyDescent="0.2">
      <c r="A268" t="s">
        <v>164</v>
      </c>
      <c r="B268">
        <v>0.06</v>
      </c>
      <c r="C268">
        <v>1.4E-2</v>
      </c>
      <c r="D268">
        <v>172.51310000000001</v>
      </c>
      <c r="E268">
        <v>36.637</v>
      </c>
      <c r="F268">
        <v>172.51159999999999</v>
      </c>
      <c r="G268">
        <v>36.635599999999997</v>
      </c>
      <c r="H268">
        <v>6.3</v>
      </c>
      <c r="I268" t="s">
        <v>331</v>
      </c>
      <c r="J268" t="s">
        <v>328</v>
      </c>
      <c r="K268">
        <v>6945</v>
      </c>
      <c r="L268" s="4">
        <f>_xlfn.XLOOKUP(A268,[2]Int_NH!A:A,[2]Int_NH!B:B,"-",0)</f>
        <v>4.0414899999999997E-2</v>
      </c>
    </row>
    <row r="269" spans="1:12" x14ac:dyDescent="0.2">
      <c r="A269" t="s">
        <v>528</v>
      </c>
      <c r="B269">
        <v>0.106</v>
      </c>
      <c r="C269">
        <v>4.0800000000000003E-2</v>
      </c>
      <c r="D269">
        <v>172.5932</v>
      </c>
      <c r="E269">
        <v>-14.5807</v>
      </c>
      <c r="F269">
        <v>172.5932</v>
      </c>
      <c r="G269">
        <v>-14.5807</v>
      </c>
      <c r="H269">
        <v>0</v>
      </c>
      <c r="I269" t="s">
        <v>327</v>
      </c>
      <c r="J269" t="s">
        <v>328</v>
      </c>
      <c r="K269" t="s">
        <v>529</v>
      </c>
      <c r="L269" s="4">
        <f>_xlfn.XLOOKUP(A269,[2]Int_NH!A:A,[2]Int_NH!B:B,"-",0)</f>
        <v>4.6899900000000001E-2</v>
      </c>
    </row>
    <row r="270" spans="1:12" x14ac:dyDescent="0.2">
      <c r="A270" t="s">
        <v>530</v>
      </c>
      <c r="B270">
        <v>0.307</v>
      </c>
      <c r="C270">
        <v>4.4400000000000002E-2</v>
      </c>
      <c r="D270">
        <v>172.97749999999999</v>
      </c>
      <c r="E270">
        <v>-19.929099999999998</v>
      </c>
      <c r="F270">
        <v>172.97739999999999</v>
      </c>
      <c r="G270">
        <v>-19.928999999999998</v>
      </c>
      <c r="H270">
        <v>0.3</v>
      </c>
      <c r="I270" t="s">
        <v>327</v>
      </c>
      <c r="J270" t="s">
        <v>328</v>
      </c>
      <c r="K270" t="s">
        <v>531</v>
      </c>
      <c r="L270" s="4">
        <f>_xlfn.XLOOKUP(A270,[2]Int_NH!A:A,[2]Int_NH!B:B,"-",0)</f>
        <v>1.36662E-2</v>
      </c>
    </row>
    <row r="271" spans="1:12" x14ac:dyDescent="0.2">
      <c r="A271" t="s">
        <v>165</v>
      </c>
      <c r="B271">
        <v>0.78200000000000003</v>
      </c>
      <c r="C271">
        <v>1.1900000000000001E-2</v>
      </c>
      <c r="D271">
        <v>175.09350000000001</v>
      </c>
      <c r="E271">
        <v>66.137600000000006</v>
      </c>
      <c r="F271">
        <v>175.09350000000001</v>
      </c>
      <c r="G271">
        <v>66.137600000000006</v>
      </c>
      <c r="H271">
        <v>0</v>
      </c>
      <c r="I271" t="s">
        <v>327</v>
      </c>
      <c r="J271" t="s">
        <v>336</v>
      </c>
      <c r="K271">
        <v>536</v>
      </c>
      <c r="L271" s="4">
        <f>_xlfn.XLOOKUP(A271,[2]Int_NH!A:A,[2]Int_NH!B:B,"-",0)</f>
        <v>4.9347000000000002E-2</v>
      </c>
    </row>
    <row r="272" spans="1:12" x14ac:dyDescent="0.2">
      <c r="A272" t="s">
        <v>166</v>
      </c>
      <c r="B272">
        <v>0.311</v>
      </c>
      <c r="C272">
        <v>1.4500000000000001E-2</v>
      </c>
      <c r="D272">
        <v>175.59800000000001</v>
      </c>
      <c r="E272">
        <v>58.520299999999999</v>
      </c>
      <c r="F272">
        <v>175.60059999999999</v>
      </c>
      <c r="G272">
        <v>58.533099999999997</v>
      </c>
      <c r="H272">
        <v>46.5</v>
      </c>
      <c r="I272" t="s">
        <v>331</v>
      </c>
      <c r="J272" t="s">
        <v>328</v>
      </c>
      <c r="K272">
        <v>15136</v>
      </c>
      <c r="L272" s="4">
        <f>_xlfn.XLOOKUP(A272,[2]Int_NH!A:A,[2]Int_NH!B:B,"-",0)</f>
        <v>1.0647999999999999E-2</v>
      </c>
    </row>
    <row r="273" spans="1:12" x14ac:dyDescent="0.2">
      <c r="A273" t="s">
        <v>532</v>
      </c>
      <c r="B273">
        <v>0.1171</v>
      </c>
      <c r="C273">
        <v>2.23E-2</v>
      </c>
      <c r="D273">
        <v>175.9151</v>
      </c>
      <c r="E273">
        <v>46.355699999999999</v>
      </c>
      <c r="F273">
        <v>175.9152</v>
      </c>
      <c r="G273">
        <v>46.355699999999999</v>
      </c>
      <c r="H273">
        <v>0.2</v>
      </c>
      <c r="I273" t="s">
        <v>327</v>
      </c>
      <c r="J273" t="s">
        <v>328</v>
      </c>
      <c r="K273">
        <v>2200</v>
      </c>
      <c r="L273" s="4">
        <f>_xlfn.XLOOKUP(A273,[2]Int_NH!A:A,[2]Int_NH!B:B,"-",0)</f>
        <v>1.53309E-2</v>
      </c>
    </row>
    <row r="274" spans="1:12" x14ac:dyDescent="0.2">
      <c r="A274" t="s">
        <v>533</v>
      </c>
      <c r="B274">
        <v>5.0999999999999997E-2</v>
      </c>
      <c r="C274">
        <v>1.06E-2</v>
      </c>
      <c r="D274">
        <v>176.80459999999999</v>
      </c>
      <c r="E274">
        <v>55.729100000000003</v>
      </c>
      <c r="F274">
        <v>176.82740000000001</v>
      </c>
      <c r="G274">
        <v>55.74</v>
      </c>
      <c r="H274">
        <v>60.7</v>
      </c>
      <c r="I274" t="s">
        <v>331</v>
      </c>
      <c r="J274" t="s">
        <v>328</v>
      </c>
      <c r="K274">
        <v>6943</v>
      </c>
      <c r="L274" s="4">
        <f>_xlfn.XLOOKUP(A274,[2]Int_NH!A:A,[2]Int_NH!B:B,"-",0)</f>
        <v>1.7433500000000001E-2</v>
      </c>
    </row>
    <row r="275" spans="1:12" x14ac:dyDescent="0.2">
      <c r="A275" t="s">
        <v>167</v>
      </c>
      <c r="B275">
        <v>0.5444</v>
      </c>
      <c r="C275">
        <v>2.29E-2</v>
      </c>
      <c r="D275">
        <v>177.39940000000001</v>
      </c>
      <c r="E275">
        <v>22.398599999999998</v>
      </c>
      <c r="F275">
        <v>177.39940000000001</v>
      </c>
      <c r="G275">
        <v>22.398599999999998</v>
      </c>
      <c r="H275">
        <v>0.1</v>
      </c>
      <c r="I275" t="s">
        <v>327</v>
      </c>
      <c r="J275" t="s">
        <v>328</v>
      </c>
      <c r="K275" t="s">
        <v>534</v>
      </c>
      <c r="L275" s="4">
        <f>_xlfn.XLOOKUP(A275,[2]Int_NH!A:A,[2]Int_NH!B:B,"-",0)</f>
        <v>2.1784999999999999E-2</v>
      </c>
    </row>
    <row r="276" spans="1:12" x14ac:dyDescent="0.2">
      <c r="A276" t="s">
        <v>168</v>
      </c>
      <c r="B276">
        <v>0.14299999999999999</v>
      </c>
      <c r="C276">
        <v>1.8700000000000001E-2</v>
      </c>
      <c r="D276">
        <v>178.82470000000001</v>
      </c>
      <c r="E276">
        <v>23.4057</v>
      </c>
      <c r="F276">
        <v>178.8246</v>
      </c>
      <c r="G276">
        <v>23.406099999999999</v>
      </c>
      <c r="H276">
        <v>1.5</v>
      </c>
      <c r="I276" t="s">
        <v>327</v>
      </c>
      <c r="J276" t="s">
        <v>328</v>
      </c>
      <c r="K276" t="s">
        <v>535</v>
      </c>
      <c r="L276" s="4">
        <f>_xlfn.XLOOKUP(A276,[2]Int_NH!A:A,[2]Int_NH!B:B,"-",0)</f>
        <v>2.77372E-2</v>
      </c>
    </row>
    <row r="277" spans="1:12" x14ac:dyDescent="0.2">
      <c r="A277" t="s">
        <v>169</v>
      </c>
      <c r="B277">
        <v>0.21299999999999999</v>
      </c>
      <c r="C277">
        <v>6.8999999999999999E-3</v>
      </c>
      <c r="D277">
        <v>179.3218</v>
      </c>
      <c r="E277">
        <v>33.610999999999997</v>
      </c>
      <c r="F277">
        <v>179.3219</v>
      </c>
      <c r="G277">
        <v>33.610399999999998</v>
      </c>
      <c r="H277">
        <v>2.2000000000000002</v>
      </c>
      <c r="I277" t="s">
        <v>327</v>
      </c>
      <c r="J277" t="s">
        <v>328</v>
      </c>
      <c r="K277" t="s">
        <v>536</v>
      </c>
      <c r="L277" s="4">
        <f>_xlfn.XLOOKUP(A277,[2]Int_NH!A:A,[2]Int_NH!B:B,"-",0)</f>
        <v>3.4152299999999997E-2</v>
      </c>
    </row>
    <row r="278" spans="1:12" x14ac:dyDescent="0.2">
      <c r="A278" t="s">
        <v>537</v>
      </c>
      <c r="B278">
        <v>0.38300000000000001</v>
      </c>
      <c r="C278">
        <v>2.1000000000000001E-2</v>
      </c>
      <c r="D278">
        <v>179.80779999999999</v>
      </c>
      <c r="E278">
        <v>49.7943</v>
      </c>
      <c r="F278">
        <v>179.80779999999999</v>
      </c>
      <c r="G278">
        <v>49.7943</v>
      </c>
      <c r="H278">
        <v>0</v>
      </c>
      <c r="I278" t="s">
        <v>327</v>
      </c>
      <c r="J278" t="s">
        <v>336</v>
      </c>
      <c r="K278">
        <v>15119</v>
      </c>
      <c r="L278" s="4">
        <f>_xlfn.XLOOKUP(A278,[2]Int_NH!A:A,[2]Int_NH!B:B,"-",0)</f>
        <v>6.5291799999999997E-2</v>
      </c>
    </row>
    <row r="279" spans="1:12" x14ac:dyDescent="0.2">
      <c r="A279" t="s">
        <v>170</v>
      </c>
      <c r="B279">
        <v>8.1000000000000003E-2</v>
      </c>
      <c r="C279">
        <v>1.2200000000000001E-2</v>
      </c>
      <c r="D279">
        <v>179.9675</v>
      </c>
      <c r="E279">
        <v>55.534799999999997</v>
      </c>
      <c r="F279">
        <v>179.96789999999999</v>
      </c>
      <c r="G279">
        <v>55.5349</v>
      </c>
      <c r="H279">
        <v>0.8</v>
      </c>
      <c r="I279" t="s">
        <v>327</v>
      </c>
      <c r="J279" t="s">
        <v>328</v>
      </c>
      <c r="K279">
        <v>4964</v>
      </c>
      <c r="L279" s="4">
        <f>_xlfn.XLOOKUP(A279,[2]Int_NH!A:A,[2]Int_NH!B:B,"-",0)</f>
        <v>4.8881399999999998E-2</v>
      </c>
    </row>
    <row r="280" spans="1:12" x14ac:dyDescent="0.2">
      <c r="A280" t="s">
        <v>171</v>
      </c>
      <c r="B280">
        <v>0.3</v>
      </c>
      <c r="C280">
        <v>7.7299999999999994E-2</v>
      </c>
      <c r="D280">
        <v>180.2724</v>
      </c>
      <c r="E280">
        <v>-39.874499999999998</v>
      </c>
      <c r="F280">
        <v>180.27170000000001</v>
      </c>
      <c r="G280">
        <v>-39.874499999999998</v>
      </c>
      <c r="H280">
        <v>2</v>
      </c>
      <c r="I280" t="s">
        <v>327</v>
      </c>
      <c r="J280" t="s">
        <v>336</v>
      </c>
      <c r="K280">
        <v>15134</v>
      </c>
      <c r="L280" s="4">
        <f>_xlfn.XLOOKUP(A280,[2]Int_NH!A:A,[2]Int_NH!B:B,"-",0)</f>
        <v>3.8263800000000001E-2</v>
      </c>
    </row>
    <row r="281" spans="1:12" x14ac:dyDescent="0.2">
      <c r="A281" t="s">
        <v>172</v>
      </c>
      <c r="B281">
        <v>0.10299999999999999</v>
      </c>
      <c r="C281">
        <v>1.49E-2</v>
      </c>
      <c r="D281">
        <v>180.51759999999999</v>
      </c>
      <c r="E281">
        <v>58.033200000000001</v>
      </c>
      <c r="F281">
        <v>180.51560000000001</v>
      </c>
      <c r="G281">
        <v>58.0383</v>
      </c>
      <c r="H281">
        <v>18.8</v>
      </c>
      <c r="I281" t="s">
        <v>331</v>
      </c>
      <c r="J281" t="s">
        <v>328</v>
      </c>
      <c r="K281">
        <v>4975</v>
      </c>
      <c r="L281" s="4">
        <f>_xlfn.XLOOKUP(A281,[2]Int_NH!A:A,[2]Int_NH!B:B,"-",0)</f>
        <v>2.9021399999999999E-2</v>
      </c>
    </row>
    <row r="282" spans="1:12" x14ac:dyDescent="0.2">
      <c r="A282" t="s">
        <v>173</v>
      </c>
      <c r="B282">
        <v>0.67700000000000005</v>
      </c>
      <c r="C282">
        <v>1.43E-2</v>
      </c>
      <c r="D282">
        <v>180.57769999999999</v>
      </c>
      <c r="E282">
        <v>57.865900000000003</v>
      </c>
      <c r="F282">
        <v>180.5736</v>
      </c>
      <c r="G282">
        <v>57.866199999999999</v>
      </c>
      <c r="H282">
        <v>7.9</v>
      </c>
      <c r="I282" t="s">
        <v>331</v>
      </c>
      <c r="J282" t="s">
        <v>336</v>
      </c>
      <c r="K282">
        <v>5757</v>
      </c>
      <c r="L282" s="4">
        <f>_xlfn.XLOOKUP(A282,[2]Int_NH!A:A,[2]Int_NH!B:B,"-",0)</f>
        <v>5.5298100000000003E-2</v>
      </c>
    </row>
    <row r="283" spans="1:12" x14ac:dyDescent="0.2">
      <c r="A283" t="s">
        <v>538</v>
      </c>
      <c r="B283">
        <v>0.02</v>
      </c>
      <c r="C283">
        <v>1.8800000000000001E-2</v>
      </c>
      <c r="D283">
        <v>181.11340000000001</v>
      </c>
      <c r="E283">
        <v>1.8952</v>
      </c>
      <c r="F283">
        <v>181.11340000000001</v>
      </c>
      <c r="G283">
        <v>1.8952</v>
      </c>
      <c r="H283">
        <v>0.1</v>
      </c>
      <c r="I283" t="s">
        <v>327</v>
      </c>
      <c r="J283" t="s">
        <v>328</v>
      </c>
      <c r="K283">
        <v>3234</v>
      </c>
      <c r="L283" s="4">
        <f>_xlfn.XLOOKUP(A283,[2]Int_NH!A:A,[2]Int_NH!B:B,"-",0)</f>
        <v>5.5866399999999997E-2</v>
      </c>
    </row>
    <row r="284" spans="1:12" x14ac:dyDescent="0.2">
      <c r="A284" t="s">
        <v>174</v>
      </c>
      <c r="B284">
        <v>0.44</v>
      </c>
      <c r="C284">
        <v>3.8899999999999997E-2</v>
      </c>
      <c r="D284">
        <v>181.5504</v>
      </c>
      <c r="E284">
        <v>-8.8004999999999995</v>
      </c>
      <c r="F284">
        <v>181.55119999999999</v>
      </c>
      <c r="G284">
        <v>-8.8007000000000009</v>
      </c>
      <c r="H284">
        <v>2.8</v>
      </c>
      <c r="I284" t="s">
        <v>327</v>
      </c>
      <c r="J284" t="s">
        <v>328</v>
      </c>
      <c r="K284">
        <v>3277</v>
      </c>
      <c r="L284" s="4">
        <f>_xlfn.XLOOKUP(A284,[2]Int_NH!A:A,[2]Int_NH!B:B,"-",0)</f>
        <v>2.5418900000000001E-2</v>
      </c>
    </row>
    <row r="285" spans="1:12" x14ac:dyDescent="0.2">
      <c r="A285" t="s">
        <v>175</v>
      </c>
      <c r="B285">
        <v>6.8000000000000005E-2</v>
      </c>
      <c r="C285">
        <v>3.3700000000000001E-2</v>
      </c>
      <c r="D285">
        <v>181.63249999999999</v>
      </c>
      <c r="E285">
        <v>-7.7407000000000004</v>
      </c>
      <c r="F285">
        <v>181.63249999999999</v>
      </c>
      <c r="G285">
        <v>-7.7409999999999997</v>
      </c>
      <c r="H285">
        <v>1</v>
      </c>
      <c r="I285" t="s">
        <v>327</v>
      </c>
      <c r="J285" t="s">
        <v>336</v>
      </c>
      <c r="K285">
        <v>9388</v>
      </c>
      <c r="L285" s="4">
        <f>_xlfn.XLOOKUP(A285,[2]Int_NH!A:A,[2]Int_NH!B:B,"-",0)</f>
        <v>0</v>
      </c>
    </row>
    <row r="286" spans="1:12" x14ac:dyDescent="0.2">
      <c r="A286" t="s">
        <v>539</v>
      </c>
      <c r="B286">
        <v>2.8000000000000001E-2</v>
      </c>
      <c r="C286">
        <v>1.67E-2</v>
      </c>
      <c r="D286">
        <v>181.66210000000001</v>
      </c>
      <c r="E286">
        <v>28.174199999999999</v>
      </c>
      <c r="F286">
        <v>181.66239999999999</v>
      </c>
      <c r="G286">
        <v>28.175000000000001</v>
      </c>
      <c r="H286">
        <v>3.1</v>
      </c>
      <c r="I286" t="s">
        <v>327</v>
      </c>
      <c r="J286" t="s">
        <v>328</v>
      </c>
      <c r="K286">
        <v>6939</v>
      </c>
      <c r="L286" s="4">
        <f>_xlfn.XLOOKUP(A286,[2]Int_NH!A:A,[2]Int_NH!B:B,"-",0)</f>
        <v>5.0878300000000001E-2</v>
      </c>
    </row>
    <row r="287" spans="1:12" x14ac:dyDescent="0.2">
      <c r="A287" t="s">
        <v>176</v>
      </c>
      <c r="B287">
        <v>0.11899999999999999</v>
      </c>
      <c r="C287">
        <v>6.5600000000000006E-2</v>
      </c>
      <c r="D287">
        <v>183.85300000000001</v>
      </c>
      <c r="E287">
        <v>-39.035499999999999</v>
      </c>
      <c r="F287">
        <v>183.8527</v>
      </c>
      <c r="G287">
        <v>-39.036299999999997</v>
      </c>
      <c r="H287">
        <v>3.1</v>
      </c>
      <c r="I287" t="s">
        <v>327</v>
      </c>
      <c r="J287" t="s">
        <v>328</v>
      </c>
      <c r="K287">
        <v>15140</v>
      </c>
      <c r="L287" s="4">
        <f>_xlfn.XLOOKUP(A287,[2]Int_NH!A:A,[2]Int_NH!B:B,"-",0)</f>
        <v>6.9181800000000002E-2</v>
      </c>
    </row>
    <row r="288" spans="1:12" x14ac:dyDescent="0.2">
      <c r="A288" t="s">
        <v>540</v>
      </c>
      <c r="B288">
        <v>7.6999999999999999E-2</v>
      </c>
      <c r="C288">
        <v>1.6799999999999999E-2</v>
      </c>
      <c r="D288">
        <v>184.42150000000001</v>
      </c>
      <c r="E288">
        <v>3.6555</v>
      </c>
      <c r="F288">
        <v>184.4238</v>
      </c>
      <c r="G288">
        <v>3.6543999999999999</v>
      </c>
      <c r="H288">
        <v>9.1</v>
      </c>
      <c r="I288" t="s">
        <v>331</v>
      </c>
      <c r="J288" t="s">
        <v>328</v>
      </c>
      <c r="K288">
        <v>4184</v>
      </c>
      <c r="L288" s="4">
        <f>_xlfn.XLOOKUP(A288,[2]Int_NH!A:A,[2]Int_NH!B:B,"-",0)</f>
        <v>1.8513399999999999E-2</v>
      </c>
    </row>
    <row r="289" spans="1:12" x14ac:dyDescent="0.2">
      <c r="A289" t="s">
        <v>177</v>
      </c>
      <c r="B289">
        <v>0.32</v>
      </c>
      <c r="C289">
        <v>0.02</v>
      </c>
      <c r="D289">
        <v>184.62020000000001</v>
      </c>
      <c r="E289">
        <v>40.207500000000003</v>
      </c>
      <c r="F289">
        <v>184.6199</v>
      </c>
      <c r="G289">
        <v>40.207799999999999</v>
      </c>
      <c r="H289">
        <v>1.4</v>
      </c>
      <c r="I289" t="s">
        <v>327</v>
      </c>
      <c r="J289" t="s">
        <v>336</v>
      </c>
      <c r="K289">
        <v>10447</v>
      </c>
      <c r="L289" s="4">
        <f>_xlfn.XLOOKUP(A289,[2]Int_NH!A:A,[2]Int_NH!B:B,"-",0)</f>
        <v>5.7609699999999998E-3</v>
      </c>
    </row>
    <row r="290" spans="1:12" x14ac:dyDescent="0.2">
      <c r="A290" t="s">
        <v>541</v>
      </c>
      <c r="B290">
        <v>0.7</v>
      </c>
      <c r="C290">
        <v>1.43E-2</v>
      </c>
      <c r="D290">
        <v>185.36689999999999</v>
      </c>
      <c r="E290">
        <v>49.306699999999999</v>
      </c>
      <c r="F290">
        <v>185.36689999999999</v>
      </c>
      <c r="G290">
        <v>49.306699999999999</v>
      </c>
      <c r="H290">
        <v>0</v>
      </c>
      <c r="I290" t="s">
        <v>327</v>
      </c>
      <c r="J290" t="s">
        <v>336</v>
      </c>
      <c r="K290">
        <v>1662</v>
      </c>
      <c r="L290" s="4">
        <f>_xlfn.XLOOKUP(A290,[2]Int_NH!A:A,[2]Int_NH!B:B,"-",0)</f>
        <v>0</v>
      </c>
    </row>
    <row r="291" spans="1:12" x14ac:dyDescent="0.2">
      <c r="A291" t="s">
        <v>542</v>
      </c>
      <c r="B291">
        <v>2.5000000000000001E-2</v>
      </c>
      <c r="C291">
        <v>2.1499999999999998E-2</v>
      </c>
      <c r="D291">
        <v>185.77760000000001</v>
      </c>
      <c r="E291">
        <v>10.6213</v>
      </c>
      <c r="F291">
        <v>185.7773</v>
      </c>
      <c r="G291">
        <v>10.622199999999999</v>
      </c>
      <c r="H291">
        <v>3.1</v>
      </c>
      <c r="I291" t="s">
        <v>327</v>
      </c>
      <c r="J291" t="s">
        <v>328</v>
      </c>
      <c r="K291">
        <v>3232</v>
      </c>
      <c r="L291" s="4">
        <f>_xlfn.XLOOKUP(A291,[2]Int_NH!A:A,[2]Int_NH!B:B,"-",0)</f>
        <v>0.113514</v>
      </c>
    </row>
    <row r="292" spans="1:12" x14ac:dyDescent="0.2">
      <c r="A292" t="s">
        <v>178</v>
      </c>
      <c r="B292">
        <v>0.37</v>
      </c>
      <c r="C292">
        <v>1.8700000000000001E-2</v>
      </c>
      <c r="D292">
        <v>186.7123</v>
      </c>
      <c r="E292">
        <v>21.8323</v>
      </c>
      <c r="F292">
        <v>186.7123</v>
      </c>
      <c r="G292">
        <v>21.832599999999999</v>
      </c>
      <c r="H292">
        <v>1</v>
      </c>
      <c r="I292" t="s">
        <v>327</v>
      </c>
      <c r="J292" t="s">
        <v>328</v>
      </c>
      <c r="K292">
        <v>12878</v>
      </c>
      <c r="L292" s="4">
        <f>_xlfn.XLOOKUP(A292,[2]Int_NH!A:A,[2]Int_NH!B:B,"-",0)</f>
        <v>4.77823E-2</v>
      </c>
    </row>
    <row r="293" spans="1:12" x14ac:dyDescent="0.2">
      <c r="A293" t="s">
        <v>543</v>
      </c>
      <c r="B293">
        <v>0.89</v>
      </c>
      <c r="C293">
        <v>1.37E-2</v>
      </c>
      <c r="D293">
        <v>186.7423</v>
      </c>
      <c r="E293">
        <v>33.546300000000002</v>
      </c>
      <c r="F293">
        <v>186.7432</v>
      </c>
      <c r="G293">
        <v>33.546500000000002</v>
      </c>
      <c r="H293">
        <v>2.8</v>
      </c>
      <c r="I293" t="s">
        <v>327</v>
      </c>
      <c r="J293" t="s">
        <v>328</v>
      </c>
      <c r="K293" t="s">
        <v>544</v>
      </c>
      <c r="L293" s="4">
        <f>_xlfn.XLOOKUP(A293,[2]Int_NH!A:A,[2]Int_NH!B:B,"-",0)</f>
        <v>9.2871599999999992E-3</v>
      </c>
    </row>
    <row r="294" spans="1:12" x14ac:dyDescent="0.2">
      <c r="A294" t="s">
        <v>545</v>
      </c>
      <c r="B294">
        <v>3.2699999999999999E-3</v>
      </c>
      <c r="C294">
        <v>1.6299999999999999E-2</v>
      </c>
      <c r="D294">
        <v>187.4452</v>
      </c>
      <c r="E294">
        <v>8.0006000000000004</v>
      </c>
      <c r="F294">
        <v>187.4452</v>
      </c>
      <c r="G294">
        <v>8.0006000000000004</v>
      </c>
      <c r="H294">
        <v>0</v>
      </c>
      <c r="I294" t="s">
        <v>327</v>
      </c>
      <c r="J294" t="s">
        <v>328</v>
      </c>
      <c r="K294" t="s">
        <v>546</v>
      </c>
      <c r="L294" s="4">
        <f>_xlfn.XLOOKUP(A294,[2]Int_NH!A:A,[2]Int_NH!B:B,"-",0)</f>
        <v>7.8113500000000002E-2</v>
      </c>
    </row>
    <row r="295" spans="1:12" x14ac:dyDescent="0.2">
      <c r="A295" t="s">
        <v>179</v>
      </c>
      <c r="B295">
        <v>0.97499999999999998</v>
      </c>
      <c r="C295">
        <v>2.64E-2</v>
      </c>
      <c r="D295">
        <v>187.5711</v>
      </c>
      <c r="E295">
        <v>13.651899999999999</v>
      </c>
      <c r="F295">
        <v>187.57050000000001</v>
      </c>
      <c r="G295">
        <v>13.6516</v>
      </c>
      <c r="H295">
        <v>2.2000000000000002</v>
      </c>
      <c r="I295" t="s">
        <v>327</v>
      </c>
      <c r="J295" t="s">
        <v>336</v>
      </c>
      <c r="K295" t="s">
        <v>547</v>
      </c>
      <c r="L295" s="4">
        <f>_xlfn.XLOOKUP(A295,[2]Int_NH!A:A,[2]Int_NH!B:B,"-",0)</f>
        <v>0</v>
      </c>
    </row>
    <row r="296" spans="1:12" x14ac:dyDescent="0.2">
      <c r="A296" t="s">
        <v>548</v>
      </c>
      <c r="B296">
        <v>0.16500000000000001</v>
      </c>
      <c r="C296">
        <v>2.0199999999999999E-2</v>
      </c>
      <c r="D296">
        <v>187.697</v>
      </c>
      <c r="E296">
        <v>10.554</v>
      </c>
      <c r="F296">
        <v>187.697</v>
      </c>
      <c r="G296">
        <v>10.554</v>
      </c>
      <c r="H296">
        <v>0</v>
      </c>
      <c r="I296" t="s">
        <v>327</v>
      </c>
      <c r="J296" t="s">
        <v>328</v>
      </c>
      <c r="K296">
        <v>12254</v>
      </c>
      <c r="L296" s="4">
        <f>_xlfn.XLOOKUP(A296,[2]Int_NH!A:A,[2]Int_NH!B:B,"-",0)</f>
        <v>2.8337600000000001E-2</v>
      </c>
    </row>
    <row r="297" spans="1:12" x14ac:dyDescent="0.2">
      <c r="A297" t="s">
        <v>180</v>
      </c>
      <c r="B297">
        <v>0.22900000000000001</v>
      </c>
      <c r="C297">
        <v>1.83E-2</v>
      </c>
      <c r="D297">
        <v>188.60079999999999</v>
      </c>
      <c r="E297">
        <v>9.7875999999999994</v>
      </c>
      <c r="F297">
        <v>188.60140000000001</v>
      </c>
      <c r="G297">
        <v>9.7891999999999992</v>
      </c>
      <c r="H297">
        <v>6.2</v>
      </c>
      <c r="I297" t="s">
        <v>331</v>
      </c>
      <c r="J297" t="s">
        <v>328</v>
      </c>
      <c r="K297">
        <v>11727</v>
      </c>
      <c r="L297" s="4">
        <f>_xlfn.XLOOKUP(A297,[2]Int_NH!A:A,[2]Int_NH!B:B,"-",0)</f>
        <v>3.28344E-2</v>
      </c>
    </row>
    <row r="298" spans="1:12" x14ac:dyDescent="0.2">
      <c r="A298" t="s">
        <v>549</v>
      </c>
      <c r="B298">
        <v>1.1000000000000001E-3</v>
      </c>
      <c r="C298">
        <v>2.5600000000000001E-2</v>
      </c>
      <c r="D298">
        <v>188.91569999999999</v>
      </c>
      <c r="E298">
        <v>12.556699999999999</v>
      </c>
      <c r="F298">
        <v>188.91569999999999</v>
      </c>
      <c r="G298">
        <v>12.556699999999999</v>
      </c>
      <c r="H298">
        <v>0.2</v>
      </c>
      <c r="I298" t="s">
        <v>327</v>
      </c>
      <c r="J298" t="s">
        <v>328</v>
      </c>
      <c r="K298" t="s">
        <v>550</v>
      </c>
      <c r="L298" s="4">
        <f>_xlfn.XLOOKUP(A298,[2]Int_NH!A:A,[2]Int_NH!B:B,"-",0)</f>
        <v>6.4044900000000002E-2</v>
      </c>
    </row>
    <row r="299" spans="1:12" x14ac:dyDescent="0.2">
      <c r="A299" t="s">
        <v>181</v>
      </c>
      <c r="B299">
        <v>7.2999999999999995E-2</v>
      </c>
      <c r="C299">
        <v>2.1899999999999999E-2</v>
      </c>
      <c r="D299">
        <v>189.1027</v>
      </c>
      <c r="E299">
        <v>16.5398</v>
      </c>
      <c r="F299">
        <v>189.10839999999999</v>
      </c>
      <c r="G299">
        <v>16.5383</v>
      </c>
      <c r="H299">
        <v>20.3</v>
      </c>
      <c r="I299" t="s">
        <v>331</v>
      </c>
      <c r="J299" t="s">
        <v>328</v>
      </c>
      <c r="K299">
        <v>6100</v>
      </c>
      <c r="L299" s="4">
        <f>_xlfn.XLOOKUP(A299,[2]Int_NH!A:A,[2]Int_NH!B:B,"-",0)</f>
        <v>3.8595600000000001E-2</v>
      </c>
    </row>
    <row r="300" spans="1:12" x14ac:dyDescent="0.2">
      <c r="A300" t="s">
        <v>551</v>
      </c>
      <c r="B300">
        <v>0.27900000000000003</v>
      </c>
      <c r="C300">
        <v>1.6799999999999999E-2</v>
      </c>
      <c r="D300">
        <v>189.24359999999999</v>
      </c>
      <c r="E300">
        <v>63.186799999999998</v>
      </c>
      <c r="F300">
        <v>189.24279999999999</v>
      </c>
      <c r="G300">
        <v>63.187199999999997</v>
      </c>
      <c r="H300">
        <v>1.7</v>
      </c>
      <c r="I300" t="s">
        <v>327</v>
      </c>
      <c r="J300" t="s">
        <v>328</v>
      </c>
      <c r="K300" t="s">
        <v>552</v>
      </c>
      <c r="L300" s="4">
        <f>_xlfn.XLOOKUP(A300,[2]Int_NH!A:A,[2]Int_NH!B:B,"-",0)</f>
        <v>3.3523499999999998E-2</v>
      </c>
    </row>
    <row r="301" spans="1:12" x14ac:dyDescent="0.2">
      <c r="A301" t="s">
        <v>553</v>
      </c>
      <c r="B301">
        <v>3.0999999999999999E-3</v>
      </c>
      <c r="C301">
        <v>1.8200000000000001E-2</v>
      </c>
      <c r="D301">
        <v>190.70769999999999</v>
      </c>
      <c r="E301">
        <v>2.6877</v>
      </c>
      <c r="F301">
        <v>190.70769999999999</v>
      </c>
      <c r="G301">
        <v>2.6877</v>
      </c>
      <c r="H301">
        <v>0.2</v>
      </c>
      <c r="I301" t="s">
        <v>327</v>
      </c>
      <c r="J301" t="s">
        <v>328</v>
      </c>
      <c r="K301">
        <v>323</v>
      </c>
      <c r="L301" s="4">
        <f>_xlfn.XLOOKUP(A301,[2]Int_NH!A:A,[2]Int_NH!B:B,"-",0)</f>
        <v>7.6427300000000004E-2</v>
      </c>
    </row>
    <row r="302" spans="1:12" x14ac:dyDescent="0.2">
      <c r="A302" t="s">
        <v>554</v>
      </c>
      <c r="B302">
        <v>1.14E-2</v>
      </c>
      <c r="C302">
        <v>8.1000000000000003E-2</v>
      </c>
      <c r="D302">
        <v>192.20529999999999</v>
      </c>
      <c r="E302">
        <v>-41.311</v>
      </c>
      <c r="F302">
        <v>192.20529999999999</v>
      </c>
      <c r="G302">
        <v>-41.311</v>
      </c>
      <c r="H302">
        <v>0.1</v>
      </c>
      <c r="I302" t="s">
        <v>327</v>
      </c>
      <c r="J302" t="s">
        <v>328</v>
      </c>
      <c r="K302" t="s">
        <v>555</v>
      </c>
      <c r="L302" s="4">
        <f>_xlfn.XLOOKUP(A302,[2]Int_NH!A:A,[2]Int_NH!B:B,"-",0)</f>
        <v>4.2310500000000001E-2</v>
      </c>
    </row>
    <row r="303" spans="1:12" x14ac:dyDescent="0.2">
      <c r="A303" t="s">
        <v>556</v>
      </c>
      <c r="B303">
        <v>5.2999999999999999E-2</v>
      </c>
      <c r="C303">
        <v>5.5599999999999997E-2</v>
      </c>
      <c r="D303">
        <v>193.1446</v>
      </c>
      <c r="E303">
        <v>-31.2666</v>
      </c>
      <c r="F303">
        <v>193.14429999999999</v>
      </c>
      <c r="G303">
        <v>-31.2669</v>
      </c>
      <c r="H303">
        <v>1.4</v>
      </c>
      <c r="I303" t="s">
        <v>327</v>
      </c>
      <c r="J303" t="s">
        <v>336</v>
      </c>
      <c r="K303">
        <v>12275</v>
      </c>
      <c r="L303" s="4">
        <f>_xlfn.XLOOKUP(A303,[2]Int_NH!A:A,[2]Int_NH!B:B,"-",0)</f>
        <v>5.5238299999999997E-2</v>
      </c>
    </row>
    <row r="304" spans="1:12" x14ac:dyDescent="0.2">
      <c r="A304" t="s">
        <v>557</v>
      </c>
      <c r="B304">
        <v>1.47E-2</v>
      </c>
      <c r="C304">
        <v>3.0499999999999999E-2</v>
      </c>
      <c r="D304">
        <v>193.2739</v>
      </c>
      <c r="E304">
        <v>-9.2042999999999999</v>
      </c>
      <c r="F304">
        <v>193.2739</v>
      </c>
      <c r="G304">
        <v>-9.2042999999999999</v>
      </c>
      <c r="H304">
        <v>0.2</v>
      </c>
      <c r="I304" t="s">
        <v>327</v>
      </c>
      <c r="J304" t="s">
        <v>328</v>
      </c>
      <c r="K304" t="s">
        <v>558</v>
      </c>
      <c r="L304" s="4">
        <f>_xlfn.XLOOKUP(A304,[2]Int_NH!A:A,[2]Int_NH!B:B,"-",0)</f>
        <v>0.12620600000000001</v>
      </c>
    </row>
    <row r="305" spans="1:12" x14ac:dyDescent="0.2">
      <c r="A305" t="s">
        <v>182</v>
      </c>
      <c r="B305">
        <v>5.2999999999999999E-2</v>
      </c>
      <c r="C305">
        <v>6.1699999999999998E-2</v>
      </c>
      <c r="D305">
        <v>193.5924</v>
      </c>
      <c r="E305">
        <v>-29.013000000000002</v>
      </c>
      <c r="F305">
        <v>193.59270000000001</v>
      </c>
      <c r="G305">
        <v>-29.011099999999999</v>
      </c>
      <c r="H305">
        <v>7</v>
      </c>
      <c r="I305" t="s">
        <v>331</v>
      </c>
      <c r="J305" t="s">
        <v>328</v>
      </c>
      <c r="K305">
        <v>10746</v>
      </c>
      <c r="L305" s="4">
        <f>_xlfn.XLOOKUP(A305,[2]Int_NH!A:A,[2]Int_NH!B:B,"-",0)</f>
        <v>2.03377E-2</v>
      </c>
    </row>
    <row r="306" spans="1:12" x14ac:dyDescent="0.2">
      <c r="A306" t="s">
        <v>559</v>
      </c>
      <c r="B306">
        <v>1.54E-2</v>
      </c>
      <c r="C306">
        <v>3.5799999999999998E-2</v>
      </c>
      <c r="D306">
        <v>193.65039999999999</v>
      </c>
      <c r="E306">
        <v>-12.560700000000001</v>
      </c>
      <c r="F306">
        <v>193.65039999999999</v>
      </c>
      <c r="G306">
        <v>-12.560700000000001</v>
      </c>
      <c r="H306">
        <v>0.2</v>
      </c>
      <c r="I306" t="s">
        <v>327</v>
      </c>
      <c r="J306" t="s">
        <v>328</v>
      </c>
      <c r="K306">
        <v>3220</v>
      </c>
      <c r="L306" s="4">
        <f>_xlfn.XLOOKUP(A306,[2]Int_NH!A:A,[2]Int_NH!B:B,"-",0)</f>
        <v>0</v>
      </c>
    </row>
    <row r="307" spans="1:12" x14ac:dyDescent="0.2">
      <c r="A307" t="s">
        <v>560</v>
      </c>
      <c r="B307">
        <v>4.7E-2</v>
      </c>
      <c r="C307">
        <v>5.21E-2</v>
      </c>
      <c r="D307">
        <v>194.3015</v>
      </c>
      <c r="E307">
        <v>-17.409199999999998</v>
      </c>
      <c r="F307">
        <v>194.29859999999999</v>
      </c>
      <c r="G307">
        <v>-17.409099999999999</v>
      </c>
      <c r="H307">
        <v>10</v>
      </c>
      <c r="I307" t="s">
        <v>331</v>
      </c>
      <c r="J307" t="s">
        <v>328</v>
      </c>
      <c r="K307" t="s">
        <v>561</v>
      </c>
      <c r="L307" s="4">
        <f>_xlfn.XLOOKUP(A307,[2]Int_NH!A:A,[2]Int_NH!B:B,"-",0)</f>
        <v>8.5072499999999992E-3</v>
      </c>
    </row>
    <row r="308" spans="1:12" x14ac:dyDescent="0.2">
      <c r="A308" t="s">
        <v>183</v>
      </c>
      <c r="B308">
        <v>5.5E-2</v>
      </c>
      <c r="C308">
        <v>5.9799999999999999E-2</v>
      </c>
      <c r="D308">
        <v>194.34180000000001</v>
      </c>
      <c r="E308">
        <v>-30.363399999999999</v>
      </c>
      <c r="F308">
        <v>194.34299999999999</v>
      </c>
      <c r="G308">
        <v>-30.3626</v>
      </c>
      <c r="H308">
        <v>4.9000000000000004</v>
      </c>
      <c r="I308" t="s">
        <v>327</v>
      </c>
      <c r="J308" t="s">
        <v>328</v>
      </c>
      <c r="K308">
        <v>10745</v>
      </c>
      <c r="L308" s="4">
        <f>_xlfn.XLOOKUP(A308,[2]Int_NH!A:A,[2]Int_NH!B:B,"-",0)</f>
        <v>2.02496E-2</v>
      </c>
    </row>
    <row r="309" spans="1:12" x14ac:dyDescent="0.2">
      <c r="A309" t="s">
        <v>562</v>
      </c>
      <c r="B309">
        <v>2.46E-2</v>
      </c>
      <c r="C309">
        <v>9.1999999999999998E-3</v>
      </c>
      <c r="D309">
        <v>194.35169999999999</v>
      </c>
      <c r="E309">
        <v>27.497699999999998</v>
      </c>
      <c r="F309">
        <v>194.35159999999999</v>
      </c>
      <c r="G309">
        <v>27.497699999999998</v>
      </c>
      <c r="H309">
        <v>0.3</v>
      </c>
      <c r="I309" t="s">
        <v>327</v>
      </c>
      <c r="J309" t="s">
        <v>328</v>
      </c>
      <c r="K309">
        <v>12887</v>
      </c>
      <c r="L309" s="4">
        <f>_xlfn.XLOOKUP(A309,[2]Int_NH!A:A,[2]Int_NH!B:B,"-",0)</f>
        <v>1.0569E-2</v>
      </c>
    </row>
    <row r="310" spans="1:12" x14ac:dyDescent="0.2">
      <c r="A310" t="s">
        <v>184</v>
      </c>
      <c r="B310">
        <v>8.4000000000000005E-2</v>
      </c>
      <c r="C310">
        <v>1.5599999999999999E-2</v>
      </c>
      <c r="D310">
        <v>194.6728</v>
      </c>
      <c r="E310">
        <v>-1.762</v>
      </c>
      <c r="F310">
        <v>194.6729</v>
      </c>
      <c r="G310">
        <v>-1.7623</v>
      </c>
      <c r="H310">
        <v>1.2</v>
      </c>
      <c r="I310" t="s">
        <v>327</v>
      </c>
      <c r="J310" t="s">
        <v>336</v>
      </c>
      <c r="K310" t="s">
        <v>563</v>
      </c>
      <c r="L310" s="4">
        <f>_xlfn.XLOOKUP(A310,[2]Int_NH!A:A,[2]Int_NH!B:B,"-",0)</f>
        <v>1.5392100000000001E-2</v>
      </c>
    </row>
    <row r="311" spans="1:12" x14ac:dyDescent="0.2">
      <c r="A311" t="s">
        <v>185</v>
      </c>
      <c r="B311">
        <v>8.5000000000000006E-2</v>
      </c>
      <c r="C311">
        <v>1.8800000000000001E-2</v>
      </c>
      <c r="D311">
        <v>194.84270000000001</v>
      </c>
      <c r="E311">
        <v>-4.1966000000000001</v>
      </c>
      <c r="F311">
        <v>194.8451</v>
      </c>
      <c r="G311">
        <v>-4.1961000000000004</v>
      </c>
      <c r="H311">
        <v>8.8000000000000007</v>
      </c>
      <c r="I311" t="s">
        <v>331</v>
      </c>
      <c r="J311" t="s">
        <v>328</v>
      </c>
      <c r="K311">
        <v>4185</v>
      </c>
      <c r="L311" s="4">
        <f>_xlfn.XLOOKUP(A311,[2]Int_NH!A:A,[2]Int_NH!B:B,"-",0)</f>
        <v>9.7702599999999994E-3</v>
      </c>
    </row>
    <row r="312" spans="1:12" x14ac:dyDescent="0.2">
      <c r="A312" t="s">
        <v>186</v>
      </c>
      <c r="B312">
        <v>0.33</v>
      </c>
      <c r="C312">
        <v>1.37E-2</v>
      </c>
      <c r="D312">
        <v>194.8877</v>
      </c>
      <c r="E312">
        <v>60.070599999999999</v>
      </c>
      <c r="F312">
        <v>194.8877</v>
      </c>
      <c r="G312">
        <v>60.070599999999999</v>
      </c>
      <c r="H312">
        <v>0</v>
      </c>
      <c r="I312" t="s">
        <v>327</v>
      </c>
      <c r="J312" t="s">
        <v>328</v>
      </c>
      <c r="K312" t="s">
        <v>564</v>
      </c>
      <c r="L312" s="4">
        <f>_xlfn.XLOOKUP(A312,[2]Int_NH!A:A,[2]Int_NH!B:B,"-",0)</f>
        <v>2.1037799999999999E-2</v>
      </c>
    </row>
    <row r="313" spans="1:12" x14ac:dyDescent="0.2">
      <c r="A313" t="s">
        <v>187</v>
      </c>
      <c r="B313">
        <v>5.8999999999999997E-2</v>
      </c>
      <c r="C313">
        <v>1.1900000000000001E-2</v>
      </c>
      <c r="D313">
        <v>194.9665</v>
      </c>
      <c r="E313">
        <v>31.352</v>
      </c>
      <c r="F313">
        <v>194.9649</v>
      </c>
      <c r="G313">
        <v>31.3523</v>
      </c>
      <c r="H313">
        <v>5</v>
      </c>
      <c r="I313" t="s">
        <v>331</v>
      </c>
      <c r="J313" t="s">
        <v>336</v>
      </c>
      <c r="K313">
        <v>9395</v>
      </c>
      <c r="L313" s="4">
        <f>_xlfn.XLOOKUP(A313,[2]Int_NH!A:A,[2]Int_NH!B:B,"-",0)</f>
        <v>0.140986</v>
      </c>
    </row>
    <row r="314" spans="1:12" x14ac:dyDescent="0.2">
      <c r="A314" t="s">
        <v>188</v>
      </c>
      <c r="B314">
        <v>0.128</v>
      </c>
      <c r="C314">
        <v>8.7400000000000005E-2</v>
      </c>
      <c r="D314">
        <v>195.9271</v>
      </c>
      <c r="E314">
        <v>-24.245200000000001</v>
      </c>
      <c r="F314">
        <v>195.92760000000001</v>
      </c>
      <c r="G314">
        <v>-24.244900000000001</v>
      </c>
      <c r="H314">
        <v>2.1</v>
      </c>
      <c r="I314" t="s">
        <v>327</v>
      </c>
      <c r="J314" t="s">
        <v>328</v>
      </c>
      <c r="K314" t="s">
        <v>565</v>
      </c>
      <c r="L314" s="4">
        <f>_xlfn.XLOOKUP(A314,[2]Int_NH!A:A,[2]Int_NH!B:B,"-",0)</f>
        <v>1.9973100000000001E-2</v>
      </c>
    </row>
    <row r="315" spans="1:12" x14ac:dyDescent="0.2">
      <c r="A315" t="s">
        <v>566</v>
      </c>
      <c r="B315">
        <v>6.3E-2</v>
      </c>
      <c r="C315">
        <v>2.1700000000000001E-2</v>
      </c>
      <c r="D315">
        <v>195.9442</v>
      </c>
      <c r="E315">
        <v>19.270299999999999</v>
      </c>
      <c r="F315">
        <v>195.94450000000001</v>
      </c>
      <c r="G315">
        <v>19.270499999999998</v>
      </c>
      <c r="H315">
        <v>1.4</v>
      </c>
      <c r="I315" t="s">
        <v>327</v>
      </c>
      <c r="J315" t="s">
        <v>328</v>
      </c>
      <c r="K315">
        <v>12877</v>
      </c>
      <c r="L315" s="4">
        <f>_xlfn.XLOOKUP(A315,[2]Int_NH!A:A,[2]Int_NH!B:B,"-",0)</f>
        <v>2.7474800000000001E-2</v>
      </c>
    </row>
    <row r="316" spans="1:12" x14ac:dyDescent="0.2">
      <c r="A316" t="s">
        <v>567</v>
      </c>
      <c r="B316">
        <v>1.03E-2</v>
      </c>
      <c r="C316">
        <v>5.9700000000000003E-2</v>
      </c>
      <c r="D316">
        <v>196.07149999999999</v>
      </c>
      <c r="E316">
        <v>-30.5261</v>
      </c>
      <c r="F316">
        <v>196.07149999999999</v>
      </c>
      <c r="G316">
        <v>-30.5261</v>
      </c>
      <c r="H316">
        <v>0.1</v>
      </c>
      <c r="I316" t="s">
        <v>327</v>
      </c>
      <c r="J316" t="s">
        <v>328</v>
      </c>
      <c r="K316">
        <v>4998</v>
      </c>
      <c r="L316" s="4">
        <f>_xlfn.XLOOKUP(A316,[2]Int_NH!A:A,[2]Int_NH!B:B,"-",0)</f>
        <v>9.7318199999999994E-2</v>
      </c>
    </row>
    <row r="317" spans="1:12" x14ac:dyDescent="0.2">
      <c r="A317" t="s">
        <v>189</v>
      </c>
      <c r="B317">
        <v>0.30499999999999999</v>
      </c>
      <c r="C317">
        <v>0.01</v>
      </c>
      <c r="D317">
        <v>196.4983</v>
      </c>
      <c r="E317">
        <v>26.515699999999999</v>
      </c>
      <c r="F317">
        <v>196.49950000000001</v>
      </c>
      <c r="G317">
        <v>26.5151</v>
      </c>
      <c r="H317">
        <v>4.4000000000000004</v>
      </c>
      <c r="I317" t="s">
        <v>327</v>
      </c>
      <c r="J317" t="s">
        <v>336</v>
      </c>
      <c r="K317">
        <v>14015</v>
      </c>
      <c r="L317" s="4">
        <f>_xlfn.XLOOKUP(A317,[2]Int_NH!A:A,[2]Int_NH!B:B,"-",0)</f>
        <v>2.7578999999999999E-2</v>
      </c>
    </row>
    <row r="318" spans="1:12" x14ac:dyDescent="0.2">
      <c r="A318" t="s">
        <v>568</v>
      </c>
      <c r="B318">
        <v>0.23400000000000001</v>
      </c>
      <c r="C318">
        <v>1.38E-2</v>
      </c>
      <c r="D318">
        <v>196.708</v>
      </c>
      <c r="E318">
        <v>46.559199999999997</v>
      </c>
      <c r="F318">
        <v>196.708</v>
      </c>
      <c r="G318">
        <v>46.559199999999997</v>
      </c>
      <c r="H318">
        <v>0</v>
      </c>
      <c r="I318" t="s">
        <v>327</v>
      </c>
      <c r="J318" t="s">
        <v>336</v>
      </c>
      <c r="K318" t="s">
        <v>569</v>
      </c>
      <c r="L318" s="4">
        <f>_xlfn.XLOOKUP(A318,[2]Int_NH!A:A,[2]Int_NH!B:B,"-",0)</f>
        <v>0</v>
      </c>
    </row>
    <row r="319" spans="1:12" x14ac:dyDescent="0.2">
      <c r="A319" t="s">
        <v>570</v>
      </c>
      <c r="B319">
        <v>0.49399999999999999</v>
      </c>
      <c r="C319">
        <v>2.01E-2</v>
      </c>
      <c r="D319">
        <v>197.7569</v>
      </c>
      <c r="E319">
        <v>-3.1772999999999998</v>
      </c>
      <c r="F319">
        <v>197.7569</v>
      </c>
      <c r="G319">
        <v>-3.1776</v>
      </c>
      <c r="H319">
        <v>1.3</v>
      </c>
      <c r="I319" t="s">
        <v>327</v>
      </c>
      <c r="J319" t="s">
        <v>328</v>
      </c>
      <c r="K319" t="s">
        <v>571</v>
      </c>
      <c r="L319" s="4">
        <f>_xlfn.XLOOKUP(A319,[2]Int_NH!A:A,[2]Int_NH!B:B,"-",0)</f>
        <v>2.2018599999999999E-2</v>
      </c>
    </row>
    <row r="320" spans="1:12" x14ac:dyDescent="0.2">
      <c r="A320" t="s">
        <v>190</v>
      </c>
      <c r="B320">
        <v>0.183</v>
      </c>
      <c r="C320">
        <v>1.8100000000000002E-2</v>
      </c>
      <c r="D320">
        <v>197.87299999999999</v>
      </c>
      <c r="E320">
        <v>-1.3411999999999999</v>
      </c>
      <c r="F320">
        <v>197.8734</v>
      </c>
      <c r="G320">
        <v>-1.3412999999999999</v>
      </c>
      <c r="H320">
        <v>1.3</v>
      </c>
      <c r="I320" t="s">
        <v>327</v>
      </c>
      <c r="J320" t="s">
        <v>328</v>
      </c>
      <c r="K320" t="s">
        <v>572</v>
      </c>
      <c r="L320" s="4">
        <f>_xlfn.XLOOKUP(A320,[2]Int_NH!A:A,[2]Int_NH!B:B,"-",0)</f>
        <v>1.8317300000000002E-2</v>
      </c>
    </row>
    <row r="321" spans="1:12" x14ac:dyDescent="0.2">
      <c r="A321" t="s">
        <v>573</v>
      </c>
      <c r="B321">
        <v>0.40400000000000003</v>
      </c>
      <c r="C321">
        <v>1.17E-2</v>
      </c>
      <c r="D321">
        <v>198.083</v>
      </c>
      <c r="E321">
        <v>39.015300000000003</v>
      </c>
      <c r="F321">
        <v>198.08160000000001</v>
      </c>
      <c r="G321">
        <v>39.014800000000001</v>
      </c>
      <c r="H321">
        <v>4.4000000000000004</v>
      </c>
      <c r="I321" t="s">
        <v>327</v>
      </c>
      <c r="J321" t="s">
        <v>336</v>
      </c>
      <c r="K321">
        <v>5781</v>
      </c>
      <c r="L321" s="4">
        <f>_xlfn.XLOOKUP(A321,[2]Int_NH!A:A,[2]Int_NH!B:B,"-",0)</f>
        <v>0</v>
      </c>
    </row>
    <row r="322" spans="1:12" x14ac:dyDescent="0.2">
      <c r="A322" t="s">
        <v>191</v>
      </c>
      <c r="B322">
        <v>0.29099999999999998</v>
      </c>
      <c r="C322">
        <v>1.2200000000000001E-2</v>
      </c>
      <c r="D322">
        <v>198.76820000000001</v>
      </c>
      <c r="E322">
        <v>51.820099999999996</v>
      </c>
      <c r="F322">
        <v>198.77</v>
      </c>
      <c r="G322">
        <v>51.819299999999998</v>
      </c>
      <c r="H322">
        <v>4.9000000000000004</v>
      </c>
      <c r="I322" t="s">
        <v>327</v>
      </c>
      <c r="J322" t="s">
        <v>328</v>
      </c>
      <c r="K322">
        <v>15123</v>
      </c>
      <c r="L322" s="4">
        <f>_xlfn.XLOOKUP(A322,[2]Int_NH!A:A,[2]Int_NH!B:B,"-",0)</f>
        <v>1.5392599999999999E-2</v>
      </c>
    </row>
    <row r="323" spans="1:12" x14ac:dyDescent="0.2">
      <c r="A323" t="s">
        <v>574</v>
      </c>
      <c r="B323">
        <v>8.9999999999999993E-3</v>
      </c>
      <c r="C323">
        <v>4.9399999999999999E-2</v>
      </c>
      <c r="D323">
        <v>198.84970000000001</v>
      </c>
      <c r="E323">
        <v>-16.385400000000001</v>
      </c>
      <c r="F323">
        <v>198.84979999999999</v>
      </c>
      <c r="G323">
        <v>-16.3855</v>
      </c>
      <c r="H323">
        <v>0.4</v>
      </c>
      <c r="I323" t="s">
        <v>327</v>
      </c>
      <c r="J323" t="s">
        <v>328</v>
      </c>
      <c r="K323">
        <v>9399</v>
      </c>
      <c r="L323" s="4">
        <f>_xlfn.XLOOKUP(A323,[2]Int_NH!A:A,[2]Int_NH!B:B,"-",0)</f>
        <v>0.105237</v>
      </c>
    </row>
    <row r="324" spans="1:12" x14ac:dyDescent="0.2">
      <c r="A324" t="s">
        <v>575</v>
      </c>
      <c r="B324">
        <v>0.32800000000000001</v>
      </c>
      <c r="C324">
        <v>1.49E-2</v>
      </c>
      <c r="D324">
        <v>200.0351</v>
      </c>
      <c r="E324">
        <v>70.077100000000002</v>
      </c>
      <c r="F324">
        <v>200.0351</v>
      </c>
      <c r="G324">
        <v>70.077100000000002</v>
      </c>
      <c r="H324">
        <v>0</v>
      </c>
      <c r="I324" t="s">
        <v>327</v>
      </c>
      <c r="J324" t="s">
        <v>336</v>
      </c>
      <c r="K324">
        <v>3278</v>
      </c>
      <c r="L324" s="4">
        <f>_xlfn.XLOOKUP(A324,[2]Int_NH!A:A,[2]Int_NH!B:B,"-",0)</f>
        <v>3.9612500000000002E-2</v>
      </c>
    </row>
    <row r="325" spans="1:12" x14ac:dyDescent="0.2">
      <c r="A325" t="s">
        <v>576</v>
      </c>
      <c r="B325">
        <v>3.6999999999999998E-2</v>
      </c>
      <c r="C325">
        <v>1.0500000000000001E-2</v>
      </c>
      <c r="D325">
        <v>200.06100000000001</v>
      </c>
      <c r="E325">
        <v>33.143099999999997</v>
      </c>
      <c r="F325">
        <v>200.06100000000001</v>
      </c>
      <c r="G325">
        <v>33.142499999999998</v>
      </c>
      <c r="H325">
        <v>2.2000000000000002</v>
      </c>
      <c r="I325" t="s">
        <v>327</v>
      </c>
      <c r="J325" t="s">
        <v>328</v>
      </c>
      <c r="K325">
        <v>6941</v>
      </c>
      <c r="L325" s="4">
        <f>_xlfn.XLOOKUP(A325,[2]Int_NH!A:A,[2]Int_NH!B:B,"-",0)</f>
        <v>5.8003899999999997E-2</v>
      </c>
    </row>
    <row r="326" spans="1:12" x14ac:dyDescent="0.2">
      <c r="A326" t="s">
        <v>577</v>
      </c>
      <c r="B326">
        <v>2.3E-2</v>
      </c>
      <c r="C326">
        <v>1.7600000000000001E-2</v>
      </c>
      <c r="D326">
        <v>201.04159999999999</v>
      </c>
      <c r="E326">
        <v>13.9755</v>
      </c>
      <c r="F326">
        <v>201.04159999999999</v>
      </c>
      <c r="G326">
        <v>13.9755</v>
      </c>
      <c r="H326">
        <v>0</v>
      </c>
      <c r="I326" t="s">
        <v>327</v>
      </c>
      <c r="J326" t="s">
        <v>328</v>
      </c>
      <c r="K326" t="s">
        <v>578</v>
      </c>
      <c r="L326" s="4">
        <f>_xlfn.XLOOKUP(A326,[2]Int_NH!A:A,[2]Int_NH!B:B,"-",0)</f>
        <v>4.4239199999999999E-2</v>
      </c>
    </row>
    <row r="327" spans="1:12" x14ac:dyDescent="0.2">
      <c r="A327" t="s">
        <v>192</v>
      </c>
      <c r="B327">
        <v>4.5999999999999999E-2</v>
      </c>
      <c r="C327">
        <v>5.33E-2</v>
      </c>
      <c r="D327">
        <v>201.72040000000001</v>
      </c>
      <c r="E327">
        <v>-27.170999999999999</v>
      </c>
      <c r="F327">
        <v>201.70609999999999</v>
      </c>
      <c r="G327">
        <v>-27.163399999999999</v>
      </c>
      <c r="H327">
        <v>53.5</v>
      </c>
      <c r="I327" t="s">
        <v>331</v>
      </c>
      <c r="J327" t="s">
        <v>328</v>
      </c>
      <c r="K327">
        <v>4186</v>
      </c>
      <c r="L327" s="4">
        <f>_xlfn.XLOOKUP(A327,[2]Int_NH!A:A,[2]Int_NH!B:B,"-",0)</f>
        <v>0</v>
      </c>
    </row>
    <row r="328" spans="1:12" x14ac:dyDescent="0.2">
      <c r="A328" t="s">
        <v>579</v>
      </c>
      <c r="B328">
        <v>4.8000000000000001E-2</v>
      </c>
      <c r="C328">
        <v>3.8100000000000002E-2</v>
      </c>
      <c r="D328">
        <v>201.98689999999999</v>
      </c>
      <c r="E328">
        <v>-31.4955</v>
      </c>
      <c r="F328">
        <v>201.98689999999999</v>
      </c>
      <c r="G328">
        <v>-31.4955</v>
      </c>
      <c r="H328">
        <v>0</v>
      </c>
      <c r="I328" t="s">
        <v>327</v>
      </c>
      <c r="J328" t="s">
        <v>328</v>
      </c>
      <c r="K328">
        <v>1646</v>
      </c>
      <c r="L328" s="4">
        <f>_xlfn.XLOOKUP(A328,[2]Int_NH!A:A,[2]Int_NH!B:B,"-",0)</f>
        <v>2.3213299999999999E-3</v>
      </c>
    </row>
    <row r="329" spans="1:12" x14ac:dyDescent="0.2">
      <c r="A329" t="s">
        <v>580</v>
      </c>
      <c r="B329">
        <v>2.29E-2</v>
      </c>
      <c r="C329">
        <v>1.9400000000000001E-2</v>
      </c>
      <c r="D329">
        <v>202.35400000000001</v>
      </c>
      <c r="E329">
        <v>11.762600000000001</v>
      </c>
      <c r="F329">
        <v>202.35400000000001</v>
      </c>
      <c r="G329">
        <v>11.762600000000001</v>
      </c>
      <c r="H329">
        <v>0.1</v>
      </c>
      <c r="I329" t="s">
        <v>327</v>
      </c>
      <c r="J329" t="s">
        <v>328</v>
      </c>
      <c r="K329">
        <v>3216</v>
      </c>
      <c r="L329" s="4">
        <f>_xlfn.XLOOKUP(A329,[2]Int_NH!A:A,[2]Int_NH!B:B,"-",0)</f>
        <v>2.01479E-2</v>
      </c>
    </row>
    <row r="330" spans="1:12" x14ac:dyDescent="0.2">
      <c r="A330" t="s">
        <v>581</v>
      </c>
      <c r="B330">
        <v>0.05</v>
      </c>
      <c r="C330">
        <v>3.78E-2</v>
      </c>
      <c r="D330">
        <v>202.44900000000001</v>
      </c>
      <c r="E330">
        <v>-31.6069</v>
      </c>
      <c r="F330">
        <v>202.44900000000001</v>
      </c>
      <c r="G330">
        <v>-31.6065</v>
      </c>
      <c r="H330">
        <v>1.3</v>
      </c>
      <c r="I330" t="s">
        <v>327</v>
      </c>
      <c r="J330" t="s">
        <v>328</v>
      </c>
      <c r="K330">
        <v>4165</v>
      </c>
      <c r="L330" s="4">
        <f>_xlfn.XLOOKUP(A330,[2]Int_NH!A:A,[2]Int_NH!B:B,"-",0)</f>
        <v>1.2522999999999999E-2</v>
      </c>
    </row>
    <row r="331" spans="1:12" x14ac:dyDescent="0.2">
      <c r="A331" t="s">
        <v>193</v>
      </c>
      <c r="B331">
        <v>9.0999999999999998E-2</v>
      </c>
      <c r="C331">
        <v>2.4E-2</v>
      </c>
      <c r="D331">
        <v>202.53970000000001</v>
      </c>
      <c r="E331">
        <v>-2.0985999999999998</v>
      </c>
      <c r="F331">
        <v>202.54239999999999</v>
      </c>
      <c r="G331">
        <v>-2.1044</v>
      </c>
      <c r="H331">
        <v>22.9</v>
      </c>
      <c r="I331" t="s">
        <v>331</v>
      </c>
      <c r="J331" t="s">
        <v>328</v>
      </c>
      <c r="K331">
        <v>12914</v>
      </c>
      <c r="L331" s="4">
        <f>_xlfn.XLOOKUP(A331,[2]Int_NH!A:A,[2]Int_NH!B:B,"-",0)</f>
        <v>1.2748199999999999E-2</v>
      </c>
    </row>
    <row r="332" spans="1:12" x14ac:dyDescent="0.2">
      <c r="A332" t="s">
        <v>194</v>
      </c>
      <c r="B332">
        <v>6.8000000000000005E-2</v>
      </c>
      <c r="C332">
        <v>2.4E-2</v>
      </c>
      <c r="D332">
        <v>202.7107</v>
      </c>
      <c r="E332">
        <v>-1.8617999999999999</v>
      </c>
      <c r="F332">
        <v>202.70930000000001</v>
      </c>
      <c r="G332">
        <v>-1.8629</v>
      </c>
      <c r="H332">
        <v>6.3</v>
      </c>
      <c r="I332" t="s">
        <v>331</v>
      </c>
      <c r="J332" t="s">
        <v>328</v>
      </c>
      <c r="K332">
        <v>11879</v>
      </c>
      <c r="L332" s="4">
        <f>_xlfn.XLOOKUP(A332,[2]Int_NH!A:A,[2]Int_NH!B:B,"-",0)</f>
        <v>1.51253E-2</v>
      </c>
    </row>
    <row r="333" spans="1:12" x14ac:dyDescent="0.2">
      <c r="A333" t="s">
        <v>582</v>
      </c>
      <c r="B333">
        <v>8.4000000000000005E-2</v>
      </c>
      <c r="C333">
        <v>2.3699999999999999E-2</v>
      </c>
      <c r="D333">
        <v>202.79560000000001</v>
      </c>
      <c r="E333">
        <v>-1.7282</v>
      </c>
      <c r="F333">
        <v>202.79560000000001</v>
      </c>
      <c r="G333">
        <v>-1.7282</v>
      </c>
      <c r="H333">
        <v>0</v>
      </c>
      <c r="I333" t="s">
        <v>327</v>
      </c>
      <c r="J333" t="s">
        <v>328</v>
      </c>
      <c r="K333">
        <v>11878</v>
      </c>
      <c r="L333" s="4">
        <f>_xlfn.XLOOKUP(A333,[2]Int_NH!A:A,[2]Int_NH!B:B,"-",0)</f>
        <v>1.8249499999999998E-2</v>
      </c>
    </row>
    <row r="334" spans="1:12" x14ac:dyDescent="0.2">
      <c r="A334" t="s">
        <v>195</v>
      </c>
      <c r="B334">
        <v>7.9000000000000001E-2</v>
      </c>
      <c r="C334">
        <v>1.9400000000000001E-2</v>
      </c>
      <c r="D334">
        <v>202.8734</v>
      </c>
      <c r="E334">
        <v>11.1325</v>
      </c>
      <c r="F334">
        <v>202.87370000000001</v>
      </c>
      <c r="G334">
        <v>11.1319</v>
      </c>
      <c r="H334">
        <v>2.2000000000000002</v>
      </c>
      <c r="I334" t="s">
        <v>327</v>
      </c>
      <c r="J334" t="s">
        <v>336</v>
      </c>
      <c r="K334">
        <v>3213</v>
      </c>
      <c r="L334" s="4">
        <f>_xlfn.XLOOKUP(A334,[2]Int_NH!A:A,[2]Int_NH!B:B,"-",0)</f>
        <v>0.12700800000000001</v>
      </c>
    </row>
    <row r="335" spans="1:12" x14ac:dyDescent="0.2">
      <c r="A335" t="s">
        <v>196</v>
      </c>
      <c r="B335">
        <v>4.8000000000000001E-2</v>
      </c>
      <c r="C335">
        <v>3.8600000000000002E-2</v>
      </c>
      <c r="D335">
        <v>202.88079999999999</v>
      </c>
      <c r="E335">
        <v>-31.8245</v>
      </c>
      <c r="F335">
        <v>202.86500000000001</v>
      </c>
      <c r="G335">
        <v>-31.821300000000001</v>
      </c>
      <c r="H335">
        <v>49.6</v>
      </c>
      <c r="I335" t="s">
        <v>331</v>
      </c>
      <c r="J335" t="s">
        <v>328</v>
      </c>
      <c r="K335">
        <v>4166</v>
      </c>
      <c r="L335" s="4">
        <f>_xlfn.XLOOKUP(A335,[2]Int_NH!A:A,[2]Int_NH!B:B,"-",0)</f>
        <v>0</v>
      </c>
    </row>
    <row r="336" spans="1:12" x14ac:dyDescent="0.2">
      <c r="A336" t="s">
        <v>583</v>
      </c>
      <c r="B336">
        <v>4.8899999999999999E-2</v>
      </c>
      <c r="C336">
        <v>4.0899999999999999E-2</v>
      </c>
      <c r="D336">
        <v>203.1071</v>
      </c>
      <c r="E336">
        <v>-33.136000000000003</v>
      </c>
      <c r="F336">
        <v>203.1071</v>
      </c>
      <c r="G336">
        <v>-33.136000000000003</v>
      </c>
      <c r="H336">
        <v>0.1</v>
      </c>
      <c r="I336" t="s">
        <v>327</v>
      </c>
      <c r="J336" t="s">
        <v>328</v>
      </c>
      <c r="K336">
        <v>12883</v>
      </c>
      <c r="L336" s="4">
        <f>_xlfn.XLOOKUP(A336,[2]Int_NH!A:A,[2]Int_NH!B:B,"-",0)</f>
        <v>0</v>
      </c>
    </row>
    <row r="337" spans="1:12" x14ac:dyDescent="0.2">
      <c r="A337" t="s">
        <v>584</v>
      </c>
      <c r="B337">
        <v>0.27900000000000003</v>
      </c>
      <c r="C337">
        <v>1.06E-2</v>
      </c>
      <c r="D337">
        <v>203.20169999999999</v>
      </c>
      <c r="E337">
        <v>50.542400000000001</v>
      </c>
      <c r="F337">
        <v>203.20169999999999</v>
      </c>
      <c r="G337">
        <v>50.542400000000001</v>
      </c>
      <c r="H337">
        <v>0.1</v>
      </c>
      <c r="I337" t="s">
        <v>327</v>
      </c>
      <c r="J337" t="s">
        <v>328</v>
      </c>
      <c r="K337" t="s">
        <v>585</v>
      </c>
      <c r="L337" s="4">
        <f>_xlfn.XLOOKUP(A337,[2]Int_NH!A:A,[2]Int_NH!B:B,"-",0)</f>
        <v>1.34593E-2</v>
      </c>
    </row>
    <row r="338" spans="1:12" x14ac:dyDescent="0.2">
      <c r="A338" t="s">
        <v>197</v>
      </c>
      <c r="B338">
        <v>4.9000000000000002E-2</v>
      </c>
      <c r="C338">
        <v>3.8199999999999998E-2</v>
      </c>
      <c r="D338">
        <v>203.40549999999999</v>
      </c>
      <c r="E338">
        <v>-31.671600000000002</v>
      </c>
      <c r="F338">
        <v>203.4075</v>
      </c>
      <c r="G338">
        <v>-31.67</v>
      </c>
      <c r="H338">
        <v>8.4</v>
      </c>
      <c r="I338" t="s">
        <v>331</v>
      </c>
      <c r="J338" t="s">
        <v>328</v>
      </c>
      <c r="K338">
        <v>4167</v>
      </c>
      <c r="L338" s="4">
        <f>_xlfn.XLOOKUP(A338,[2]Int_NH!A:A,[2]Int_NH!B:B,"-",0)</f>
        <v>7.9686099999999992E-3</v>
      </c>
    </row>
    <row r="339" spans="1:12" x14ac:dyDescent="0.2">
      <c r="A339" t="s">
        <v>198</v>
      </c>
      <c r="B339">
        <v>0.223</v>
      </c>
      <c r="C339">
        <v>8.9999999999999993E-3</v>
      </c>
      <c r="D339">
        <v>203.83330000000001</v>
      </c>
      <c r="E339">
        <v>41.000500000000002</v>
      </c>
      <c r="F339">
        <v>203.82480000000001</v>
      </c>
      <c r="G339">
        <v>40.998800000000003</v>
      </c>
      <c r="H339">
        <v>23.7</v>
      </c>
      <c r="I339" t="s">
        <v>331</v>
      </c>
      <c r="J339" t="s">
        <v>328</v>
      </c>
      <c r="K339">
        <v>3591</v>
      </c>
      <c r="L339" s="4">
        <f>_xlfn.XLOOKUP(A339,[2]Int_NH!A:A,[2]Int_NH!B:B,"-",0)</f>
        <v>2.6508E-2</v>
      </c>
    </row>
    <row r="340" spans="1:12" x14ac:dyDescent="0.2">
      <c r="A340" t="s">
        <v>586</v>
      </c>
      <c r="B340">
        <v>7.0000000000000007E-2</v>
      </c>
      <c r="C340">
        <v>1.84E-2</v>
      </c>
      <c r="D340">
        <v>204.0343</v>
      </c>
      <c r="E340">
        <v>59.205500000000001</v>
      </c>
      <c r="F340">
        <v>204.03270000000001</v>
      </c>
      <c r="G340">
        <v>59.2044</v>
      </c>
      <c r="H340">
        <v>4.9000000000000004</v>
      </c>
      <c r="I340" t="s">
        <v>327</v>
      </c>
      <c r="J340" t="s">
        <v>328</v>
      </c>
      <c r="K340">
        <v>12282</v>
      </c>
      <c r="L340" s="4">
        <f>_xlfn.XLOOKUP(A340,[2]Int_NH!A:A,[2]Int_NH!B:B,"-",0)</f>
        <v>3.5672200000000001E-2</v>
      </c>
    </row>
    <row r="341" spans="1:12" x14ac:dyDescent="0.2">
      <c r="A341" t="s">
        <v>587</v>
      </c>
      <c r="B341">
        <v>0.17100000000000001</v>
      </c>
      <c r="C341">
        <v>8.0000000000000002E-3</v>
      </c>
      <c r="D341">
        <v>205.13650000000001</v>
      </c>
      <c r="E341">
        <v>40.294199999999996</v>
      </c>
      <c r="F341">
        <v>205.13650000000001</v>
      </c>
      <c r="G341">
        <v>40.294199999999996</v>
      </c>
      <c r="H341">
        <v>0</v>
      </c>
      <c r="I341" t="s">
        <v>327</v>
      </c>
      <c r="J341" t="s">
        <v>336</v>
      </c>
      <c r="K341">
        <v>3223</v>
      </c>
      <c r="L341" s="4">
        <f>_xlfn.XLOOKUP(A341,[2]Int_NH!A:A,[2]Int_NH!B:B,"-",0)</f>
        <v>1.6529599999999998E-2</v>
      </c>
    </row>
    <row r="342" spans="1:12" x14ac:dyDescent="0.2">
      <c r="A342" t="s">
        <v>588</v>
      </c>
      <c r="B342">
        <v>7.1999999999999995E-2</v>
      </c>
      <c r="C342">
        <v>1.03E-2</v>
      </c>
      <c r="D342">
        <v>205.45169999999999</v>
      </c>
      <c r="E342">
        <v>26.370899999999999</v>
      </c>
      <c r="F342">
        <v>205.45269999999999</v>
      </c>
      <c r="G342">
        <v>26.372199999999999</v>
      </c>
      <c r="H342">
        <v>5.7</v>
      </c>
      <c r="I342" t="s">
        <v>331</v>
      </c>
      <c r="J342" t="s">
        <v>328</v>
      </c>
      <c r="K342" t="s">
        <v>589</v>
      </c>
      <c r="L342" s="4">
        <f>_xlfn.XLOOKUP(A342,[2]Int_NH!A:A,[2]Int_NH!B:B,"-",0)</f>
        <v>1.13081E-2</v>
      </c>
    </row>
    <row r="343" spans="1:12" x14ac:dyDescent="0.2">
      <c r="A343" t="s">
        <v>590</v>
      </c>
      <c r="B343">
        <v>3.9100000000000003E-2</v>
      </c>
      <c r="C343">
        <v>4.1099999999999998E-2</v>
      </c>
      <c r="D343">
        <v>206.86850000000001</v>
      </c>
      <c r="E343">
        <v>-32.864600000000003</v>
      </c>
      <c r="F343">
        <v>206.86850000000001</v>
      </c>
      <c r="G343">
        <v>-32.864600000000003</v>
      </c>
      <c r="H343">
        <v>0.1</v>
      </c>
      <c r="I343" t="s">
        <v>327</v>
      </c>
      <c r="J343" t="s">
        <v>328</v>
      </c>
      <c r="K343">
        <v>4203</v>
      </c>
      <c r="L343" s="4">
        <f>_xlfn.XLOOKUP(A343,[2]Int_NH!A:A,[2]Int_NH!B:B,"-",0)</f>
        <v>9.2216199999999998E-3</v>
      </c>
    </row>
    <row r="344" spans="1:12" x14ac:dyDescent="0.2">
      <c r="A344" t="s">
        <v>199</v>
      </c>
      <c r="B344">
        <v>0.45100000000000001</v>
      </c>
      <c r="C344">
        <v>4.9000000000000002E-2</v>
      </c>
      <c r="D344">
        <v>206.8776</v>
      </c>
      <c r="E344">
        <v>-11.7524</v>
      </c>
      <c r="F344">
        <v>206.8775</v>
      </c>
      <c r="G344">
        <v>-11.752800000000001</v>
      </c>
      <c r="H344">
        <v>1.6</v>
      </c>
      <c r="I344" t="s">
        <v>327</v>
      </c>
      <c r="J344" t="s">
        <v>328</v>
      </c>
      <c r="K344" t="s">
        <v>591</v>
      </c>
      <c r="L344" s="4">
        <f>_xlfn.XLOOKUP(A344,[2]Int_NH!A:A,[2]Int_NH!B:B,"-",0)</f>
        <v>1.13299E-2</v>
      </c>
    </row>
    <row r="345" spans="1:12" x14ac:dyDescent="0.2">
      <c r="A345" t="s">
        <v>592</v>
      </c>
      <c r="B345">
        <v>6.25E-2</v>
      </c>
      <c r="C345">
        <v>1.17E-2</v>
      </c>
      <c r="D345">
        <v>207.22</v>
      </c>
      <c r="E345">
        <v>26.5899</v>
      </c>
      <c r="F345">
        <v>207.22</v>
      </c>
      <c r="G345">
        <v>26.5899</v>
      </c>
      <c r="H345">
        <v>0.1</v>
      </c>
      <c r="I345" t="s">
        <v>327</v>
      </c>
      <c r="J345" t="s">
        <v>328</v>
      </c>
      <c r="K345" t="s">
        <v>593</v>
      </c>
      <c r="L345" s="4">
        <f>_xlfn.XLOOKUP(A345,[2]Int_NH!A:A,[2]Int_NH!B:B,"-",0)</f>
        <v>1.3018399999999999E-2</v>
      </c>
    </row>
    <row r="346" spans="1:12" x14ac:dyDescent="0.2">
      <c r="A346" t="s">
        <v>200</v>
      </c>
      <c r="B346">
        <v>0.16200000000000001</v>
      </c>
      <c r="C346">
        <v>1.1900000000000001E-2</v>
      </c>
      <c r="D346">
        <v>207.2526</v>
      </c>
      <c r="E346">
        <v>49.311500000000002</v>
      </c>
      <c r="F346">
        <v>207.25299999999999</v>
      </c>
      <c r="G346">
        <v>49.312600000000003</v>
      </c>
      <c r="H346">
        <v>4.0999999999999996</v>
      </c>
      <c r="I346" t="s">
        <v>327</v>
      </c>
      <c r="J346" t="s">
        <v>336</v>
      </c>
      <c r="K346">
        <v>9396</v>
      </c>
      <c r="L346" s="4">
        <f>_xlfn.XLOOKUP(A346,[2]Int_NH!A:A,[2]Int_NH!B:B,"-",0)</f>
        <v>0</v>
      </c>
    </row>
    <row r="347" spans="1:12" x14ac:dyDescent="0.2">
      <c r="A347" t="s">
        <v>594</v>
      </c>
      <c r="B347">
        <v>0.54600000000000004</v>
      </c>
      <c r="C347">
        <v>3.4700000000000002E-2</v>
      </c>
      <c r="D347">
        <v>208.572</v>
      </c>
      <c r="E347">
        <v>-2.3673999999999999</v>
      </c>
      <c r="F347">
        <v>208.572</v>
      </c>
      <c r="G347">
        <v>-2.3673999999999999</v>
      </c>
      <c r="H347">
        <v>0</v>
      </c>
      <c r="I347" t="s">
        <v>327</v>
      </c>
      <c r="J347" t="s">
        <v>336</v>
      </c>
      <c r="K347" t="s">
        <v>595</v>
      </c>
      <c r="L347" s="4">
        <f>_xlfn.XLOOKUP(A347,[2]Int_NH!A:A,[2]Int_NH!B:B,"-",0)</f>
        <v>6.5872400000000003E-3</v>
      </c>
    </row>
    <row r="348" spans="1:12" x14ac:dyDescent="0.2">
      <c r="A348" t="s">
        <v>596</v>
      </c>
      <c r="B348">
        <v>0.39700000000000002</v>
      </c>
      <c r="C348">
        <v>2.8299999999999999E-2</v>
      </c>
      <c r="D348">
        <v>208.6858</v>
      </c>
      <c r="E348">
        <v>77.255099999999999</v>
      </c>
      <c r="F348">
        <v>208.6858</v>
      </c>
      <c r="G348">
        <v>77.255099999999999</v>
      </c>
      <c r="H348">
        <v>0</v>
      </c>
      <c r="I348" t="s">
        <v>327</v>
      </c>
      <c r="J348" t="s">
        <v>336</v>
      </c>
      <c r="K348">
        <v>11754</v>
      </c>
      <c r="L348" s="4">
        <f>_xlfn.XLOOKUP(A348,[2]Int_NH!A:A,[2]Int_NH!B:B,"-",0)</f>
        <v>2.4578800000000001E-2</v>
      </c>
    </row>
    <row r="349" spans="1:12" x14ac:dyDescent="0.2">
      <c r="A349" t="s">
        <v>201</v>
      </c>
      <c r="B349">
        <v>0.56299999999999994</v>
      </c>
      <c r="C349">
        <v>1.9199999999999998E-2</v>
      </c>
      <c r="D349">
        <v>209.31950000000001</v>
      </c>
      <c r="E349">
        <v>62.547199999999997</v>
      </c>
      <c r="F349">
        <v>209.31829999999999</v>
      </c>
      <c r="G349">
        <v>62.547800000000002</v>
      </c>
      <c r="H349">
        <v>2.8</v>
      </c>
      <c r="I349" t="s">
        <v>327</v>
      </c>
      <c r="J349" t="s">
        <v>336</v>
      </c>
      <c r="K349" t="s">
        <v>597</v>
      </c>
      <c r="L349" s="4">
        <f>_xlfn.XLOOKUP(A349,[2]Int_NH!A:A,[2]Int_NH!B:B,"-",0)</f>
        <v>1.1099400000000001E-2</v>
      </c>
    </row>
    <row r="350" spans="1:12" x14ac:dyDescent="0.2">
      <c r="A350" t="s">
        <v>598</v>
      </c>
      <c r="B350">
        <v>0.44700000000000001</v>
      </c>
      <c r="C350">
        <v>6.6400000000000001E-2</v>
      </c>
      <c r="D350">
        <v>209.79259999999999</v>
      </c>
      <c r="E350">
        <v>-19.490300000000001</v>
      </c>
      <c r="F350">
        <v>209.79259999999999</v>
      </c>
      <c r="G350">
        <v>-19.490300000000001</v>
      </c>
      <c r="H350">
        <v>0</v>
      </c>
      <c r="I350" t="s">
        <v>327</v>
      </c>
      <c r="J350" t="s">
        <v>328</v>
      </c>
      <c r="K350">
        <v>9378</v>
      </c>
      <c r="L350" s="4">
        <f>_xlfn.XLOOKUP(A350,[2]Int_NH!A:A,[2]Int_NH!B:B,"-",0)</f>
        <v>4.2491300000000003E-2</v>
      </c>
    </row>
    <row r="351" spans="1:12" x14ac:dyDescent="0.2">
      <c r="A351" t="s">
        <v>202</v>
      </c>
      <c r="B351">
        <v>6.0999999999999999E-2</v>
      </c>
      <c r="C351">
        <v>1.34E-2</v>
      </c>
      <c r="D351">
        <v>209.81559999999999</v>
      </c>
      <c r="E351">
        <v>27.975300000000001</v>
      </c>
      <c r="F351">
        <v>209.8159</v>
      </c>
      <c r="G351">
        <v>27.9756</v>
      </c>
      <c r="H351">
        <v>1.4</v>
      </c>
      <c r="I351" t="s">
        <v>327</v>
      </c>
      <c r="J351" t="s">
        <v>328</v>
      </c>
      <c r="K351">
        <v>12283</v>
      </c>
      <c r="L351" s="4">
        <f>_xlfn.XLOOKUP(A351,[2]Int_NH!A:A,[2]Int_NH!B:B,"-",0)</f>
        <v>9.1871799999999997E-3</v>
      </c>
    </row>
    <row r="352" spans="1:12" x14ac:dyDescent="0.2">
      <c r="A352" t="s">
        <v>599</v>
      </c>
      <c r="B352">
        <v>0.32200000000000001</v>
      </c>
      <c r="C352">
        <v>1.9300000000000001E-2</v>
      </c>
      <c r="D352">
        <v>209.96090000000001</v>
      </c>
      <c r="E352">
        <v>62.518000000000001</v>
      </c>
      <c r="F352">
        <v>209.9605</v>
      </c>
      <c r="G352">
        <v>62.517899999999997</v>
      </c>
      <c r="H352">
        <v>0.7</v>
      </c>
      <c r="I352" t="s">
        <v>327</v>
      </c>
      <c r="J352" t="s">
        <v>328</v>
      </c>
      <c r="K352">
        <v>516</v>
      </c>
      <c r="L352" s="4">
        <f>_xlfn.XLOOKUP(A352,[2]Int_NH!A:A,[2]Int_NH!B:B,"-",0)</f>
        <v>1.70311E-2</v>
      </c>
    </row>
    <row r="353" spans="1:12" x14ac:dyDescent="0.2">
      <c r="A353" t="s">
        <v>203</v>
      </c>
      <c r="B353">
        <v>0.253</v>
      </c>
      <c r="C353">
        <v>2.2800000000000001E-2</v>
      </c>
      <c r="D353">
        <v>210.25810000000001</v>
      </c>
      <c r="E353">
        <v>2.8788999999999998</v>
      </c>
      <c r="F353">
        <v>210.25810000000001</v>
      </c>
      <c r="G353">
        <v>2.8786999999999998</v>
      </c>
      <c r="H353">
        <v>0.7</v>
      </c>
      <c r="I353" t="s">
        <v>327</v>
      </c>
      <c r="J353" t="s">
        <v>328</v>
      </c>
      <c r="K353" t="s">
        <v>600</v>
      </c>
      <c r="L353" s="4">
        <f>_xlfn.XLOOKUP(A353,[2]Int_NH!A:A,[2]Int_NH!B:B,"-",0)</f>
        <v>1.3482900000000001E-2</v>
      </c>
    </row>
    <row r="354" spans="1:12" x14ac:dyDescent="0.2">
      <c r="A354" t="s">
        <v>601</v>
      </c>
      <c r="B354">
        <v>1.38E-2</v>
      </c>
      <c r="C354">
        <v>5.5399999999999998E-2</v>
      </c>
      <c r="D354">
        <v>210.9117</v>
      </c>
      <c r="E354">
        <v>-33.978099999999998</v>
      </c>
      <c r="F354">
        <v>210.9117</v>
      </c>
      <c r="G354">
        <v>-33.978099999999998</v>
      </c>
      <c r="H354">
        <v>0.2</v>
      </c>
      <c r="I354" t="s">
        <v>327</v>
      </c>
      <c r="J354" t="s">
        <v>328</v>
      </c>
      <c r="K354">
        <v>5000</v>
      </c>
      <c r="L354" s="4">
        <f>_xlfn.XLOOKUP(A354,[2]Int_NH!A:A,[2]Int_NH!B:B,"-",0)</f>
        <v>0</v>
      </c>
    </row>
    <row r="355" spans="1:12" x14ac:dyDescent="0.2">
      <c r="A355" t="s">
        <v>602</v>
      </c>
      <c r="B355">
        <v>1.38E-2</v>
      </c>
      <c r="C355">
        <v>5.5500000000000001E-2</v>
      </c>
      <c r="D355">
        <v>210.9119</v>
      </c>
      <c r="E355">
        <v>-33.978299999999997</v>
      </c>
      <c r="F355">
        <v>210.9119</v>
      </c>
      <c r="G355">
        <v>-33.978299999999997</v>
      </c>
      <c r="H355">
        <v>0.1</v>
      </c>
      <c r="I355" t="s">
        <v>327</v>
      </c>
      <c r="J355" t="s">
        <v>328</v>
      </c>
      <c r="K355">
        <v>4999</v>
      </c>
      <c r="L355" s="4">
        <f>_xlfn.XLOOKUP(A355,[2]Int_NH!A:A,[2]Int_NH!B:B,"-",0)</f>
        <v>0</v>
      </c>
    </row>
    <row r="356" spans="1:12" x14ac:dyDescent="0.2">
      <c r="A356" t="s">
        <v>603</v>
      </c>
      <c r="B356">
        <v>2.3E-2</v>
      </c>
      <c r="C356">
        <v>4.2599999999999999E-2</v>
      </c>
      <c r="D356">
        <v>211.8741</v>
      </c>
      <c r="E356">
        <v>-27.0183</v>
      </c>
      <c r="F356">
        <v>211.8741</v>
      </c>
      <c r="G356">
        <v>-27.0183</v>
      </c>
      <c r="H356">
        <v>0.1</v>
      </c>
      <c r="I356" t="s">
        <v>327</v>
      </c>
      <c r="J356" t="s">
        <v>328</v>
      </c>
      <c r="K356">
        <v>12884</v>
      </c>
      <c r="L356" s="4">
        <f>_xlfn.XLOOKUP(A356,[2]Int_NH!A:A,[2]Int_NH!B:B,"-",0)</f>
        <v>2.9011499999999999E-2</v>
      </c>
    </row>
    <row r="357" spans="1:12" x14ac:dyDescent="0.2">
      <c r="A357" t="s">
        <v>604</v>
      </c>
      <c r="B357">
        <v>0.46400000000000002</v>
      </c>
      <c r="C357">
        <v>1.34E-2</v>
      </c>
      <c r="D357">
        <v>212.83500000000001</v>
      </c>
      <c r="E357">
        <v>52.2029</v>
      </c>
      <c r="F357">
        <v>212.83449999999999</v>
      </c>
      <c r="G357">
        <v>52.2029</v>
      </c>
      <c r="H357">
        <v>1.2</v>
      </c>
      <c r="I357" t="s">
        <v>327</v>
      </c>
      <c r="J357" t="s">
        <v>336</v>
      </c>
      <c r="K357">
        <v>578</v>
      </c>
      <c r="L357" s="4">
        <f>_xlfn.XLOOKUP(A357,[2]Int_NH!A:A,[2]Int_NH!B:B,"-",0)</f>
        <v>0.108241</v>
      </c>
    </row>
    <row r="358" spans="1:12" x14ac:dyDescent="0.2">
      <c r="A358" t="s">
        <v>605</v>
      </c>
      <c r="B358">
        <v>0.22600000000000001</v>
      </c>
      <c r="C358">
        <v>2.0799999999999999E-2</v>
      </c>
      <c r="D358">
        <v>213.4699</v>
      </c>
      <c r="E358">
        <v>71.300899999999999</v>
      </c>
      <c r="F358">
        <v>213.4699</v>
      </c>
      <c r="G358">
        <v>71.300899999999999</v>
      </c>
      <c r="H358">
        <v>0</v>
      </c>
      <c r="I358" t="s">
        <v>327</v>
      </c>
      <c r="J358" t="s">
        <v>336</v>
      </c>
      <c r="K358">
        <v>15129</v>
      </c>
      <c r="L358" s="4">
        <f>_xlfn.XLOOKUP(A358,[2]Int_NH!A:A,[2]Int_NH!B:B,"-",0)</f>
        <v>1.48183E-2</v>
      </c>
    </row>
    <row r="359" spans="1:12" x14ac:dyDescent="0.2">
      <c r="A359" t="s">
        <v>204</v>
      </c>
      <c r="B359">
        <v>0.14099999999999999</v>
      </c>
      <c r="C359">
        <v>3.2300000000000002E-2</v>
      </c>
      <c r="D359">
        <v>213.77850000000001</v>
      </c>
      <c r="E359">
        <v>-0.49199999999999999</v>
      </c>
      <c r="F359">
        <v>213.78479999999999</v>
      </c>
      <c r="G359">
        <v>-0.49309999999999998</v>
      </c>
      <c r="H359">
        <v>23</v>
      </c>
      <c r="I359" t="s">
        <v>331</v>
      </c>
      <c r="J359" t="s">
        <v>328</v>
      </c>
      <c r="K359" t="s">
        <v>606</v>
      </c>
      <c r="L359" s="4">
        <f>_xlfn.XLOOKUP(A359,[2]Int_NH!A:A,[2]Int_NH!B:B,"-",0)</f>
        <v>8.6341899999999999E-3</v>
      </c>
    </row>
    <row r="360" spans="1:12" x14ac:dyDescent="0.2">
      <c r="A360" t="s">
        <v>205</v>
      </c>
      <c r="B360">
        <v>1.03</v>
      </c>
      <c r="C360">
        <v>1.0999999999999999E-2</v>
      </c>
      <c r="D360">
        <v>213.7954</v>
      </c>
      <c r="E360">
        <v>36.202199999999998</v>
      </c>
      <c r="F360">
        <v>213.7954</v>
      </c>
      <c r="G360">
        <v>36.202199999999998</v>
      </c>
      <c r="H360">
        <v>0</v>
      </c>
      <c r="I360" t="s">
        <v>327</v>
      </c>
      <c r="J360" t="s">
        <v>328</v>
      </c>
      <c r="K360" t="s">
        <v>607</v>
      </c>
      <c r="L360" s="4">
        <f>_xlfn.XLOOKUP(A360,[2]Int_NH!A:A,[2]Int_NH!B:B,"-",0)</f>
        <v>1.7264499999999999E-2</v>
      </c>
    </row>
    <row r="361" spans="1:12" x14ac:dyDescent="0.2">
      <c r="A361" t="s">
        <v>206</v>
      </c>
      <c r="B361">
        <v>0.38600000000000001</v>
      </c>
      <c r="C361">
        <v>1.24E-2</v>
      </c>
      <c r="D361">
        <v>214.11609999999999</v>
      </c>
      <c r="E361">
        <v>44.779200000000003</v>
      </c>
      <c r="F361">
        <v>214.1164</v>
      </c>
      <c r="G361">
        <v>44.780099999999997</v>
      </c>
      <c r="H361">
        <v>3.1</v>
      </c>
      <c r="I361" t="s">
        <v>327</v>
      </c>
      <c r="J361" t="s">
        <v>328</v>
      </c>
      <c r="K361">
        <v>541</v>
      </c>
      <c r="L361" s="4">
        <f>_xlfn.XLOOKUP(A361,[2]Int_NH!A:A,[2]Int_NH!B:B,"-",0)</f>
        <v>0</v>
      </c>
    </row>
    <row r="362" spans="1:12" x14ac:dyDescent="0.2">
      <c r="A362" t="s">
        <v>608</v>
      </c>
      <c r="B362">
        <v>0.67</v>
      </c>
      <c r="C362">
        <v>6.5000000000000002E-2</v>
      </c>
      <c r="D362">
        <v>215.11799999999999</v>
      </c>
      <c r="E362">
        <v>-11.570499999999999</v>
      </c>
      <c r="F362">
        <v>215.11969999999999</v>
      </c>
      <c r="G362">
        <v>-11.5707</v>
      </c>
      <c r="H362">
        <v>6</v>
      </c>
      <c r="I362" t="s">
        <v>331</v>
      </c>
      <c r="J362" t="s">
        <v>336</v>
      </c>
      <c r="K362">
        <v>5824</v>
      </c>
      <c r="L362" s="4">
        <f>_xlfn.XLOOKUP(A362,[2]Int_NH!A:A,[2]Int_NH!B:B,"-",0)</f>
        <v>8.6392699999999992E-3</v>
      </c>
    </row>
    <row r="363" spans="1:12" x14ac:dyDescent="0.2">
      <c r="A363" t="s">
        <v>207</v>
      </c>
      <c r="B363">
        <v>0.54300000000000004</v>
      </c>
      <c r="C363">
        <v>2.4899999999999999E-2</v>
      </c>
      <c r="D363">
        <v>215.9495</v>
      </c>
      <c r="E363">
        <v>24.078499999999998</v>
      </c>
      <c r="F363">
        <v>215.94900000000001</v>
      </c>
      <c r="G363">
        <v>24.0779</v>
      </c>
      <c r="H363">
        <v>2.9</v>
      </c>
      <c r="I363" t="s">
        <v>327</v>
      </c>
      <c r="J363" t="s">
        <v>328</v>
      </c>
      <c r="K363">
        <v>4195</v>
      </c>
      <c r="L363" s="4">
        <f>_xlfn.XLOOKUP(A363,[2]Int_NH!A:A,[2]Int_NH!B:B,"-",0)</f>
        <v>2.9505800000000001E-4</v>
      </c>
    </row>
    <row r="364" spans="1:12" x14ac:dyDescent="0.2">
      <c r="A364" t="s">
        <v>208</v>
      </c>
      <c r="B364">
        <v>0.17100000000000001</v>
      </c>
      <c r="C364">
        <v>9.4999999999999998E-3</v>
      </c>
      <c r="D364">
        <v>216.51320000000001</v>
      </c>
      <c r="E364">
        <v>37.823799999999999</v>
      </c>
      <c r="F364">
        <v>216.5128</v>
      </c>
      <c r="G364">
        <v>37.824399999999997</v>
      </c>
      <c r="H364">
        <v>2.6</v>
      </c>
      <c r="I364" t="s">
        <v>327</v>
      </c>
      <c r="J364" t="s">
        <v>328</v>
      </c>
      <c r="K364">
        <v>3593</v>
      </c>
      <c r="L364" s="4">
        <f>_xlfn.XLOOKUP(A364,[2]Int_NH!A:A,[2]Int_NH!B:B,"-",0)</f>
        <v>2.2865900000000002E-2</v>
      </c>
    </row>
    <row r="365" spans="1:12" x14ac:dyDescent="0.2">
      <c r="A365" t="s">
        <v>209</v>
      </c>
      <c r="B365">
        <v>0.498</v>
      </c>
      <c r="C365">
        <v>1.3899999999999999E-2</v>
      </c>
      <c r="D365">
        <v>216.81720000000001</v>
      </c>
      <c r="E365">
        <v>44.1252</v>
      </c>
      <c r="F365">
        <v>216.81720000000001</v>
      </c>
      <c r="G365">
        <v>44.127099999999999</v>
      </c>
      <c r="H365">
        <v>6.9</v>
      </c>
      <c r="I365" t="s">
        <v>331</v>
      </c>
      <c r="J365" t="s">
        <v>328</v>
      </c>
      <c r="K365" t="s">
        <v>609</v>
      </c>
      <c r="L365" s="4">
        <f>_xlfn.XLOOKUP(A365,[2]Int_NH!A:A,[2]Int_NH!B:B,"-",0)</f>
        <v>0</v>
      </c>
    </row>
    <row r="366" spans="1:12" x14ac:dyDescent="0.2">
      <c r="A366" t="s">
        <v>210</v>
      </c>
      <c r="B366">
        <v>0.318</v>
      </c>
      <c r="C366">
        <v>6.0900000000000003E-2</v>
      </c>
      <c r="D366">
        <v>216.9144</v>
      </c>
      <c r="E366">
        <v>-25.3508</v>
      </c>
      <c r="F366">
        <v>216.9177</v>
      </c>
      <c r="G366">
        <v>-25.354099999999999</v>
      </c>
      <c r="H366">
        <v>16</v>
      </c>
      <c r="I366" t="s">
        <v>331</v>
      </c>
      <c r="J366" t="s">
        <v>328</v>
      </c>
      <c r="K366" t="s">
        <v>610</v>
      </c>
      <c r="L366" s="4">
        <f>_xlfn.XLOOKUP(A366,[2]Int_NH!A:A,[2]Int_NH!B:B,"-",0)</f>
        <v>0</v>
      </c>
    </row>
    <row r="367" spans="1:12" x14ac:dyDescent="0.2">
      <c r="A367" t="s">
        <v>211</v>
      </c>
      <c r="B367">
        <v>0.13100000000000001</v>
      </c>
      <c r="C367">
        <v>1.1299999999999999E-2</v>
      </c>
      <c r="D367">
        <v>218.15819999999999</v>
      </c>
      <c r="E367">
        <v>31.647099999999998</v>
      </c>
      <c r="F367">
        <v>218.15790000000001</v>
      </c>
      <c r="G367">
        <v>31.6479</v>
      </c>
      <c r="H367">
        <v>3.1</v>
      </c>
      <c r="I367" t="s">
        <v>327</v>
      </c>
      <c r="J367" t="s">
        <v>328</v>
      </c>
      <c r="K367">
        <v>11733</v>
      </c>
      <c r="L367" s="4">
        <f>_xlfn.XLOOKUP(A367,[2]Int_NH!A:A,[2]Int_NH!B:B,"-",0)</f>
        <v>1.76896E-2</v>
      </c>
    </row>
    <row r="368" spans="1:12" x14ac:dyDescent="0.2">
      <c r="A368" t="s">
        <v>212</v>
      </c>
      <c r="B368">
        <v>0.224</v>
      </c>
      <c r="C368">
        <v>2.6100000000000002E-2</v>
      </c>
      <c r="D368">
        <v>219.5915</v>
      </c>
      <c r="E368">
        <v>3.6701999999999999</v>
      </c>
      <c r="F368">
        <v>219.59119999999999</v>
      </c>
      <c r="G368">
        <v>3.6703000000000001</v>
      </c>
      <c r="H368">
        <v>1.1000000000000001</v>
      </c>
      <c r="I368" t="s">
        <v>327</v>
      </c>
      <c r="J368" t="s">
        <v>328</v>
      </c>
      <c r="K368">
        <v>3290</v>
      </c>
      <c r="L368" s="4">
        <f>_xlfn.XLOOKUP(A368,[2]Int_NH!A:A,[2]Int_NH!B:B,"-",0)</f>
        <v>6.0118899999999998E-3</v>
      </c>
    </row>
    <row r="369" spans="1:12" x14ac:dyDescent="0.2">
      <c r="A369" t="s">
        <v>611</v>
      </c>
      <c r="B369">
        <v>2.7E-2</v>
      </c>
      <c r="C369">
        <v>2.7199999999999998E-2</v>
      </c>
      <c r="D369">
        <v>220.16489999999999</v>
      </c>
      <c r="E369">
        <v>3.4710000000000001</v>
      </c>
      <c r="F369">
        <v>220.1651</v>
      </c>
      <c r="G369">
        <v>3.4704999999999999</v>
      </c>
      <c r="H369">
        <v>2</v>
      </c>
      <c r="I369" t="s">
        <v>327</v>
      </c>
      <c r="J369" t="s">
        <v>328</v>
      </c>
      <c r="K369">
        <v>4942</v>
      </c>
      <c r="L369" s="4">
        <f>_xlfn.XLOOKUP(A369,[2]Int_NH!A:A,[2]Int_NH!B:B,"-",0)</f>
        <v>9.0504899999999996E-3</v>
      </c>
    </row>
    <row r="370" spans="1:12" x14ac:dyDescent="0.2">
      <c r="A370" t="s">
        <v>612</v>
      </c>
      <c r="B370">
        <v>5.8999999999999997E-2</v>
      </c>
      <c r="C370">
        <v>2.5000000000000001E-2</v>
      </c>
      <c r="D370">
        <v>223.63140000000001</v>
      </c>
      <c r="E370">
        <v>18.644500000000001</v>
      </c>
      <c r="F370">
        <v>223.6318</v>
      </c>
      <c r="G370">
        <v>18.6449</v>
      </c>
      <c r="H370">
        <v>1.7</v>
      </c>
      <c r="I370" t="s">
        <v>327</v>
      </c>
      <c r="J370" t="s">
        <v>328</v>
      </c>
      <c r="K370">
        <v>3193</v>
      </c>
      <c r="L370" s="4">
        <f>_xlfn.XLOOKUP(A370,[2]Int_NH!A:A,[2]Int_NH!B:B,"-",0)</f>
        <v>2.3588000000000001E-2</v>
      </c>
    </row>
    <row r="371" spans="1:12" x14ac:dyDescent="0.2">
      <c r="A371" t="s">
        <v>213</v>
      </c>
      <c r="B371">
        <v>0.25800000000000001</v>
      </c>
      <c r="C371">
        <v>3.2000000000000001E-2</v>
      </c>
      <c r="D371">
        <v>224.31290000000001</v>
      </c>
      <c r="E371">
        <v>22.342500000000001</v>
      </c>
      <c r="F371">
        <v>224.31290000000001</v>
      </c>
      <c r="G371">
        <v>22.342400000000001</v>
      </c>
      <c r="H371">
        <v>0.7</v>
      </c>
      <c r="I371" t="s">
        <v>327</v>
      </c>
      <c r="J371" t="s">
        <v>328</v>
      </c>
      <c r="K371">
        <v>4192</v>
      </c>
      <c r="L371" s="4">
        <f>_xlfn.XLOOKUP(A371,[2]Int_NH!A:A,[2]Int_NH!B:B,"-",0)</f>
        <v>2.1676999999999998E-2</v>
      </c>
    </row>
    <row r="372" spans="1:12" x14ac:dyDescent="0.2">
      <c r="A372" t="s">
        <v>214</v>
      </c>
      <c r="B372">
        <v>0.23599999999999999</v>
      </c>
      <c r="C372">
        <v>7.7200000000000005E-2</v>
      </c>
      <c r="D372">
        <v>224.8706</v>
      </c>
      <c r="E372">
        <v>-18.179300000000001</v>
      </c>
      <c r="F372">
        <v>224.87010000000001</v>
      </c>
      <c r="G372">
        <v>-18.178699999999999</v>
      </c>
      <c r="H372">
        <v>2.8</v>
      </c>
      <c r="I372" t="s">
        <v>327</v>
      </c>
      <c r="J372" t="s">
        <v>328</v>
      </c>
      <c r="K372">
        <v>9428</v>
      </c>
      <c r="L372" s="4">
        <f>_xlfn.XLOOKUP(A372,[2]Int_NH!A:A,[2]Int_NH!B:B,"-",0)</f>
        <v>7.1499500000000004E-3</v>
      </c>
    </row>
    <row r="373" spans="1:12" x14ac:dyDescent="0.2">
      <c r="A373" t="s">
        <v>613</v>
      </c>
      <c r="B373">
        <v>0.153</v>
      </c>
      <c r="C373">
        <v>3.2899999999999999E-2</v>
      </c>
      <c r="D373">
        <v>225.08160000000001</v>
      </c>
      <c r="E373">
        <v>21.369900000000001</v>
      </c>
      <c r="F373">
        <v>225.08160000000001</v>
      </c>
      <c r="G373">
        <v>21.369900000000001</v>
      </c>
      <c r="H373">
        <v>0</v>
      </c>
      <c r="I373" t="s">
        <v>327</v>
      </c>
      <c r="J373" t="s">
        <v>328</v>
      </c>
      <c r="K373">
        <v>10438</v>
      </c>
      <c r="L373" s="4">
        <f>_xlfn.XLOOKUP(A373,[2]Int_NH!A:A,[2]Int_NH!B:B,"-",0)</f>
        <v>2.3827500000000001E-2</v>
      </c>
    </row>
    <row r="374" spans="1:12" x14ac:dyDescent="0.2">
      <c r="A374" t="s">
        <v>215</v>
      </c>
      <c r="B374">
        <v>0.29199999999999998</v>
      </c>
      <c r="C374">
        <v>1.52E-2</v>
      </c>
      <c r="D374">
        <v>225.3442</v>
      </c>
      <c r="E374">
        <v>42.346200000000003</v>
      </c>
      <c r="F374">
        <v>225.3434</v>
      </c>
      <c r="G374">
        <v>42.346200000000003</v>
      </c>
      <c r="H374">
        <v>2</v>
      </c>
      <c r="I374" t="s">
        <v>327</v>
      </c>
      <c r="J374" t="s">
        <v>336</v>
      </c>
      <c r="K374">
        <v>7899</v>
      </c>
      <c r="L374" s="4">
        <f>_xlfn.XLOOKUP(A374,[2]Int_NH!A:A,[2]Int_NH!B:B,"-",0)</f>
        <v>3.7659699999999997E-2</v>
      </c>
    </row>
    <row r="375" spans="1:12" x14ac:dyDescent="0.2">
      <c r="A375" t="s">
        <v>216</v>
      </c>
      <c r="B375">
        <v>0.215</v>
      </c>
      <c r="C375">
        <v>6.0999999999999999E-2</v>
      </c>
      <c r="D375">
        <v>226.03110000000001</v>
      </c>
      <c r="E375">
        <v>-2.8045</v>
      </c>
      <c r="F375">
        <v>226.0309</v>
      </c>
      <c r="G375">
        <v>-2.8043999999999998</v>
      </c>
      <c r="H375">
        <v>1</v>
      </c>
      <c r="I375" t="s">
        <v>327</v>
      </c>
      <c r="J375" t="s">
        <v>328</v>
      </c>
      <c r="K375" t="s">
        <v>614</v>
      </c>
      <c r="L375" s="4">
        <f>_xlfn.XLOOKUP(A375,[2]Int_NH!A:A,[2]Int_NH!B:B,"-",0)</f>
        <v>4.95197E-2</v>
      </c>
    </row>
    <row r="376" spans="1:12" x14ac:dyDescent="0.2">
      <c r="A376" t="s">
        <v>615</v>
      </c>
      <c r="B376">
        <v>5.7099999999999998E-3</v>
      </c>
      <c r="C376">
        <v>4.24E-2</v>
      </c>
      <c r="D376">
        <v>226.6217</v>
      </c>
      <c r="E376">
        <v>1.6060000000000001</v>
      </c>
      <c r="F376">
        <v>226.62200000000001</v>
      </c>
      <c r="G376">
        <v>1.6055999999999999</v>
      </c>
      <c r="H376">
        <v>1.8</v>
      </c>
      <c r="I376" t="s">
        <v>327</v>
      </c>
      <c r="J376" t="s">
        <v>328</v>
      </c>
      <c r="K376">
        <v>7923</v>
      </c>
      <c r="L376" s="4">
        <f>_xlfn.XLOOKUP(A376,[2]Int_NH!A:A,[2]Int_NH!B:B,"-",0)</f>
        <v>0.13988</v>
      </c>
    </row>
    <row r="377" spans="1:12" x14ac:dyDescent="0.2">
      <c r="A377" t="s">
        <v>217</v>
      </c>
      <c r="B377">
        <v>0.113</v>
      </c>
      <c r="C377">
        <v>1.52E-2</v>
      </c>
      <c r="D377">
        <v>227.55600000000001</v>
      </c>
      <c r="E377">
        <v>33.5124</v>
      </c>
      <c r="F377">
        <v>227.5521</v>
      </c>
      <c r="G377">
        <v>33.511000000000003</v>
      </c>
      <c r="H377">
        <v>12.7</v>
      </c>
      <c r="I377" t="s">
        <v>331</v>
      </c>
      <c r="J377" t="s">
        <v>336</v>
      </c>
      <c r="K377" t="s">
        <v>616</v>
      </c>
      <c r="L377" s="4">
        <f>_xlfn.XLOOKUP(A377,[2]Int_NH!A:A,[2]Int_NH!B:B,"-",0)</f>
        <v>1.6938100000000001E-2</v>
      </c>
    </row>
    <row r="378" spans="1:12" x14ac:dyDescent="0.2">
      <c r="A378" t="s">
        <v>617</v>
      </c>
      <c r="B378">
        <v>7.22E-2</v>
      </c>
      <c r="C378">
        <v>3.8199999999999998E-2</v>
      </c>
      <c r="D378">
        <v>227.7337</v>
      </c>
      <c r="E378">
        <v>5.7447999999999997</v>
      </c>
      <c r="F378">
        <v>227.73390000000001</v>
      </c>
      <c r="G378">
        <v>5.7446000000000002</v>
      </c>
      <c r="H378">
        <v>1.2</v>
      </c>
      <c r="I378" t="s">
        <v>327</v>
      </c>
      <c r="J378" t="s">
        <v>328</v>
      </c>
      <c r="K378" t="s">
        <v>618</v>
      </c>
      <c r="L378" s="4">
        <f>_xlfn.XLOOKUP(A378,[2]Int_NH!A:A,[2]Int_NH!B:B,"-",0)</f>
        <v>1.16796E-2</v>
      </c>
    </row>
    <row r="379" spans="1:12" x14ac:dyDescent="0.2">
      <c r="A379" t="s">
        <v>218</v>
      </c>
      <c r="B379">
        <v>0.223</v>
      </c>
      <c r="C379">
        <v>8.5599999999999996E-2</v>
      </c>
      <c r="D379">
        <v>228.7621</v>
      </c>
      <c r="E379">
        <v>-15.3895</v>
      </c>
      <c r="F379">
        <v>228.76070000000001</v>
      </c>
      <c r="G379">
        <v>-15.389200000000001</v>
      </c>
      <c r="H379">
        <v>5</v>
      </c>
      <c r="I379" t="s">
        <v>331</v>
      </c>
      <c r="J379" t="s">
        <v>328</v>
      </c>
      <c r="K379">
        <v>15175</v>
      </c>
      <c r="L379" s="4">
        <f>_xlfn.XLOOKUP(A379,[2]Int_NH!A:A,[2]Int_NH!B:B,"-",0)</f>
        <v>5.2091200000000002E-3</v>
      </c>
    </row>
    <row r="380" spans="1:12" x14ac:dyDescent="0.2">
      <c r="A380" t="s">
        <v>619</v>
      </c>
      <c r="B380">
        <v>3.5490000000000001E-2</v>
      </c>
      <c r="C380">
        <v>3.5360000000000003E-2</v>
      </c>
      <c r="D380">
        <v>229.18129999999999</v>
      </c>
      <c r="E380">
        <v>7.0221999999999998</v>
      </c>
      <c r="F380">
        <v>229.18549999999999</v>
      </c>
      <c r="G380">
        <v>7.0213999999999999</v>
      </c>
      <c r="H380">
        <v>15.2</v>
      </c>
      <c r="I380" t="s">
        <v>331</v>
      </c>
      <c r="J380" t="s">
        <v>328</v>
      </c>
      <c r="K380" t="s">
        <v>620</v>
      </c>
      <c r="L380" s="4">
        <f>_xlfn.XLOOKUP(A380,[2]Int_NH!A:A,[2]Int_NH!B:B,"-",0)</f>
        <v>1.9035400000000001E-2</v>
      </c>
    </row>
    <row r="381" spans="1:12" x14ac:dyDescent="0.2">
      <c r="A381" t="s">
        <v>621</v>
      </c>
      <c r="B381">
        <v>7.8E-2</v>
      </c>
      <c r="C381">
        <v>1.95E-2</v>
      </c>
      <c r="D381">
        <v>230.2929</v>
      </c>
      <c r="E381">
        <v>30.611499999999999</v>
      </c>
      <c r="F381">
        <v>230.29230000000001</v>
      </c>
      <c r="G381">
        <v>30.611499999999999</v>
      </c>
      <c r="H381">
        <v>2</v>
      </c>
      <c r="I381" t="s">
        <v>327</v>
      </c>
      <c r="J381" t="s">
        <v>328</v>
      </c>
      <c r="K381">
        <v>10449</v>
      </c>
      <c r="L381" s="4">
        <f>_xlfn.XLOOKUP(A381,[2]Int_NH!A:A,[2]Int_NH!B:B,"-",0)</f>
        <v>3.8157799999999999E-2</v>
      </c>
    </row>
    <row r="382" spans="1:12" x14ac:dyDescent="0.2">
      <c r="A382" t="s">
        <v>219</v>
      </c>
      <c r="B382">
        <v>4.4999999999999998E-2</v>
      </c>
      <c r="C382">
        <v>3.0499999999999999E-2</v>
      </c>
      <c r="D382">
        <v>230.46600000000001</v>
      </c>
      <c r="E382">
        <v>7.7081</v>
      </c>
      <c r="F382">
        <v>230.46639999999999</v>
      </c>
      <c r="G382">
        <v>7.7088999999999999</v>
      </c>
      <c r="H382">
        <v>3.2</v>
      </c>
      <c r="I382" t="s">
        <v>327</v>
      </c>
      <c r="J382" t="s">
        <v>328</v>
      </c>
      <c r="K382">
        <v>900</v>
      </c>
      <c r="L382" s="4">
        <f>_xlfn.XLOOKUP(A382,[2]Int_NH!A:A,[2]Int_NH!B:B,"-",0)</f>
        <v>1.1359899999999999E-2</v>
      </c>
    </row>
    <row r="383" spans="1:12" x14ac:dyDescent="0.2">
      <c r="A383" t="s">
        <v>622</v>
      </c>
      <c r="B383">
        <v>3.49E-2</v>
      </c>
      <c r="C383">
        <v>3.0300000000000001E-2</v>
      </c>
      <c r="D383">
        <v>230.77170000000001</v>
      </c>
      <c r="E383">
        <v>8.6095000000000006</v>
      </c>
      <c r="F383">
        <v>230.77019999999999</v>
      </c>
      <c r="G383">
        <v>8.6056000000000008</v>
      </c>
      <c r="H383">
        <v>15</v>
      </c>
      <c r="I383" t="s">
        <v>331</v>
      </c>
      <c r="J383" t="s">
        <v>328</v>
      </c>
      <c r="K383" t="s">
        <v>623</v>
      </c>
      <c r="L383" s="4">
        <f>_xlfn.XLOOKUP(A383,[2]Int_NH!A:A,[2]Int_NH!B:B,"-",0)</f>
        <v>0</v>
      </c>
    </row>
    <row r="384" spans="1:12" x14ac:dyDescent="0.2">
      <c r="A384" t="s">
        <v>220</v>
      </c>
      <c r="B384">
        <v>0.11600000000000001</v>
      </c>
      <c r="C384">
        <v>1.9800000000000002E-2</v>
      </c>
      <c r="D384">
        <v>231.03559999999999</v>
      </c>
      <c r="E384">
        <v>29.881799999999998</v>
      </c>
      <c r="F384">
        <v>231.04740000000001</v>
      </c>
      <c r="G384">
        <v>29.872</v>
      </c>
      <c r="H384">
        <v>51.2</v>
      </c>
      <c r="I384" t="s">
        <v>331</v>
      </c>
      <c r="J384" t="s">
        <v>328</v>
      </c>
      <c r="K384">
        <v>4965</v>
      </c>
      <c r="L384" s="4">
        <f>_xlfn.XLOOKUP(A384,[2]Int_NH!A:A,[2]Int_NH!B:B,"-",0)</f>
        <v>2.1751E-2</v>
      </c>
    </row>
    <row r="385" spans="1:12" x14ac:dyDescent="0.2">
      <c r="A385" t="s">
        <v>221</v>
      </c>
      <c r="B385">
        <v>0.10299999999999999</v>
      </c>
      <c r="C385">
        <v>8.4500000000000006E-2</v>
      </c>
      <c r="D385">
        <v>231.05350000000001</v>
      </c>
      <c r="E385">
        <v>-31.906400000000001</v>
      </c>
      <c r="F385">
        <v>231.05350000000001</v>
      </c>
      <c r="G385">
        <v>-31.904499999999999</v>
      </c>
      <c r="H385">
        <v>6.9</v>
      </c>
      <c r="I385" t="s">
        <v>331</v>
      </c>
      <c r="J385" t="s">
        <v>328</v>
      </c>
      <c r="K385">
        <v>9401</v>
      </c>
      <c r="L385" s="4">
        <f>_xlfn.XLOOKUP(A385,[2]Int_NH!A:A,[2]Int_NH!B:B,"-",0)</f>
        <v>4.5664099999999999E-2</v>
      </c>
    </row>
    <row r="386" spans="1:12" x14ac:dyDescent="0.2">
      <c r="A386" t="s">
        <v>624</v>
      </c>
      <c r="B386">
        <v>0.51600000000000001</v>
      </c>
      <c r="C386">
        <v>2.92E-2</v>
      </c>
      <c r="D386">
        <v>231.16139999999999</v>
      </c>
      <c r="E386">
        <v>9.9603999999999999</v>
      </c>
      <c r="F386">
        <v>231.16139999999999</v>
      </c>
      <c r="G386">
        <v>9.9603999999999999</v>
      </c>
      <c r="H386">
        <v>0</v>
      </c>
      <c r="I386" t="s">
        <v>327</v>
      </c>
      <c r="J386" t="s">
        <v>336</v>
      </c>
      <c r="K386">
        <v>1664</v>
      </c>
      <c r="L386" s="4">
        <f>_xlfn.XLOOKUP(A386,[2]Int_NH!A:A,[2]Int_NH!B:B,"-",0)</f>
        <v>0</v>
      </c>
    </row>
    <row r="387" spans="1:12" x14ac:dyDescent="0.2">
      <c r="A387" t="s">
        <v>222</v>
      </c>
      <c r="B387">
        <v>0.34499999999999997</v>
      </c>
      <c r="C387">
        <v>2.1600000000000001E-2</v>
      </c>
      <c r="D387">
        <v>233.2242</v>
      </c>
      <c r="E387">
        <v>30.349699999999999</v>
      </c>
      <c r="F387">
        <v>233.22409999999999</v>
      </c>
      <c r="G387">
        <v>30.349599999999999</v>
      </c>
      <c r="H387">
        <v>0.4</v>
      </c>
      <c r="I387" t="s">
        <v>327</v>
      </c>
      <c r="J387" t="s">
        <v>328</v>
      </c>
      <c r="K387">
        <v>14009</v>
      </c>
      <c r="L387" s="4">
        <f>_xlfn.XLOOKUP(A387,[2]Int_NH!A:A,[2]Int_NH!B:B,"-",0)</f>
        <v>1.76093E-3</v>
      </c>
    </row>
    <row r="388" spans="1:12" x14ac:dyDescent="0.2">
      <c r="A388" t="s">
        <v>223</v>
      </c>
      <c r="B388">
        <v>6.7000000000000004E-2</v>
      </c>
      <c r="C388">
        <v>2.1700000000000001E-2</v>
      </c>
      <c r="D388">
        <v>233.30680000000001</v>
      </c>
      <c r="E388">
        <v>31.150200000000002</v>
      </c>
      <c r="F388">
        <v>233.32339999999999</v>
      </c>
      <c r="G388">
        <v>31.137899999999998</v>
      </c>
      <c r="H388">
        <v>67.7</v>
      </c>
      <c r="I388" t="s">
        <v>331</v>
      </c>
      <c r="J388" t="s">
        <v>328</v>
      </c>
      <c r="K388">
        <v>9384</v>
      </c>
      <c r="L388" s="4">
        <f>_xlfn.XLOOKUP(A388,[2]Int_NH!A:A,[2]Int_NH!B:B,"-",0)</f>
        <v>0</v>
      </c>
    </row>
    <row r="389" spans="1:12" x14ac:dyDescent="0.2">
      <c r="A389" t="s">
        <v>224</v>
      </c>
      <c r="B389">
        <v>4.1000000000000002E-2</v>
      </c>
      <c r="C389">
        <v>4.5199999999999997E-2</v>
      </c>
      <c r="D389">
        <v>234.9126</v>
      </c>
      <c r="E389">
        <v>21.782699999999998</v>
      </c>
      <c r="F389">
        <v>234.91300000000001</v>
      </c>
      <c r="G389">
        <v>21.782699999999998</v>
      </c>
      <c r="H389">
        <v>1.2</v>
      </c>
      <c r="I389" t="s">
        <v>327</v>
      </c>
      <c r="J389" t="s">
        <v>328</v>
      </c>
      <c r="K389">
        <v>4960</v>
      </c>
      <c r="L389" s="4">
        <f>_xlfn.XLOOKUP(A389,[2]Int_NH!A:A,[2]Int_NH!B:B,"-",0)</f>
        <v>1.2211400000000001E-2</v>
      </c>
    </row>
    <row r="390" spans="1:12" x14ac:dyDescent="0.2">
      <c r="A390" t="s">
        <v>225</v>
      </c>
      <c r="B390">
        <v>0.22900000000000001</v>
      </c>
      <c r="C390">
        <v>1.9900000000000001E-2</v>
      </c>
      <c r="D390">
        <v>234.92439999999999</v>
      </c>
      <c r="E390">
        <v>34.416200000000003</v>
      </c>
      <c r="F390">
        <v>234.91929999999999</v>
      </c>
      <c r="G390">
        <v>34.424500000000002</v>
      </c>
      <c r="H390">
        <v>33.1</v>
      </c>
      <c r="I390" t="s">
        <v>331</v>
      </c>
      <c r="J390" t="s">
        <v>328</v>
      </c>
      <c r="K390" t="s">
        <v>625</v>
      </c>
      <c r="L390" s="4">
        <f>_xlfn.XLOOKUP(A390,[2]Int_NH!A:A,[2]Int_NH!B:B,"-",0)</f>
        <v>0</v>
      </c>
    </row>
    <row r="391" spans="1:12" x14ac:dyDescent="0.2">
      <c r="A391" t="s">
        <v>226</v>
      </c>
      <c r="B391">
        <v>0.153</v>
      </c>
      <c r="C391">
        <v>8.9200000000000002E-2</v>
      </c>
      <c r="D391">
        <v>235.03399999999999</v>
      </c>
      <c r="E391">
        <v>-3.3037999999999998</v>
      </c>
      <c r="F391">
        <v>235.03389999999999</v>
      </c>
      <c r="G391">
        <v>-3.3041999999999998</v>
      </c>
      <c r="H391">
        <v>1.5</v>
      </c>
      <c r="I391" t="s">
        <v>327</v>
      </c>
      <c r="J391" t="s">
        <v>328</v>
      </c>
      <c r="K391">
        <v>895</v>
      </c>
      <c r="L391" s="4">
        <f>_xlfn.XLOOKUP(A391,[2]Int_NH!A:A,[2]Int_NH!B:B,"-",0)</f>
        <v>6.7710400000000004E-2</v>
      </c>
    </row>
    <row r="392" spans="1:12" x14ac:dyDescent="0.2">
      <c r="A392" t="s">
        <v>227</v>
      </c>
      <c r="B392">
        <v>0.246</v>
      </c>
      <c r="C392">
        <v>2.7799999999999998E-2</v>
      </c>
      <c r="D392">
        <v>235.31059999999999</v>
      </c>
      <c r="E392">
        <v>66.265900000000002</v>
      </c>
      <c r="F392">
        <v>235.309</v>
      </c>
      <c r="G392">
        <v>66.265900000000002</v>
      </c>
      <c r="H392">
        <v>2.2999999999999998</v>
      </c>
      <c r="I392" t="s">
        <v>327</v>
      </c>
      <c r="J392" t="s">
        <v>328</v>
      </c>
      <c r="K392">
        <v>2207</v>
      </c>
      <c r="L392" s="4">
        <f>_xlfn.XLOOKUP(A392,[2]Int_NH!A:A,[2]Int_NH!B:B,"-",0)</f>
        <v>6.9416E-3</v>
      </c>
    </row>
    <row r="393" spans="1:12" x14ac:dyDescent="0.2">
      <c r="A393" t="s">
        <v>626</v>
      </c>
      <c r="B393">
        <v>6.6000000000000003E-2</v>
      </c>
      <c r="C393">
        <v>1.66E-2</v>
      </c>
      <c r="D393">
        <v>236.2458</v>
      </c>
      <c r="E393">
        <v>36.109099999999998</v>
      </c>
      <c r="F393">
        <v>236.24639999999999</v>
      </c>
      <c r="G393">
        <v>36.109499999999997</v>
      </c>
      <c r="H393">
        <v>2.1</v>
      </c>
      <c r="I393" t="s">
        <v>327</v>
      </c>
      <c r="J393" t="s">
        <v>328</v>
      </c>
      <c r="K393">
        <v>3238</v>
      </c>
      <c r="L393" s="4">
        <f>_xlfn.XLOOKUP(A393,[2]Int_NH!A:A,[2]Int_NH!B:B,"-",0)</f>
        <v>5.6004799999999997E-3</v>
      </c>
    </row>
    <row r="394" spans="1:12" x14ac:dyDescent="0.2">
      <c r="A394" t="s">
        <v>228</v>
      </c>
      <c r="B394">
        <v>0.23430000000000001</v>
      </c>
      <c r="C394">
        <v>2.8000000000000001E-2</v>
      </c>
      <c r="D394">
        <v>239.05119999999999</v>
      </c>
      <c r="E394">
        <v>66.351600000000005</v>
      </c>
      <c r="F394">
        <v>239.05119999999999</v>
      </c>
      <c r="G394">
        <v>66.351600000000005</v>
      </c>
      <c r="H394">
        <v>0.1</v>
      </c>
      <c r="I394" t="s">
        <v>327</v>
      </c>
      <c r="J394" t="s">
        <v>328</v>
      </c>
      <c r="K394" t="s">
        <v>627</v>
      </c>
      <c r="L394" s="4">
        <f>_xlfn.XLOOKUP(A394,[2]Int_NH!A:A,[2]Int_NH!B:B,"-",0)</f>
        <v>1.7448999999999999E-2</v>
      </c>
    </row>
    <row r="395" spans="1:12" x14ac:dyDescent="0.2">
      <c r="A395" t="s">
        <v>229</v>
      </c>
      <c r="B395">
        <v>9.0999999999999998E-2</v>
      </c>
      <c r="C395">
        <v>4.1599999999999998E-2</v>
      </c>
      <c r="D395">
        <v>239.5847</v>
      </c>
      <c r="E395">
        <v>27.231000000000002</v>
      </c>
      <c r="F395">
        <v>239.58699999999999</v>
      </c>
      <c r="G395">
        <v>27.228999999999999</v>
      </c>
      <c r="H395">
        <v>10.5</v>
      </c>
      <c r="I395" t="s">
        <v>331</v>
      </c>
      <c r="J395" t="s">
        <v>328</v>
      </c>
      <c r="K395" t="s">
        <v>628</v>
      </c>
      <c r="L395" s="4">
        <f>_xlfn.XLOOKUP(A395,[2]Int_NH!A:A,[2]Int_NH!B:B,"-",0)</f>
        <v>1.9090300000000001E-2</v>
      </c>
    </row>
    <row r="396" spans="1:12" x14ac:dyDescent="0.2">
      <c r="A396" t="s">
        <v>230</v>
      </c>
      <c r="B396">
        <v>9.7000000000000003E-2</v>
      </c>
      <c r="C396">
        <v>0.1147</v>
      </c>
      <c r="D396">
        <v>239.59129999999999</v>
      </c>
      <c r="E396">
        <v>-14.165800000000001</v>
      </c>
      <c r="F396">
        <v>239.59100000000001</v>
      </c>
      <c r="G396">
        <v>-14.1661</v>
      </c>
      <c r="H396">
        <v>1.4</v>
      </c>
      <c r="I396" t="s">
        <v>327</v>
      </c>
      <c r="J396" t="s">
        <v>328</v>
      </c>
      <c r="K396">
        <v>9402</v>
      </c>
      <c r="L396" s="4">
        <f>_xlfn.XLOOKUP(A396,[2]Int_NH!A:A,[2]Int_NH!B:B,"-",0)</f>
        <v>0</v>
      </c>
    </row>
    <row r="397" spans="1:12" x14ac:dyDescent="0.2">
      <c r="A397" t="s">
        <v>629</v>
      </c>
      <c r="B397">
        <v>3.5000000000000003E-2</v>
      </c>
      <c r="C397">
        <v>3.3500000000000002E-2</v>
      </c>
      <c r="D397">
        <v>240.5694</v>
      </c>
      <c r="E397">
        <v>15.976800000000001</v>
      </c>
      <c r="F397">
        <v>240.57089999999999</v>
      </c>
      <c r="G397">
        <v>15.974500000000001</v>
      </c>
      <c r="H397">
        <v>9.6999999999999993</v>
      </c>
      <c r="I397" t="s">
        <v>331</v>
      </c>
      <c r="J397" t="s">
        <v>328</v>
      </c>
      <c r="K397">
        <v>3211</v>
      </c>
      <c r="L397" s="4">
        <f>_xlfn.XLOOKUP(A397,[2]Int_NH!A:A,[2]Int_NH!B:B,"-",0)</f>
        <v>0</v>
      </c>
    </row>
    <row r="398" spans="1:12" x14ac:dyDescent="0.2">
      <c r="A398" t="s">
        <v>231</v>
      </c>
      <c r="B398">
        <v>3.6999999999999998E-2</v>
      </c>
      <c r="C398">
        <v>3.4299999999999997E-2</v>
      </c>
      <c r="D398">
        <v>241.14940000000001</v>
      </c>
      <c r="E398">
        <v>17.721499999999999</v>
      </c>
      <c r="F398">
        <v>241.14949999999999</v>
      </c>
      <c r="G398">
        <v>17.721499999999999</v>
      </c>
      <c r="H398">
        <v>0.4</v>
      </c>
      <c r="I398" t="s">
        <v>327</v>
      </c>
      <c r="J398" t="s">
        <v>328</v>
      </c>
      <c r="K398">
        <v>4996</v>
      </c>
      <c r="L398" s="4">
        <f>_xlfn.XLOOKUP(A398,[2]Int_NH!A:A,[2]Int_NH!B:B,"-",0)</f>
        <v>0</v>
      </c>
    </row>
    <row r="399" spans="1:12" x14ac:dyDescent="0.2">
      <c r="A399" t="s">
        <v>630</v>
      </c>
      <c r="B399">
        <v>3.1800000000000002E-2</v>
      </c>
      <c r="C399">
        <v>4.9799999999999997E-2</v>
      </c>
      <c r="D399">
        <v>241.2354</v>
      </c>
      <c r="E399">
        <v>23.934000000000001</v>
      </c>
      <c r="F399">
        <v>241.2354</v>
      </c>
      <c r="G399">
        <v>23.934000000000001</v>
      </c>
      <c r="H399">
        <v>0.1</v>
      </c>
      <c r="I399" t="s">
        <v>327</v>
      </c>
      <c r="J399" t="s">
        <v>328</v>
      </c>
      <c r="K399">
        <v>9423</v>
      </c>
      <c r="L399" s="4">
        <f>_xlfn.XLOOKUP(A399,[2]Int_NH!A:A,[2]Int_NH!B:B,"-",0)</f>
        <v>2.8126700000000001E-2</v>
      </c>
    </row>
    <row r="400" spans="1:12" x14ac:dyDescent="0.2">
      <c r="A400" t="s">
        <v>232</v>
      </c>
      <c r="B400">
        <v>0.871</v>
      </c>
      <c r="C400">
        <v>1.6500000000000001E-2</v>
      </c>
      <c r="D400">
        <v>243.31219999999999</v>
      </c>
      <c r="E400">
        <v>56.825299999999999</v>
      </c>
      <c r="F400">
        <v>243.31309999999999</v>
      </c>
      <c r="G400">
        <v>56.825000000000003</v>
      </c>
      <c r="H400">
        <v>2.2000000000000002</v>
      </c>
      <c r="I400" t="s">
        <v>327</v>
      </c>
      <c r="J400" t="s">
        <v>336</v>
      </c>
      <c r="K400">
        <v>11722</v>
      </c>
      <c r="L400" s="4">
        <f>_xlfn.XLOOKUP(A400,[2]Int_NH!A:A,[2]Int_NH!B:B,"-",0)</f>
        <v>5.8355100000000003E-3</v>
      </c>
    </row>
    <row r="401" spans="1:12" x14ac:dyDescent="0.2">
      <c r="A401" t="s">
        <v>233</v>
      </c>
      <c r="B401">
        <v>0.20300000000000001</v>
      </c>
      <c r="C401">
        <v>0.1202</v>
      </c>
      <c r="D401">
        <v>243.94120000000001</v>
      </c>
      <c r="E401">
        <v>-6.1490999999999998</v>
      </c>
      <c r="F401">
        <v>243.94040000000001</v>
      </c>
      <c r="G401">
        <v>-6.1501999999999999</v>
      </c>
      <c r="H401">
        <v>4.8</v>
      </c>
      <c r="I401" t="s">
        <v>327</v>
      </c>
      <c r="J401" t="s">
        <v>328</v>
      </c>
      <c r="K401">
        <v>1653</v>
      </c>
      <c r="L401" s="4">
        <f>_xlfn.XLOOKUP(A401,[2]Int_NH!A:A,[2]Int_NH!B:B,"-",0)</f>
        <v>7.2054900000000005E-2</v>
      </c>
    </row>
    <row r="402" spans="1:12" x14ac:dyDescent="0.2">
      <c r="A402" t="s">
        <v>234</v>
      </c>
      <c r="B402">
        <v>0.46500000000000002</v>
      </c>
      <c r="C402">
        <v>1.11E-2</v>
      </c>
      <c r="D402">
        <v>245.3537</v>
      </c>
      <c r="E402">
        <v>38.168900000000001</v>
      </c>
      <c r="F402">
        <v>245.35329999999999</v>
      </c>
      <c r="G402">
        <v>38.1691</v>
      </c>
      <c r="H402">
        <v>1.1000000000000001</v>
      </c>
      <c r="I402" t="s">
        <v>327</v>
      </c>
      <c r="J402" t="s">
        <v>328</v>
      </c>
      <c r="K402" t="s">
        <v>631</v>
      </c>
      <c r="L402" s="4">
        <f>_xlfn.XLOOKUP(A402,[2]Int_NH!A:A,[2]Int_NH!B:B,"-",0)</f>
        <v>2.6372300000000001E-2</v>
      </c>
    </row>
    <row r="403" spans="1:12" x14ac:dyDescent="0.2">
      <c r="A403" t="s">
        <v>632</v>
      </c>
      <c r="B403">
        <v>0.42599999999999999</v>
      </c>
      <c r="C403">
        <v>3.5900000000000001E-2</v>
      </c>
      <c r="D403">
        <v>245.8973</v>
      </c>
      <c r="E403">
        <v>26.570699999999999</v>
      </c>
      <c r="F403">
        <v>245.8973</v>
      </c>
      <c r="G403">
        <v>26.570699999999999</v>
      </c>
      <c r="H403">
        <v>0</v>
      </c>
      <c r="I403" t="s">
        <v>327</v>
      </c>
      <c r="J403" t="s">
        <v>336</v>
      </c>
      <c r="K403">
        <v>546</v>
      </c>
      <c r="L403" s="4">
        <f>_xlfn.XLOOKUP(A403,[2]Int_NH!A:A,[2]Int_NH!B:B,"-",0)</f>
        <v>3.11834E-2</v>
      </c>
    </row>
    <row r="404" spans="1:12" x14ac:dyDescent="0.2">
      <c r="A404" t="s">
        <v>235</v>
      </c>
      <c r="B404">
        <v>0.184</v>
      </c>
      <c r="C404">
        <v>9.7000000000000003E-3</v>
      </c>
      <c r="D404">
        <v>246.05850000000001</v>
      </c>
      <c r="E404">
        <v>41.24</v>
      </c>
      <c r="F404">
        <v>246.05840000000001</v>
      </c>
      <c r="G404">
        <v>41.2438</v>
      </c>
      <c r="H404">
        <v>13.5</v>
      </c>
      <c r="I404" t="s">
        <v>331</v>
      </c>
      <c r="J404" t="s">
        <v>328</v>
      </c>
      <c r="K404">
        <v>9422</v>
      </c>
      <c r="L404" s="4">
        <f>_xlfn.XLOOKUP(A404,[2]Int_NH!A:A,[2]Int_NH!B:B,"-",0)</f>
        <v>2.5033699999999999E-2</v>
      </c>
    </row>
    <row r="405" spans="1:12" x14ac:dyDescent="0.2">
      <c r="A405" t="s">
        <v>236</v>
      </c>
      <c r="B405">
        <v>0.152</v>
      </c>
      <c r="C405">
        <v>5.6800000000000003E-2</v>
      </c>
      <c r="D405">
        <v>248.19560000000001</v>
      </c>
      <c r="E405">
        <v>5.5754999999999999</v>
      </c>
      <c r="F405">
        <v>248.19550000000001</v>
      </c>
      <c r="G405">
        <v>5.5758000000000001</v>
      </c>
      <c r="H405">
        <v>1.2</v>
      </c>
      <c r="I405" t="s">
        <v>327</v>
      </c>
      <c r="J405" t="s">
        <v>328</v>
      </c>
      <c r="K405">
        <v>7940</v>
      </c>
      <c r="L405" s="4">
        <f>_xlfn.XLOOKUP(A405,[2]Int_NH!A:A,[2]Int_NH!B:B,"-",0)</f>
        <v>3.4217900000000002E-2</v>
      </c>
    </row>
    <row r="406" spans="1:12" x14ac:dyDescent="0.2">
      <c r="A406" t="s">
        <v>633</v>
      </c>
      <c r="B406">
        <v>0.17599999999999999</v>
      </c>
      <c r="C406">
        <v>3.15E-2</v>
      </c>
      <c r="D406">
        <v>248.9614</v>
      </c>
      <c r="E406">
        <v>66.210099999999997</v>
      </c>
      <c r="F406">
        <v>248.96180000000001</v>
      </c>
      <c r="G406">
        <v>66.211799999999997</v>
      </c>
      <c r="H406">
        <v>5.9</v>
      </c>
      <c r="I406" t="s">
        <v>331</v>
      </c>
      <c r="J406" t="s">
        <v>328</v>
      </c>
      <c r="K406" t="s">
        <v>634</v>
      </c>
      <c r="L406" s="4">
        <f>_xlfn.XLOOKUP(A406,[2]Int_NH!A:A,[2]Int_NH!B:B,"-",0)</f>
        <v>1.9874300000000001E-2</v>
      </c>
    </row>
    <row r="407" spans="1:12" x14ac:dyDescent="0.2">
      <c r="A407" t="s">
        <v>237</v>
      </c>
      <c r="B407">
        <v>0.22600000000000001</v>
      </c>
      <c r="C407">
        <v>1.7399999999999999E-2</v>
      </c>
      <c r="D407">
        <v>250.0829</v>
      </c>
      <c r="E407">
        <v>46.7119</v>
      </c>
      <c r="F407">
        <v>250.0838</v>
      </c>
      <c r="G407">
        <v>46.7119</v>
      </c>
      <c r="H407">
        <v>2.2000000000000002</v>
      </c>
      <c r="I407" t="s">
        <v>327</v>
      </c>
      <c r="J407" t="s">
        <v>328</v>
      </c>
      <c r="K407" t="s">
        <v>635</v>
      </c>
      <c r="L407" s="4">
        <f>_xlfn.XLOOKUP(A407,[2]Int_NH!A:A,[2]Int_NH!B:B,"-",0)</f>
        <v>1.2567099999999999E-2</v>
      </c>
    </row>
    <row r="408" spans="1:12" x14ac:dyDescent="0.2">
      <c r="A408" t="s">
        <v>238</v>
      </c>
      <c r="B408">
        <v>0.46400000000000002</v>
      </c>
      <c r="C408">
        <v>1.0200000000000001E-2</v>
      </c>
      <c r="D408">
        <v>250.47319999999999</v>
      </c>
      <c r="E408">
        <v>40.029200000000003</v>
      </c>
      <c r="F408">
        <v>250.47239999999999</v>
      </c>
      <c r="G408">
        <v>40.029200000000003</v>
      </c>
      <c r="H408">
        <v>2</v>
      </c>
      <c r="I408" t="s">
        <v>327</v>
      </c>
      <c r="J408" t="s">
        <v>336</v>
      </c>
      <c r="K408">
        <v>3575</v>
      </c>
      <c r="L408" s="4">
        <f>_xlfn.XLOOKUP(A408,[2]Int_NH!A:A,[2]Int_NH!B:B,"-",0)</f>
        <v>0</v>
      </c>
    </row>
    <row r="409" spans="1:12" x14ac:dyDescent="0.2">
      <c r="A409" t="s">
        <v>239</v>
      </c>
      <c r="B409">
        <v>0.155</v>
      </c>
      <c r="C409">
        <v>6.3399999999999998E-2</v>
      </c>
      <c r="D409">
        <v>252.7842</v>
      </c>
      <c r="E409">
        <v>4.9924999999999997</v>
      </c>
      <c r="F409">
        <v>252.78399999999999</v>
      </c>
      <c r="G409">
        <v>4.9923000000000002</v>
      </c>
      <c r="H409">
        <v>1</v>
      </c>
      <c r="I409" t="s">
        <v>327</v>
      </c>
      <c r="J409" t="s">
        <v>328</v>
      </c>
      <c r="K409" t="s">
        <v>636</v>
      </c>
      <c r="L409" s="4">
        <f>_xlfn.XLOOKUP(A409,[2]Int_NH!A:A,[2]Int_NH!B:B,"-",0)</f>
        <v>0</v>
      </c>
    </row>
    <row r="410" spans="1:12" x14ac:dyDescent="0.2">
      <c r="A410" t="s">
        <v>240</v>
      </c>
      <c r="B410">
        <v>3.5000000000000003E-2</v>
      </c>
      <c r="C410">
        <v>4.8899999999999999E-2</v>
      </c>
      <c r="D410">
        <v>254.49209999999999</v>
      </c>
      <c r="E410">
        <v>27.854299999999999</v>
      </c>
      <c r="F410">
        <v>254.49209999999999</v>
      </c>
      <c r="G410">
        <v>27.854099999999999</v>
      </c>
      <c r="H410">
        <v>1</v>
      </c>
      <c r="I410" t="s">
        <v>327</v>
      </c>
      <c r="J410" t="s">
        <v>328</v>
      </c>
      <c r="K410">
        <v>4972</v>
      </c>
      <c r="L410" s="4">
        <f>_xlfn.XLOOKUP(A410,[2]Int_NH!A:A,[2]Int_NH!B:B,"-",0)</f>
        <v>4.1794999999999999E-2</v>
      </c>
    </row>
    <row r="411" spans="1:12" x14ac:dyDescent="0.2">
      <c r="A411" t="s">
        <v>637</v>
      </c>
      <c r="B411">
        <v>0.45300000000000001</v>
      </c>
      <c r="C411">
        <v>2.58E-2</v>
      </c>
      <c r="D411">
        <v>255.34819999999999</v>
      </c>
      <c r="E411">
        <v>64.236500000000007</v>
      </c>
      <c r="F411">
        <v>255.34630000000001</v>
      </c>
      <c r="G411">
        <v>64.237899999999996</v>
      </c>
      <c r="H411">
        <v>5.7</v>
      </c>
      <c r="I411" t="s">
        <v>331</v>
      </c>
      <c r="J411" t="s">
        <v>336</v>
      </c>
      <c r="K411">
        <v>547</v>
      </c>
      <c r="L411" s="4">
        <f>_xlfn.XLOOKUP(A411,[2]Int_NH!A:A,[2]Int_NH!B:B,"-",0)</f>
        <v>0</v>
      </c>
    </row>
    <row r="412" spans="1:12" x14ac:dyDescent="0.2">
      <c r="A412" t="s">
        <v>638</v>
      </c>
      <c r="B412">
        <v>9.7000000000000003E-2</v>
      </c>
      <c r="C412">
        <v>2.07E-2</v>
      </c>
      <c r="D412">
        <v>255.67779999999999</v>
      </c>
      <c r="E412">
        <v>34.0608</v>
      </c>
      <c r="F412">
        <v>255.67740000000001</v>
      </c>
      <c r="G412">
        <v>34.060400000000001</v>
      </c>
      <c r="H412">
        <v>2.1</v>
      </c>
      <c r="I412" t="s">
        <v>327</v>
      </c>
      <c r="J412" t="s">
        <v>328</v>
      </c>
      <c r="K412">
        <v>4179</v>
      </c>
      <c r="L412" s="4">
        <f>_xlfn.XLOOKUP(A412,[2]Int_NH!A:A,[2]Int_NH!B:B,"-",0)</f>
        <v>1.45278E-2</v>
      </c>
    </row>
    <row r="413" spans="1:12" x14ac:dyDescent="0.2">
      <c r="A413" t="s">
        <v>639</v>
      </c>
      <c r="B413">
        <v>5.8000000000000003E-2</v>
      </c>
      <c r="C413">
        <v>4.07E-2</v>
      </c>
      <c r="D413">
        <v>255.80959999999999</v>
      </c>
      <c r="E413">
        <v>78.649000000000001</v>
      </c>
      <c r="F413">
        <v>255.9357</v>
      </c>
      <c r="G413">
        <v>78.636499999999998</v>
      </c>
      <c r="H413">
        <v>100.1</v>
      </c>
      <c r="I413" t="s">
        <v>331</v>
      </c>
      <c r="J413" t="s">
        <v>328</v>
      </c>
      <c r="K413" t="s">
        <v>640</v>
      </c>
      <c r="L413" s="4">
        <f>_xlfn.XLOOKUP(A413,[2]Int_NH!A:A,[2]Int_NH!B:B,"-",0)</f>
        <v>1.98558E-2</v>
      </c>
    </row>
    <row r="414" spans="1:12" x14ac:dyDescent="0.2">
      <c r="A414" t="s">
        <v>241</v>
      </c>
      <c r="B414">
        <v>8.2000000000000003E-2</v>
      </c>
      <c r="C414">
        <v>2.5700000000000001E-2</v>
      </c>
      <c r="D414">
        <v>257.43810000000002</v>
      </c>
      <c r="E414">
        <v>34.455199999999998</v>
      </c>
      <c r="F414">
        <v>257.43900000000002</v>
      </c>
      <c r="G414">
        <v>34.455199999999998</v>
      </c>
      <c r="H414">
        <v>3</v>
      </c>
      <c r="I414" t="s">
        <v>327</v>
      </c>
      <c r="J414" t="s">
        <v>336</v>
      </c>
      <c r="K414">
        <v>12284</v>
      </c>
      <c r="L414" s="4">
        <f>_xlfn.XLOOKUP(A414,[2]Int_NH!A:A,[2]Int_NH!B:B,"-",0)</f>
        <v>3.49316E-2</v>
      </c>
    </row>
    <row r="415" spans="1:12" x14ac:dyDescent="0.2">
      <c r="A415" t="s">
        <v>641</v>
      </c>
      <c r="B415">
        <v>2.8000000000000001E-2</v>
      </c>
      <c r="C415">
        <v>0.19900000000000001</v>
      </c>
      <c r="D415">
        <v>258.1155</v>
      </c>
      <c r="E415">
        <v>-23.368500000000001</v>
      </c>
      <c r="F415">
        <v>258.11559999999997</v>
      </c>
      <c r="G415">
        <v>-23.368500000000001</v>
      </c>
      <c r="H415">
        <v>0.2</v>
      </c>
      <c r="I415" t="s">
        <v>327</v>
      </c>
      <c r="J415" t="s">
        <v>328</v>
      </c>
      <c r="K415">
        <v>3200</v>
      </c>
      <c r="L415" s="4">
        <f>_xlfn.XLOOKUP(A415,[2]Int_NH!A:A,[2]Int_NH!B:B,"-",0)</f>
        <v>0.13786100000000001</v>
      </c>
    </row>
    <row r="416" spans="1:12" x14ac:dyDescent="0.2">
      <c r="A416" t="s">
        <v>642</v>
      </c>
      <c r="B416">
        <v>8.1000000000000003E-2</v>
      </c>
      <c r="C416">
        <v>2.52E-2</v>
      </c>
      <c r="D416">
        <v>258.17250000000001</v>
      </c>
      <c r="E416">
        <v>64.072800000000001</v>
      </c>
      <c r="F416">
        <v>258.1789</v>
      </c>
      <c r="G416">
        <v>64.069699999999997</v>
      </c>
      <c r="H416">
        <v>15.2</v>
      </c>
      <c r="I416" t="s">
        <v>331</v>
      </c>
      <c r="J416" t="s">
        <v>328</v>
      </c>
      <c r="K416">
        <v>894</v>
      </c>
      <c r="L416" s="4">
        <f>_xlfn.XLOOKUP(A416,[2]Int_NH!A:A,[2]Int_NH!B:B,"-",0)</f>
        <v>1.76124E-2</v>
      </c>
    </row>
    <row r="417" spans="1:12" x14ac:dyDescent="0.2">
      <c r="A417" t="s">
        <v>643</v>
      </c>
      <c r="B417">
        <v>2.7E-2</v>
      </c>
      <c r="C417">
        <v>2.5999999999999999E-2</v>
      </c>
      <c r="D417">
        <v>258.84539999999998</v>
      </c>
      <c r="E417">
        <v>57.411200000000001</v>
      </c>
      <c r="F417">
        <v>258.84539999999998</v>
      </c>
      <c r="G417">
        <v>57.411799999999999</v>
      </c>
      <c r="H417">
        <v>2</v>
      </c>
      <c r="I417" t="s">
        <v>327</v>
      </c>
      <c r="J417" t="s">
        <v>336</v>
      </c>
      <c r="K417">
        <v>4194</v>
      </c>
      <c r="L417" s="4">
        <f>_xlfn.XLOOKUP(A417,[2]Int_NH!A:A,[2]Int_NH!B:B,"-",0)</f>
        <v>2.8200699999999999E-2</v>
      </c>
    </row>
    <row r="418" spans="1:12" x14ac:dyDescent="0.2">
      <c r="A418" t="s">
        <v>644</v>
      </c>
      <c r="B418">
        <v>0.16400000000000001</v>
      </c>
      <c r="C418">
        <v>3.5900000000000001E-2</v>
      </c>
      <c r="D418">
        <v>260.0317</v>
      </c>
      <c r="E418">
        <v>27.670500000000001</v>
      </c>
      <c r="F418">
        <v>260.03460000000001</v>
      </c>
      <c r="G418">
        <v>27.669899999999998</v>
      </c>
      <c r="H418">
        <v>9.4</v>
      </c>
      <c r="I418" t="s">
        <v>331</v>
      </c>
      <c r="J418" t="s">
        <v>328</v>
      </c>
      <c r="K418">
        <v>3245</v>
      </c>
      <c r="L418" s="4">
        <f>_xlfn.XLOOKUP(A418,[2]Int_NH!A:A,[2]Int_NH!B:B,"-",0)</f>
        <v>8.2967800000000001E-3</v>
      </c>
    </row>
    <row r="419" spans="1:12" x14ac:dyDescent="0.2">
      <c r="A419" t="s">
        <v>242</v>
      </c>
      <c r="B419">
        <v>0.16400000000000001</v>
      </c>
      <c r="C419">
        <v>3.9E-2</v>
      </c>
      <c r="D419">
        <v>260.04160000000002</v>
      </c>
      <c r="E419">
        <v>26.6251</v>
      </c>
      <c r="F419">
        <v>260.04140000000001</v>
      </c>
      <c r="G419">
        <v>26.6248</v>
      </c>
      <c r="H419">
        <v>1.4</v>
      </c>
      <c r="I419" t="s">
        <v>327</v>
      </c>
      <c r="J419" t="s">
        <v>328</v>
      </c>
      <c r="K419" t="s">
        <v>645</v>
      </c>
      <c r="L419" s="4">
        <f>_xlfn.XLOOKUP(A419,[2]Int_NH!A:A,[2]Int_NH!B:B,"-",0)</f>
        <v>3.6312299999999999E-2</v>
      </c>
    </row>
    <row r="420" spans="1:12" x14ac:dyDescent="0.2">
      <c r="A420" t="s">
        <v>243</v>
      </c>
      <c r="B420">
        <v>0.39100000000000001</v>
      </c>
      <c r="C420">
        <v>3.3399999999999999E-2</v>
      </c>
      <c r="D420">
        <v>260.07010000000002</v>
      </c>
      <c r="E420">
        <v>35.607300000000002</v>
      </c>
      <c r="F420">
        <v>260.07060000000001</v>
      </c>
      <c r="G420">
        <v>35.6066</v>
      </c>
      <c r="H420">
        <v>3</v>
      </c>
      <c r="I420" t="s">
        <v>327</v>
      </c>
      <c r="J420" t="s">
        <v>328</v>
      </c>
      <c r="K420" t="s">
        <v>646</v>
      </c>
      <c r="L420" s="4">
        <f>_xlfn.XLOOKUP(A420,[2]Int_NH!A:A,[2]Int_NH!B:B,"-",0)</f>
        <v>6.3628599999999997E-3</v>
      </c>
    </row>
    <row r="421" spans="1:12" x14ac:dyDescent="0.2">
      <c r="A421" t="s">
        <v>244</v>
      </c>
      <c r="B421">
        <v>0.224</v>
      </c>
      <c r="C421">
        <v>3.3099999999999997E-2</v>
      </c>
      <c r="D421">
        <v>260.61329999999998</v>
      </c>
      <c r="E421">
        <v>32.132800000000003</v>
      </c>
      <c r="F421">
        <v>260.61360000000002</v>
      </c>
      <c r="G421">
        <v>32.132899999999999</v>
      </c>
      <c r="H421">
        <v>0.9</v>
      </c>
      <c r="I421" t="s">
        <v>327</v>
      </c>
      <c r="J421" t="s">
        <v>328</v>
      </c>
      <c r="K421">
        <v>5007</v>
      </c>
      <c r="L421" s="4">
        <f>_xlfn.XLOOKUP(A421,[2]Int_NH!A:A,[2]Int_NH!B:B,"-",0)</f>
        <v>1.7703699999999999E-2</v>
      </c>
    </row>
    <row r="422" spans="1:12" x14ac:dyDescent="0.2">
      <c r="A422" t="s">
        <v>647</v>
      </c>
      <c r="B422">
        <v>0.16900000000000001</v>
      </c>
      <c r="C422">
        <v>6.2600000000000003E-2</v>
      </c>
      <c r="D422">
        <v>261.04950000000002</v>
      </c>
      <c r="E422">
        <v>85.886300000000006</v>
      </c>
      <c r="F422">
        <v>261.04230000000001</v>
      </c>
      <c r="G422">
        <v>85.886099999999999</v>
      </c>
      <c r="H422">
        <v>2</v>
      </c>
      <c r="I422" t="s">
        <v>327</v>
      </c>
      <c r="J422" t="s">
        <v>328</v>
      </c>
      <c r="K422">
        <v>3246</v>
      </c>
      <c r="L422" s="4">
        <f>_xlfn.XLOOKUP(A422,[2]Int_NH!A:A,[2]Int_NH!B:B,"-",0)</f>
        <v>7.8653000000000001E-2</v>
      </c>
    </row>
    <row r="423" spans="1:12" x14ac:dyDescent="0.2">
      <c r="A423" t="s">
        <v>648</v>
      </c>
      <c r="B423">
        <v>0.36599999999999999</v>
      </c>
      <c r="C423">
        <v>6.1800000000000001E-2</v>
      </c>
      <c r="D423">
        <v>262.91590000000002</v>
      </c>
      <c r="E423">
        <v>22.860600000000002</v>
      </c>
      <c r="F423">
        <v>262.91590000000002</v>
      </c>
      <c r="G423">
        <v>22.860600000000002</v>
      </c>
      <c r="H423">
        <v>0</v>
      </c>
      <c r="I423" t="s">
        <v>327</v>
      </c>
      <c r="J423" t="s">
        <v>336</v>
      </c>
      <c r="K423">
        <v>3281</v>
      </c>
      <c r="L423" s="4">
        <f>_xlfn.XLOOKUP(A423,[2]Int_NH!A:A,[2]Int_NH!B:B,"-",0)</f>
        <v>0</v>
      </c>
    </row>
    <row r="424" spans="1:12" x14ac:dyDescent="0.2">
      <c r="A424" t="s">
        <v>649</v>
      </c>
      <c r="B424">
        <v>0.14099999999999999</v>
      </c>
      <c r="C424">
        <v>2.93E-2</v>
      </c>
      <c r="D424">
        <v>263.76929999999999</v>
      </c>
      <c r="E424">
        <v>64.101699999999994</v>
      </c>
      <c r="F424">
        <v>263.76929999999999</v>
      </c>
      <c r="G424">
        <v>64.101699999999994</v>
      </c>
      <c r="H424">
        <v>0</v>
      </c>
      <c r="I424" t="s">
        <v>327</v>
      </c>
      <c r="J424" t="s">
        <v>328</v>
      </c>
      <c r="K424">
        <v>10411</v>
      </c>
      <c r="L424" s="4">
        <f>_xlfn.XLOOKUP(A424,[2]Int_NH!A:A,[2]Int_NH!B:B,"-",0)</f>
        <v>4.8898700000000003E-2</v>
      </c>
    </row>
    <row r="425" spans="1:12" x14ac:dyDescent="0.2">
      <c r="A425" t="s">
        <v>650</v>
      </c>
      <c r="B425">
        <v>7.5999999999999998E-2</v>
      </c>
      <c r="C425">
        <v>3.6700000000000003E-2</v>
      </c>
      <c r="D425">
        <v>266.0598</v>
      </c>
      <c r="E425">
        <v>32.991100000000003</v>
      </c>
      <c r="F425">
        <v>266.06049999999999</v>
      </c>
      <c r="G425">
        <v>32.991599999999998</v>
      </c>
      <c r="H425">
        <v>2.6</v>
      </c>
      <c r="I425" t="s">
        <v>327</v>
      </c>
      <c r="J425" t="s">
        <v>328</v>
      </c>
      <c r="K425">
        <v>11708</v>
      </c>
      <c r="L425" s="4">
        <f>_xlfn.XLOOKUP(A425,[2]Int_NH!A:A,[2]Int_NH!B:B,"-",0)</f>
        <v>3.0478499999999999E-2</v>
      </c>
    </row>
    <row r="426" spans="1:12" x14ac:dyDescent="0.2">
      <c r="A426" t="s">
        <v>245</v>
      </c>
      <c r="B426">
        <v>0.157</v>
      </c>
      <c r="C426">
        <v>2.9600000000000001E-2</v>
      </c>
      <c r="D426">
        <v>266.81130000000002</v>
      </c>
      <c r="E426">
        <v>45.196800000000003</v>
      </c>
      <c r="F426">
        <v>266.80939999999998</v>
      </c>
      <c r="G426">
        <v>45.195999999999998</v>
      </c>
      <c r="H426">
        <v>5.7</v>
      </c>
      <c r="I426" t="s">
        <v>331</v>
      </c>
      <c r="J426" t="s">
        <v>328</v>
      </c>
      <c r="K426">
        <v>15118</v>
      </c>
      <c r="L426" s="4">
        <f>_xlfn.XLOOKUP(A426,[2]Int_NH!A:A,[2]Int_NH!B:B,"-",0)</f>
        <v>7.8768099999999994E-2</v>
      </c>
    </row>
    <row r="427" spans="1:12" x14ac:dyDescent="0.2">
      <c r="A427" t="s">
        <v>246</v>
      </c>
      <c r="B427">
        <v>0.17100000000000001</v>
      </c>
      <c r="C427">
        <v>3.1300000000000001E-2</v>
      </c>
      <c r="D427">
        <v>267.57040000000001</v>
      </c>
      <c r="E427">
        <v>35.082799999999999</v>
      </c>
      <c r="F427">
        <v>267.56909999999999</v>
      </c>
      <c r="G427">
        <v>35.082799999999999</v>
      </c>
      <c r="H427">
        <v>3.9</v>
      </c>
      <c r="I427" t="s">
        <v>327</v>
      </c>
      <c r="J427" t="s">
        <v>328</v>
      </c>
      <c r="K427">
        <v>12252</v>
      </c>
      <c r="L427" s="4">
        <f>_xlfn.XLOOKUP(A427,[2]Int_NH!A:A,[2]Int_NH!B:B,"-",0)</f>
        <v>3.1396599999999997E-2</v>
      </c>
    </row>
    <row r="428" spans="1:12" x14ac:dyDescent="0.2">
      <c r="A428" t="s">
        <v>651</v>
      </c>
      <c r="B428">
        <v>1.3100000000000001E-2</v>
      </c>
      <c r="C428">
        <v>7.7499999999999999E-2</v>
      </c>
      <c r="D428">
        <v>267.95310000000001</v>
      </c>
      <c r="E428">
        <v>23.071899999999999</v>
      </c>
      <c r="F428">
        <v>267.95310000000001</v>
      </c>
      <c r="G428">
        <v>23.071899999999999</v>
      </c>
      <c r="H428">
        <v>0.2</v>
      </c>
      <c r="I428" t="s">
        <v>327</v>
      </c>
      <c r="J428" t="s">
        <v>328</v>
      </c>
      <c r="K428">
        <v>3218</v>
      </c>
      <c r="L428" s="4">
        <f>_xlfn.XLOOKUP(A428,[2]Int_NH!A:A,[2]Int_NH!B:B,"-",0)</f>
        <v>0.114802</v>
      </c>
    </row>
    <row r="429" spans="1:12" x14ac:dyDescent="0.2">
      <c r="A429" t="s">
        <v>247</v>
      </c>
      <c r="B429">
        <v>0.152</v>
      </c>
      <c r="C429">
        <v>9.3100000000000002E-2</v>
      </c>
      <c r="D429">
        <v>271.13099999999997</v>
      </c>
      <c r="E429">
        <v>10.0571</v>
      </c>
      <c r="F429">
        <v>271.13069999999999</v>
      </c>
      <c r="G429">
        <v>10.056800000000001</v>
      </c>
      <c r="H429">
        <v>1.4</v>
      </c>
      <c r="I429" t="s">
        <v>327</v>
      </c>
      <c r="J429" t="s">
        <v>328</v>
      </c>
      <c r="K429">
        <v>15098</v>
      </c>
      <c r="L429" s="4">
        <f>_xlfn.XLOOKUP(A429,[2]Int_NH!A:A,[2]Int_NH!B:B,"-",0)</f>
        <v>6.5450499999999995E-2</v>
      </c>
    </row>
    <row r="430" spans="1:12" x14ac:dyDescent="0.2">
      <c r="A430" t="s">
        <v>652</v>
      </c>
      <c r="B430">
        <v>0.17899999999999999</v>
      </c>
      <c r="C430">
        <v>3.9199999999999999E-2</v>
      </c>
      <c r="D430">
        <v>274.99180000000001</v>
      </c>
      <c r="E430">
        <v>57.156100000000002</v>
      </c>
      <c r="F430">
        <v>274.99169999999998</v>
      </c>
      <c r="G430">
        <v>57.156100000000002</v>
      </c>
      <c r="H430">
        <v>0</v>
      </c>
      <c r="I430" t="s">
        <v>327</v>
      </c>
      <c r="J430" t="s">
        <v>328</v>
      </c>
      <c r="K430" t="s">
        <v>653</v>
      </c>
      <c r="L430" s="4">
        <f>_xlfn.XLOOKUP(A430,[2]Int_NH!A:A,[2]Int_NH!B:B,"-",0)</f>
        <v>6.9345299999999999E-2</v>
      </c>
    </row>
    <row r="431" spans="1:12" x14ac:dyDescent="0.2">
      <c r="A431" t="s">
        <v>248</v>
      </c>
      <c r="B431">
        <v>0.29699999999999999</v>
      </c>
      <c r="C431">
        <v>4.0300000000000002E-2</v>
      </c>
      <c r="D431">
        <v>275.48759999999999</v>
      </c>
      <c r="E431">
        <v>64.343800000000002</v>
      </c>
      <c r="F431">
        <v>275.48759999999999</v>
      </c>
      <c r="G431">
        <v>64.343800000000002</v>
      </c>
      <c r="H431">
        <v>0.1</v>
      </c>
      <c r="I431" t="s">
        <v>327</v>
      </c>
      <c r="J431" t="s">
        <v>328</v>
      </c>
      <c r="K431" t="s">
        <v>654</v>
      </c>
      <c r="L431" s="4">
        <f>_xlfn.XLOOKUP(A431,[2]Int_NH!A:A,[2]Int_NH!B:B,"-",0)</f>
        <v>0</v>
      </c>
    </row>
    <row r="432" spans="1:12" x14ac:dyDescent="0.2">
      <c r="A432" t="s">
        <v>249</v>
      </c>
      <c r="B432">
        <v>0.48699999999999999</v>
      </c>
      <c r="C432">
        <v>4.4699999999999997E-2</v>
      </c>
      <c r="D432">
        <v>276.07920000000001</v>
      </c>
      <c r="E432">
        <v>43.163499999999999</v>
      </c>
      <c r="F432">
        <v>276.0788</v>
      </c>
      <c r="G432">
        <v>43.163800000000002</v>
      </c>
      <c r="H432">
        <v>1.4</v>
      </c>
      <c r="I432" t="s">
        <v>327</v>
      </c>
      <c r="J432" t="s">
        <v>336</v>
      </c>
      <c r="K432">
        <v>3255</v>
      </c>
      <c r="L432" s="4">
        <f>_xlfn.XLOOKUP(A432,[2]Int_NH!A:A,[2]Int_NH!B:B,"-",0)</f>
        <v>0</v>
      </c>
    </row>
    <row r="433" spans="1:12" x14ac:dyDescent="0.2">
      <c r="A433" t="s">
        <v>250</v>
      </c>
      <c r="B433">
        <v>0.20300000000000001</v>
      </c>
      <c r="C433">
        <v>5.9700000000000003E-2</v>
      </c>
      <c r="D433">
        <v>277.27350000000001</v>
      </c>
      <c r="E433">
        <v>69.235299999999995</v>
      </c>
      <c r="F433">
        <v>277.2758</v>
      </c>
      <c r="G433">
        <v>69.235600000000005</v>
      </c>
      <c r="H433">
        <v>3.1</v>
      </c>
      <c r="I433" t="s">
        <v>327</v>
      </c>
      <c r="J433" t="s">
        <v>328</v>
      </c>
      <c r="K433" t="s">
        <v>655</v>
      </c>
      <c r="L433" s="4">
        <f>_xlfn.XLOOKUP(A433,[2]Int_NH!A:A,[2]Int_NH!B:B,"-",0)</f>
        <v>4.8009200000000002E-2</v>
      </c>
    </row>
    <row r="434" spans="1:12" x14ac:dyDescent="0.2">
      <c r="A434" t="s">
        <v>251</v>
      </c>
      <c r="B434">
        <v>0.109</v>
      </c>
      <c r="C434">
        <v>5.16E-2</v>
      </c>
      <c r="D434">
        <v>283.03579999999999</v>
      </c>
      <c r="E434">
        <v>57.194899999999997</v>
      </c>
      <c r="F434">
        <v>283.0367</v>
      </c>
      <c r="G434">
        <v>57.1952</v>
      </c>
      <c r="H434">
        <v>2.1</v>
      </c>
      <c r="I434" t="s">
        <v>327</v>
      </c>
      <c r="J434" t="s">
        <v>328</v>
      </c>
      <c r="K434">
        <v>5749</v>
      </c>
      <c r="L434" s="4">
        <f>_xlfn.XLOOKUP(A434,[2]Int_NH!A:A,[2]Int_NH!B:B,"-",0)</f>
        <v>0</v>
      </c>
    </row>
    <row r="435" spans="1:12" x14ac:dyDescent="0.2">
      <c r="A435" t="s">
        <v>656</v>
      </c>
      <c r="B435">
        <v>9.2999999999999999E-2</v>
      </c>
      <c r="C435">
        <v>5.3600000000000002E-2</v>
      </c>
      <c r="D435">
        <v>283.50940000000003</v>
      </c>
      <c r="E435">
        <v>68.3827</v>
      </c>
      <c r="F435">
        <v>283.50940000000003</v>
      </c>
      <c r="G435">
        <v>68.3827</v>
      </c>
      <c r="H435">
        <v>0</v>
      </c>
      <c r="I435" t="s">
        <v>327</v>
      </c>
      <c r="J435" t="s">
        <v>328</v>
      </c>
      <c r="K435">
        <v>15121</v>
      </c>
      <c r="L435" s="4">
        <f>_xlfn.XLOOKUP(A435,[2]Int_NH!A:A,[2]Int_NH!B:B,"-",0)</f>
        <v>0.107289</v>
      </c>
    </row>
    <row r="436" spans="1:12" x14ac:dyDescent="0.2">
      <c r="A436" t="s">
        <v>657</v>
      </c>
      <c r="B436">
        <v>0.26400000000000001</v>
      </c>
      <c r="C436">
        <v>5.5E-2</v>
      </c>
      <c r="D436">
        <v>288.65640000000002</v>
      </c>
      <c r="E436">
        <v>-59.472200000000001</v>
      </c>
      <c r="F436">
        <v>288.65640000000002</v>
      </c>
      <c r="G436">
        <v>-59.472200000000001</v>
      </c>
      <c r="H436">
        <v>0</v>
      </c>
      <c r="I436" t="s">
        <v>327</v>
      </c>
      <c r="J436" t="s">
        <v>328</v>
      </c>
      <c r="K436">
        <v>15135</v>
      </c>
      <c r="L436" s="4">
        <f>_xlfn.XLOOKUP(A436,[2]Int_NH!A:A,[2]Int_NH!B:B,"-",0)</f>
        <v>1.0243E-2</v>
      </c>
    </row>
    <row r="437" spans="1:12" x14ac:dyDescent="0.2">
      <c r="A437" t="s">
        <v>658</v>
      </c>
      <c r="B437">
        <v>5.6000000000000001E-2</v>
      </c>
      <c r="C437">
        <v>8.4500000000000006E-2</v>
      </c>
      <c r="D437">
        <v>290.29450000000003</v>
      </c>
      <c r="E437">
        <v>43.951599999999999</v>
      </c>
      <c r="F437">
        <v>290.29020000000003</v>
      </c>
      <c r="G437">
        <v>43.956000000000003</v>
      </c>
      <c r="H437">
        <v>19.399999999999999</v>
      </c>
      <c r="I437" t="s">
        <v>331</v>
      </c>
      <c r="J437" t="s">
        <v>328</v>
      </c>
      <c r="K437">
        <v>3231</v>
      </c>
      <c r="L437" s="4">
        <f>_xlfn.XLOOKUP(A437,[2]Int_NH!A:A,[2]Int_NH!B:B,"-",0)</f>
        <v>2.7215799999999998E-2</v>
      </c>
    </row>
    <row r="438" spans="1:12" x14ac:dyDescent="0.2">
      <c r="A438" t="s">
        <v>252</v>
      </c>
      <c r="B438">
        <v>0.35199999999999998</v>
      </c>
      <c r="C438">
        <v>9.0300000000000005E-2</v>
      </c>
      <c r="D438">
        <v>292.95690000000002</v>
      </c>
      <c r="E438">
        <v>-26.575900000000001</v>
      </c>
      <c r="F438">
        <v>292.95690000000002</v>
      </c>
      <c r="G438">
        <v>-26.5761</v>
      </c>
      <c r="H438">
        <v>0.9</v>
      </c>
      <c r="I438" t="s">
        <v>327</v>
      </c>
      <c r="J438" t="s">
        <v>328</v>
      </c>
      <c r="K438">
        <v>9382</v>
      </c>
      <c r="L438" s="4">
        <f>_xlfn.XLOOKUP(A438,[2]Int_NH!A:A,[2]Int_NH!B:B,"-",0)</f>
        <v>2.17965E-3</v>
      </c>
    </row>
    <row r="439" spans="1:12" x14ac:dyDescent="0.2">
      <c r="A439" t="s">
        <v>659</v>
      </c>
      <c r="B439">
        <v>0.23699999999999999</v>
      </c>
      <c r="C439">
        <v>4.9200000000000001E-2</v>
      </c>
      <c r="D439">
        <v>293.71969999999999</v>
      </c>
      <c r="E439">
        <v>-50.876100000000001</v>
      </c>
      <c r="F439">
        <v>293.71969999999999</v>
      </c>
      <c r="G439">
        <v>-50.876100000000001</v>
      </c>
      <c r="H439">
        <v>0</v>
      </c>
      <c r="I439" t="s">
        <v>327</v>
      </c>
      <c r="J439" t="s">
        <v>336</v>
      </c>
      <c r="K439">
        <v>15120</v>
      </c>
      <c r="L439" s="4">
        <f>_xlfn.XLOOKUP(A439,[2]Int_NH!A:A,[2]Int_NH!B:B,"-",0)</f>
        <v>2.9646599999999999E-2</v>
      </c>
    </row>
    <row r="440" spans="1:12" x14ac:dyDescent="0.2">
      <c r="A440" t="s">
        <v>660</v>
      </c>
      <c r="B440">
        <v>0.26</v>
      </c>
      <c r="C440">
        <v>0.1111</v>
      </c>
      <c r="D440">
        <v>294.57679999999999</v>
      </c>
      <c r="E440">
        <v>54.159700000000001</v>
      </c>
      <c r="F440">
        <v>294.57679999999999</v>
      </c>
      <c r="G440">
        <v>54.159700000000001</v>
      </c>
      <c r="H440">
        <v>0</v>
      </c>
      <c r="I440" t="s">
        <v>327</v>
      </c>
      <c r="J440" t="s">
        <v>328</v>
      </c>
      <c r="K440">
        <v>15104</v>
      </c>
      <c r="L440" s="4">
        <f>_xlfn.XLOOKUP(A440,[2]Int_NH!A:A,[2]Int_NH!B:B,"-",0)</f>
        <v>6.2392400000000001E-2</v>
      </c>
    </row>
    <row r="441" spans="1:12" x14ac:dyDescent="0.2">
      <c r="A441" t="s">
        <v>661</v>
      </c>
      <c r="B441">
        <v>0.217</v>
      </c>
      <c r="C441">
        <v>7.17E-2</v>
      </c>
      <c r="D441">
        <v>296.81209999999999</v>
      </c>
      <c r="E441">
        <v>-76.395799999999994</v>
      </c>
      <c r="F441">
        <v>296.81209999999999</v>
      </c>
      <c r="G441">
        <v>-76.395799999999994</v>
      </c>
      <c r="H441">
        <v>0</v>
      </c>
      <c r="I441" t="s">
        <v>327</v>
      </c>
      <c r="J441" t="s">
        <v>328</v>
      </c>
      <c r="K441">
        <v>15102</v>
      </c>
      <c r="L441" s="4">
        <f>_xlfn.XLOOKUP(A441,[2]Int_NH!A:A,[2]Int_NH!B:B,"-",0)</f>
        <v>7.4993299999999999E-2</v>
      </c>
    </row>
    <row r="442" spans="1:12" x14ac:dyDescent="0.2">
      <c r="A442" t="s">
        <v>253</v>
      </c>
      <c r="B442">
        <v>0.109</v>
      </c>
      <c r="C442">
        <v>4.87E-2</v>
      </c>
      <c r="D442">
        <v>298.26409999999998</v>
      </c>
      <c r="E442">
        <v>-52.036900000000003</v>
      </c>
      <c r="F442">
        <v>298.26229999999998</v>
      </c>
      <c r="G442">
        <v>-52.035800000000002</v>
      </c>
      <c r="H442">
        <v>5.6</v>
      </c>
      <c r="I442" t="s">
        <v>331</v>
      </c>
      <c r="J442" t="s">
        <v>328</v>
      </c>
      <c r="K442">
        <v>10460</v>
      </c>
      <c r="L442" s="4">
        <f>_xlfn.XLOOKUP(A442,[2]Int_NH!A:A,[2]Int_NH!B:B,"-",0)</f>
        <v>0</v>
      </c>
    </row>
    <row r="443" spans="1:12" x14ac:dyDescent="0.2">
      <c r="A443" t="s">
        <v>254</v>
      </c>
      <c r="B443">
        <v>0.11700000000000001</v>
      </c>
      <c r="C443">
        <v>8.5199999999999998E-2</v>
      </c>
      <c r="D443">
        <v>299.56240000000003</v>
      </c>
      <c r="E443">
        <v>-30.186599999999999</v>
      </c>
      <c r="F443">
        <v>299.56229999999999</v>
      </c>
      <c r="G443">
        <v>-30.186399999999999</v>
      </c>
      <c r="H443">
        <v>1</v>
      </c>
      <c r="I443" t="s">
        <v>327</v>
      </c>
      <c r="J443" t="s">
        <v>336</v>
      </c>
      <c r="K443">
        <v>13136</v>
      </c>
      <c r="L443" s="4">
        <f>_xlfn.XLOOKUP(A443,[2]Int_NH!A:A,[2]Int_NH!B:B,"-",0)</f>
        <v>0</v>
      </c>
    </row>
    <row r="444" spans="1:12" x14ac:dyDescent="0.2">
      <c r="A444" t="s">
        <v>255</v>
      </c>
      <c r="B444">
        <v>0.317</v>
      </c>
      <c r="C444">
        <v>8.5999999999999993E-2</v>
      </c>
      <c r="D444">
        <v>300.87130000000002</v>
      </c>
      <c r="E444">
        <v>-23.3734</v>
      </c>
      <c r="F444">
        <v>300.86239999999998</v>
      </c>
      <c r="G444">
        <v>-23.3827</v>
      </c>
      <c r="H444">
        <v>44.6</v>
      </c>
      <c r="I444" t="s">
        <v>331</v>
      </c>
      <c r="J444" t="s">
        <v>328</v>
      </c>
      <c r="K444">
        <v>7916</v>
      </c>
      <c r="L444" s="4">
        <f>_xlfn.XLOOKUP(A444,[2]Int_NH!A:A,[2]Int_NH!B:B,"-",0)</f>
        <v>0</v>
      </c>
    </row>
    <row r="445" spans="1:12" x14ac:dyDescent="0.2">
      <c r="A445" t="s">
        <v>662</v>
      </c>
      <c r="B445">
        <v>9.4999999999999998E-3</v>
      </c>
      <c r="C445">
        <v>4.9599999999999998E-2</v>
      </c>
      <c r="D445">
        <v>302.47539999999998</v>
      </c>
      <c r="E445">
        <v>-48.379899999999999</v>
      </c>
      <c r="F445">
        <v>302.47539999999998</v>
      </c>
      <c r="G445">
        <v>-48.379899999999999</v>
      </c>
      <c r="H445">
        <v>0</v>
      </c>
      <c r="I445" t="s">
        <v>327</v>
      </c>
      <c r="J445" t="s">
        <v>328</v>
      </c>
      <c r="K445" t="s">
        <v>663</v>
      </c>
      <c r="L445" s="4">
        <f>_xlfn.XLOOKUP(A445,[2]Int_NH!A:A,[2]Int_NH!B:B,"-",0)</f>
        <v>2.9282099999999998E-2</v>
      </c>
    </row>
    <row r="446" spans="1:12" x14ac:dyDescent="0.2">
      <c r="A446" t="s">
        <v>256</v>
      </c>
      <c r="B446">
        <v>0.27900000000000003</v>
      </c>
      <c r="C446">
        <v>4.1300000000000003E-2</v>
      </c>
      <c r="D446">
        <v>302.86219999999997</v>
      </c>
      <c r="E446">
        <v>-57.419899999999998</v>
      </c>
      <c r="F446">
        <v>302.86169999999998</v>
      </c>
      <c r="G446">
        <v>-57.419600000000003</v>
      </c>
      <c r="H446">
        <v>1.4</v>
      </c>
      <c r="I446" t="s">
        <v>327</v>
      </c>
      <c r="J446" t="s">
        <v>328</v>
      </c>
      <c r="K446">
        <v>4995</v>
      </c>
      <c r="L446" s="4">
        <f>_xlfn.XLOOKUP(A446,[2]Int_NH!A:A,[2]Int_NH!B:B,"-",0)</f>
        <v>3.1999800000000002E-2</v>
      </c>
    </row>
    <row r="447" spans="1:12" x14ac:dyDescent="0.2">
      <c r="A447" t="s">
        <v>257</v>
      </c>
      <c r="B447">
        <v>5.6000000000000001E-2</v>
      </c>
      <c r="C447">
        <v>4.82E-2</v>
      </c>
      <c r="D447">
        <v>303.17520000000002</v>
      </c>
      <c r="E447">
        <v>-56.847099999999998</v>
      </c>
      <c r="F447">
        <v>303.17180000000002</v>
      </c>
      <c r="G447">
        <v>-56.843299999999999</v>
      </c>
      <c r="H447">
        <v>15.5</v>
      </c>
      <c r="I447" t="s">
        <v>331</v>
      </c>
      <c r="J447" t="s">
        <v>336</v>
      </c>
      <c r="K447" t="s">
        <v>664</v>
      </c>
      <c r="L447" s="4">
        <f>_xlfn.XLOOKUP(A447,[2]Int_NH!A:A,[2]Int_NH!B:B,"-",0)</f>
        <v>9.2775700000000006E-3</v>
      </c>
    </row>
    <row r="448" spans="1:12" x14ac:dyDescent="0.2">
      <c r="A448" t="s">
        <v>665</v>
      </c>
      <c r="B448">
        <v>0.161</v>
      </c>
      <c r="C448">
        <v>7.6999999999999999E-2</v>
      </c>
      <c r="D448">
        <v>303.71530000000001</v>
      </c>
      <c r="E448">
        <v>-24.5062</v>
      </c>
      <c r="F448">
        <v>303.71559999999999</v>
      </c>
      <c r="G448">
        <v>-24.508900000000001</v>
      </c>
      <c r="H448">
        <v>9.9</v>
      </c>
      <c r="I448" t="s">
        <v>331</v>
      </c>
      <c r="J448" t="s">
        <v>328</v>
      </c>
      <c r="K448">
        <v>11757</v>
      </c>
      <c r="L448" s="4">
        <f>_xlfn.XLOOKUP(A448,[2]Int_NH!A:A,[2]Int_NH!B:B,"-",0)</f>
        <v>6.1079799999999997E-2</v>
      </c>
    </row>
    <row r="449" spans="1:12" x14ac:dyDescent="0.2">
      <c r="A449" t="s">
        <v>666</v>
      </c>
      <c r="B449">
        <v>0.23200000000000001</v>
      </c>
      <c r="C449">
        <v>5.1499999999999997E-2</v>
      </c>
      <c r="D449">
        <v>305.83890000000002</v>
      </c>
      <c r="E449">
        <v>-55.596699999999998</v>
      </c>
      <c r="F449">
        <v>305.83890000000002</v>
      </c>
      <c r="G449">
        <v>-55.596699999999998</v>
      </c>
      <c r="H449">
        <v>0</v>
      </c>
      <c r="I449" t="s">
        <v>327</v>
      </c>
      <c r="J449" t="s">
        <v>328</v>
      </c>
      <c r="K449">
        <v>15108</v>
      </c>
      <c r="L449" s="4">
        <f>_xlfn.XLOOKUP(A449,[2]Int_NH!A:A,[2]Int_NH!B:B,"-",0)</f>
        <v>2.18519E-2</v>
      </c>
    </row>
    <row r="450" spans="1:12" x14ac:dyDescent="0.2">
      <c r="A450" t="s">
        <v>258</v>
      </c>
      <c r="B450">
        <v>0.34200000000000003</v>
      </c>
      <c r="C450">
        <v>3.9399999999999998E-2</v>
      </c>
      <c r="D450">
        <v>307.96019999999999</v>
      </c>
      <c r="E450">
        <v>-40.6252</v>
      </c>
      <c r="F450">
        <v>307.9699</v>
      </c>
      <c r="G450">
        <v>-40.623100000000001</v>
      </c>
      <c r="H450">
        <v>27.7</v>
      </c>
      <c r="I450" t="s">
        <v>331</v>
      </c>
      <c r="J450" t="s">
        <v>336</v>
      </c>
      <c r="K450">
        <v>13517</v>
      </c>
      <c r="L450" s="4">
        <f>_xlfn.XLOOKUP(A450,[2]Int_NH!A:A,[2]Int_NH!B:B,"-",0)</f>
        <v>0</v>
      </c>
    </row>
    <row r="451" spans="1:12" x14ac:dyDescent="0.2">
      <c r="A451" t="s">
        <v>667</v>
      </c>
      <c r="B451">
        <v>0.92</v>
      </c>
      <c r="C451">
        <v>5.8299999999999998E-2</v>
      </c>
      <c r="D451">
        <v>308.53820000000002</v>
      </c>
      <c r="E451">
        <v>-59.605200000000004</v>
      </c>
      <c r="F451">
        <v>308.53820000000002</v>
      </c>
      <c r="G451">
        <v>-59.605200000000004</v>
      </c>
      <c r="H451">
        <v>0</v>
      </c>
      <c r="I451" t="s">
        <v>327</v>
      </c>
      <c r="J451" t="s">
        <v>336</v>
      </c>
      <c r="K451">
        <v>12182</v>
      </c>
      <c r="L451" s="4">
        <f>_xlfn.XLOOKUP(A451,[2]Int_NH!A:A,[2]Int_NH!B:B,"-",0)</f>
        <v>2.4465600000000001E-2</v>
      </c>
    </row>
    <row r="452" spans="1:12" x14ac:dyDescent="0.2">
      <c r="A452" t="s">
        <v>259</v>
      </c>
      <c r="B452">
        <v>8.8999999999999996E-2</v>
      </c>
      <c r="C452">
        <v>3.6999999999999998E-2</v>
      </c>
      <c r="D452">
        <v>308.68880000000001</v>
      </c>
      <c r="E452">
        <v>-35.811999999999998</v>
      </c>
      <c r="F452">
        <v>308.6884</v>
      </c>
      <c r="G452">
        <v>-35.811199999999999</v>
      </c>
      <c r="H452">
        <v>3.1</v>
      </c>
      <c r="I452" t="s">
        <v>327</v>
      </c>
      <c r="J452" t="s">
        <v>328</v>
      </c>
      <c r="K452">
        <v>12274</v>
      </c>
      <c r="L452" s="4">
        <f>_xlfn.XLOOKUP(A452,[2]Int_NH!A:A,[2]Int_NH!B:B,"-",0)</f>
        <v>0</v>
      </c>
    </row>
    <row r="453" spans="1:12" x14ac:dyDescent="0.2">
      <c r="A453" t="s">
        <v>668</v>
      </c>
      <c r="B453">
        <v>0.72299999999999998</v>
      </c>
      <c r="C453">
        <v>2.9700000000000001E-2</v>
      </c>
      <c r="D453">
        <v>310.82310000000001</v>
      </c>
      <c r="E453">
        <v>-50.592300000000002</v>
      </c>
      <c r="F453">
        <v>310.82310000000001</v>
      </c>
      <c r="G453">
        <v>-50.592300000000002</v>
      </c>
      <c r="H453">
        <v>0</v>
      </c>
      <c r="I453" t="s">
        <v>327</v>
      </c>
      <c r="J453" t="s">
        <v>328</v>
      </c>
      <c r="K453">
        <v>13478</v>
      </c>
      <c r="L453" s="4">
        <f>_xlfn.XLOOKUP(A453,[2]Int_NH!A:A,[2]Int_NH!B:B,"-",0)</f>
        <v>1.8956400000000001E-3</v>
      </c>
    </row>
    <row r="454" spans="1:12" x14ac:dyDescent="0.2">
      <c r="A454" t="s">
        <v>260</v>
      </c>
      <c r="B454">
        <v>0.42299999999999999</v>
      </c>
      <c r="C454">
        <v>4.65E-2</v>
      </c>
      <c r="D454">
        <v>311.50209999999998</v>
      </c>
      <c r="E454">
        <v>-34.504800000000003</v>
      </c>
      <c r="F454">
        <v>311.5018</v>
      </c>
      <c r="G454">
        <v>-34.506100000000004</v>
      </c>
      <c r="H454">
        <v>5</v>
      </c>
      <c r="I454" t="s">
        <v>331</v>
      </c>
      <c r="J454" t="s">
        <v>328</v>
      </c>
      <c r="K454" t="s">
        <v>669</v>
      </c>
      <c r="L454" s="4">
        <f>_xlfn.XLOOKUP(A454,[2]Int_NH!A:A,[2]Int_NH!B:B,"-",0)</f>
        <v>2.2793900000000001E-3</v>
      </c>
    </row>
    <row r="455" spans="1:12" x14ac:dyDescent="0.2">
      <c r="A455" t="s">
        <v>261</v>
      </c>
      <c r="B455">
        <v>0.32500000000000001</v>
      </c>
      <c r="C455">
        <v>5.5800000000000002E-2</v>
      </c>
      <c r="D455">
        <v>312.48399999999998</v>
      </c>
      <c r="E455">
        <v>-32.280299999999997</v>
      </c>
      <c r="F455">
        <v>312.48439999999999</v>
      </c>
      <c r="G455">
        <v>-32.281199999999998</v>
      </c>
      <c r="H455">
        <v>3.4</v>
      </c>
      <c r="I455" t="s">
        <v>327</v>
      </c>
      <c r="J455" t="s">
        <v>328</v>
      </c>
      <c r="K455">
        <v>3283</v>
      </c>
      <c r="L455" s="4">
        <f>_xlfn.XLOOKUP(A455,[2]Int_NH!A:A,[2]Int_NH!B:B,"-",0)</f>
        <v>1.90665E-2</v>
      </c>
    </row>
    <row r="456" spans="1:12" x14ac:dyDescent="0.2">
      <c r="A456" t="s">
        <v>670</v>
      </c>
      <c r="B456">
        <v>4.7199999999999999E-2</v>
      </c>
      <c r="C456">
        <v>3.6999999999999998E-2</v>
      </c>
      <c r="D456">
        <v>312.98719999999997</v>
      </c>
      <c r="E456">
        <v>-52.629600000000003</v>
      </c>
      <c r="F456">
        <v>312.98719999999997</v>
      </c>
      <c r="G456">
        <v>-52.629600000000003</v>
      </c>
      <c r="H456">
        <v>0</v>
      </c>
      <c r="I456" t="s">
        <v>327</v>
      </c>
      <c r="J456" t="s">
        <v>336</v>
      </c>
      <c r="K456">
        <v>15583</v>
      </c>
      <c r="L456" s="4">
        <f>_xlfn.XLOOKUP(A456,[2]Int_NH!A:A,[2]Int_NH!B:B,"-",0)</f>
        <v>1.0368799999999999E-2</v>
      </c>
    </row>
    <row r="457" spans="1:12" x14ac:dyDescent="0.2">
      <c r="A457" t="s">
        <v>262</v>
      </c>
      <c r="B457">
        <v>0.16500000000000001</v>
      </c>
      <c r="C457">
        <v>3.5999999999999997E-2</v>
      </c>
      <c r="D457">
        <v>316.07870000000003</v>
      </c>
      <c r="E457">
        <v>-41.3446</v>
      </c>
      <c r="F457">
        <v>316.07979999999998</v>
      </c>
      <c r="G457">
        <v>-41.344900000000003</v>
      </c>
      <c r="H457">
        <v>3.1</v>
      </c>
      <c r="I457" t="s">
        <v>327</v>
      </c>
      <c r="J457" t="s">
        <v>328</v>
      </c>
      <c r="K457">
        <v>15130</v>
      </c>
      <c r="L457" s="4">
        <f>_xlfn.XLOOKUP(A457,[2]Int_NH!A:A,[2]Int_NH!B:B,"-",0)</f>
        <v>2.9830499999999999E-2</v>
      </c>
    </row>
    <row r="458" spans="1:12" x14ac:dyDescent="0.2">
      <c r="A458" t="s">
        <v>671</v>
      </c>
      <c r="B458">
        <v>1.1319999999999999</v>
      </c>
      <c r="C458">
        <v>4.9000000000000002E-2</v>
      </c>
      <c r="D458">
        <v>316.52140000000003</v>
      </c>
      <c r="E458">
        <v>-58.741900000000001</v>
      </c>
      <c r="F458">
        <v>316.52140000000003</v>
      </c>
      <c r="G458">
        <v>-58.741900000000001</v>
      </c>
      <c r="H458">
        <v>0</v>
      </c>
      <c r="I458" t="s">
        <v>327</v>
      </c>
      <c r="J458" t="s">
        <v>336</v>
      </c>
      <c r="K458" t="s">
        <v>672</v>
      </c>
      <c r="L458" s="4">
        <f>_xlfn.XLOOKUP(A458,[2]Int_NH!A:A,[2]Int_NH!B:B,"-",0)</f>
        <v>4.7833899999999999E-2</v>
      </c>
    </row>
    <row r="459" spans="1:12" x14ac:dyDescent="0.2">
      <c r="A459" t="s">
        <v>263</v>
      </c>
      <c r="B459">
        <v>4.9000000000000002E-2</v>
      </c>
      <c r="C459">
        <v>6.6500000000000004E-2</v>
      </c>
      <c r="D459">
        <v>318.48219999999998</v>
      </c>
      <c r="E459">
        <v>2.5651999999999999</v>
      </c>
      <c r="F459">
        <v>318.4828</v>
      </c>
      <c r="G459">
        <v>2.5638000000000001</v>
      </c>
      <c r="H459">
        <v>5.3</v>
      </c>
      <c r="I459" t="s">
        <v>331</v>
      </c>
      <c r="J459" t="s">
        <v>328</v>
      </c>
      <c r="K459">
        <v>10747</v>
      </c>
      <c r="L459" s="4">
        <f>_xlfn.XLOOKUP(A459,[2]Int_NH!A:A,[2]Int_NH!B:B,"-",0)</f>
        <v>2.17685E-2</v>
      </c>
    </row>
    <row r="460" spans="1:12" x14ac:dyDescent="0.2">
      <c r="A460" t="s">
        <v>264</v>
      </c>
      <c r="B460">
        <v>0.17649999999999999</v>
      </c>
      <c r="C460">
        <v>4.8800000000000003E-2</v>
      </c>
      <c r="D460">
        <v>321.78969999999998</v>
      </c>
      <c r="E460">
        <v>-12.174799999999999</v>
      </c>
      <c r="F460">
        <v>321.78969999999998</v>
      </c>
      <c r="G460">
        <v>-12.174799999999999</v>
      </c>
      <c r="H460">
        <v>0.2</v>
      </c>
      <c r="I460" t="s">
        <v>327</v>
      </c>
      <c r="J460" t="s">
        <v>328</v>
      </c>
      <c r="K460">
        <v>15103</v>
      </c>
      <c r="L460" s="4">
        <f>_xlfn.XLOOKUP(A460,[2]Int_NH!A:A,[2]Int_NH!B:B,"-",0)</f>
        <v>8.9353399999999999E-3</v>
      </c>
    </row>
    <row r="461" spans="1:12" x14ac:dyDescent="0.2">
      <c r="A461" t="s">
        <v>673</v>
      </c>
      <c r="B461">
        <v>0.58899999999999997</v>
      </c>
      <c r="C461">
        <v>4.7500000000000001E-2</v>
      </c>
      <c r="D461">
        <v>322.36070000000001</v>
      </c>
      <c r="E461">
        <v>-7.6908000000000003</v>
      </c>
      <c r="F461">
        <v>322.36070000000001</v>
      </c>
      <c r="G461">
        <v>-7.6908000000000003</v>
      </c>
      <c r="H461">
        <v>0</v>
      </c>
      <c r="I461" t="s">
        <v>327</v>
      </c>
      <c r="J461" t="s">
        <v>336</v>
      </c>
      <c r="K461" t="s">
        <v>674</v>
      </c>
      <c r="L461" s="4">
        <f>_xlfn.XLOOKUP(A461,[2]Int_NH!A:A,[2]Int_NH!B:B,"-",0)</f>
        <v>1.5893000000000001E-2</v>
      </c>
    </row>
    <row r="462" spans="1:12" x14ac:dyDescent="0.2">
      <c r="A462" t="s">
        <v>675</v>
      </c>
      <c r="B462">
        <v>0.23499999999999999</v>
      </c>
      <c r="C462">
        <v>4.1399999999999999E-2</v>
      </c>
      <c r="D462">
        <v>322.42180000000002</v>
      </c>
      <c r="E462">
        <v>0.10390000000000001</v>
      </c>
      <c r="F462">
        <v>322.41640000000001</v>
      </c>
      <c r="G462">
        <v>8.8599999999999998E-2</v>
      </c>
      <c r="H462">
        <v>58.5</v>
      </c>
      <c r="I462" t="s">
        <v>331</v>
      </c>
      <c r="J462" t="s">
        <v>328</v>
      </c>
      <c r="K462" t="s">
        <v>676</v>
      </c>
      <c r="L462" s="4">
        <f>_xlfn.XLOOKUP(A462,[2]Int_NH!A:A,[2]Int_NH!B:B,"-",0)</f>
        <v>0</v>
      </c>
    </row>
    <row r="463" spans="1:12" x14ac:dyDescent="0.2">
      <c r="A463" t="s">
        <v>265</v>
      </c>
      <c r="B463">
        <v>0.32500000000000001</v>
      </c>
      <c r="C463">
        <v>4.2900000000000001E-2</v>
      </c>
      <c r="D463">
        <v>323.79590000000002</v>
      </c>
      <c r="E463">
        <v>-1.0484</v>
      </c>
      <c r="F463">
        <v>323.79680000000002</v>
      </c>
      <c r="G463">
        <v>-1.0487</v>
      </c>
      <c r="H463">
        <v>3.1</v>
      </c>
      <c r="I463" t="s">
        <v>327</v>
      </c>
      <c r="J463" t="s">
        <v>336</v>
      </c>
      <c r="K463">
        <v>11710</v>
      </c>
      <c r="L463" s="4">
        <f>_xlfn.XLOOKUP(A463,[2]Int_NH!A:A,[2]Int_NH!B:B,"-",0)</f>
        <v>3.2016500000000003E-2</v>
      </c>
    </row>
    <row r="464" spans="1:12" x14ac:dyDescent="0.2">
      <c r="A464" t="s">
        <v>266</v>
      </c>
      <c r="B464">
        <v>0.42699999999999999</v>
      </c>
      <c r="C464">
        <v>3.6400000000000002E-2</v>
      </c>
      <c r="D464">
        <v>323.90940000000001</v>
      </c>
      <c r="E464">
        <v>-57.441000000000003</v>
      </c>
      <c r="F464">
        <v>323.90940000000001</v>
      </c>
      <c r="G464">
        <v>-57.4407</v>
      </c>
      <c r="H464">
        <v>1</v>
      </c>
      <c r="I464" t="s">
        <v>327</v>
      </c>
      <c r="J464" t="s">
        <v>336</v>
      </c>
      <c r="K464">
        <v>13463</v>
      </c>
      <c r="L464" s="4">
        <f>_xlfn.XLOOKUP(A464,[2]Int_NH!A:A,[2]Int_NH!B:B,"-",0)</f>
        <v>0</v>
      </c>
    </row>
    <row r="465" spans="1:12" x14ac:dyDescent="0.2">
      <c r="A465" t="s">
        <v>677</v>
      </c>
      <c r="B465">
        <v>5.0999999999999997E-2</v>
      </c>
      <c r="C465">
        <v>4.41E-2</v>
      </c>
      <c r="D465">
        <v>324.28489999999999</v>
      </c>
      <c r="E465">
        <v>0.44640000000000002</v>
      </c>
      <c r="F465">
        <v>324.28629999999998</v>
      </c>
      <c r="G465">
        <v>0.44590000000000002</v>
      </c>
      <c r="H465">
        <v>5.3</v>
      </c>
      <c r="I465" t="s">
        <v>331</v>
      </c>
      <c r="J465" t="s">
        <v>336</v>
      </c>
      <c r="K465">
        <v>11796</v>
      </c>
      <c r="L465" s="4">
        <f>_xlfn.XLOOKUP(A465,[2]Int_NH!A:A,[2]Int_NH!B:B,"-",0)</f>
        <v>0.16533</v>
      </c>
    </row>
    <row r="466" spans="1:12" x14ac:dyDescent="0.2">
      <c r="A466" t="s">
        <v>267</v>
      </c>
      <c r="B466">
        <v>0.313</v>
      </c>
      <c r="C466">
        <v>3.5700000000000003E-2</v>
      </c>
      <c r="D466">
        <v>325.06330000000003</v>
      </c>
      <c r="E466">
        <v>-23.661100000000001</v>
      </c>
      <c r="F466">
        <v>325.06319999999999</v>
      </c>
      <c r="G466">
        <v>-23.661300000000001</v>
      </c>
      <c r="H466">
        <v>0.7</v>
      </c>
      <c r="I466" t="s">
        <v>327</v>
      </c>
      <c r="J466" t="s">
        <v>328</v>
      </c>
      <c r="K466" t="s">
        <v>678</v>
      </c>
      <c r="L466" s="4">
        <f>_xlfn.XLOOKUP(A466,[2]Int_NH!A:A,[2]Int_NH!B:B,"-",0)</f>
        <v>1.0792299999999999E-2</v>
      </c>
    </row>
    <row r="467" spans="1:12" x14ac:dyDescent="0.2">
      <c r="A467" t="s">
        <v>679</v>
      </c>
      <c r="B467">
        <v>0.48</v>
      </c>
      <c r="C467">
        <v>3.04E-2</v>
      </c>
      <c r="D467">
        <v>326.46690000000001</v>
      </c>
      <c r="E467">
        <v>-56.747700000000002</v>
      </c>
      <c r="F467">
        <v>326.46690000000001</v>
      </c>
      <c r="G467">
        <v>-56.747700000000002</v>
      </c>
      <c r="H467">
        <v>0</v>
      </c>
      <c r="I467" t="s">
        <v>327</v>
      </c>
      <c r="J467" t="s">
        <v>336</v>
      </c>
      <c r="K467">
        <v>13398</v>
      </c>
      <c r="L467" s="4">
        <f>_xlfn.XLOOKUP(A467,[2]Int_NH!A:A,[2]Int_NH!B:B,"-",0)</f>
        <v>0</v>
      </c>
    </row>
    <row r="468" spans="1:12" x14ac:dyDescent="0.2">
      <c r="A468" t="s">
        <v>680</v>
      </c>
      <c r="B468">
        <v>0.93300000000000005</v>
      </c>
      <c r="C468">
        <v>2.87E-2</v>
      </c>
      <c r="D468">
        <v>326.6447</v>
      </c>
      <c r="E468">
        <v>-46.549199999999999</v>
      </c>
      <c r="F468">
        <v>326.6447</v>
      </c>
      <c r="G468">
        <v>-46.549199999999999</v>
      </c>
      <c r="H468">
        <v>0</v>
      </c>
      <c r="I468" t="s">
        <v>327</v>
      </c>
      <c r="J468" t="s">
        <v>336</v>
      </c>
      <c r="K468">
        <v>13469</v>
      </c>
      <c r="L468" s="4">
        <f>_xlfn.XLOOKUP(A468,[2]Int_NH!A:A,[2]Int_NH!B:B,"-",0)</f>
        <v>4.3033700000000001E-2</v>
      </c>
    </row>
    <row r="469" spans="1:12" x14ac:dyDescent="0.2">
      <c r="A469" t="s">
        <v>268</v>
      </c>
      <c r="B469">
        <v>6.2E-2</v>
      </c>
      <c r="C469">
        <v>2.0400000000000001E-2</v>
      </c>
      <c r="D469">
        <v>326.74619999999999</v>
      </c>
      <c r="E469">
        <v>-43.898699999999998</v>
      </c>
      <c r="F469">
        <v>326.74619999999999</v>
      </c>
      <c r="G469">
        <v>-43.898499999999999</v>
      </c>
      <c r="H469">
        <v>1</v>
      </c>
      <c r="I469" t="s">
        <v>327</v>
      </c>
      <c r="J469" t="s">
        <v>328</v>
      </c>
      <c r="K469">
        <v>15165</v>
      </c>
      <c r="L469" s="4">
        <f>_xlfn.XLOOKUP(A469,[2]Int_NH!A:A,[2]Int_NH!B:B,"-",0)</f>
        <v>5.6765000000000003E-2</v>
      </c>
    </row>
    <row r="470" spans="1:12" x14ac:dyDescent="0.2">
      <c r="A470" t="s">
        <v>681</v>
      </c>
      <c r="B470">
        <v>0.57099999999999995</v>
      </c>
      <c r="C470">
        <v>2.92E-2</v>
      </c>
      <c r="D470">
        <v>327.18430000000001</v>
      </c>
      <c r="E470">
        <v>-61.278399999999998</v>
      </c>
      <c r="F470">
        <v>327.18430000000001</v>
      </c>
      <c r="G470">
        <v>-61.278399999999998</v>
      </c>
      <c r="H470">
        <v>0</v>
      </c>
      <c r="I470" t="s">
        <v>327</v>
      </c>
      <c r="J470" t="s">
        <v>336</v>
      </c>
      <c r="K470">
        <v>13488</v>
      </c>
      <c r="L470" s="4">
        <f>_xlfn.XLOOKUP(A470,[2]Int_NH!A:A,[2]Int_NH!B:B,"-",0)</f>
        <v>0</v>
      </c>
    </row>
    <row r="471" spans="1:12" x14ac:dyDescent="0.2">
      <c r="A471" t="s">
        <v>269</v>
      </c>
      <c r="B471">
        <v>9.4E-2</v>
      </c>
      <c r="C471">
        <v>3.0300000000000001E-2</v>
      </c>
      <c r="D471">
        <v>328.08879999999999</v>
      </c>
      <c r="E471">
        <v>-19.5474</v>
      </c>
      <c r="F471">
        <v>328.08819999999997</v>
      </c>
      <c r="G471">
        <v>-19.547799999999999</v>
      </c>
      <c r="H471">
        <v>2.1</v>
      </c>
      <c r="I471" t="s">
        <v>327</v>
      </c>
      <c r="J471" t="s">
        <v>328</v>
      </c>
      <c r="K471">
        <v>4202</v>
      </c>
      <c r="L471" s="4">
        <f>_xlfn.XLOOKUP(A471,[2]Int_NH!A:A,[2]Int_NH!B:B,"-",0)</f>
        <v>1.8782600000000001E-3</v>
      </c>
    </row>
    <row r="472" spans="1:12" x14ac:dyDescent="0.2">
      <c r="A472" t="s">
        <v>682</v>
      </c>
      <c r="B472">
        <v>0.22800000000000001</v>
      </c>
      <c r="C472">
        <v>6.9000000000000006E-2</v>
      </c>
      <c r="D472">
        <v>328.40320000000003</v>
      </c>
      <c r="E472">
        <v>17.695399999999999</v>
      </c>
      <c r="F472">
        <v>328.40339999999998</v>
      </c>
      <c r="G472">
        <v>17.695699999999999</v>
      </c>
      <c r="H472">
        <v>1.1000000000000001</v>
      </c>
      <c r="I472" t="s">
        <v>327</v>
      </c>
      <c r="J472" t="s">
        <v>328</v>
      </c>
      <c r="K472">
        <v>4193</v>
      </c>
      <c r="L472" s="4">
        <f>_xlfn.XLOOKUP(A472,[2]Int_NH!A:A,[2]Int_NH!B:B,"-",0)</f>
        <v>3.2151399999999997E-2</v>
      </c>
    </row>
    <row r="473" spans="1:12" x14ac:dyDescent="0.2">
      <c r="A473" t="s">
        <v>270</v>
      </c>
      <c r="B473">
        <v>0.29199999999999998</v>
      </c>
      <c r="C473">
        <v>0.2046</v>
      </c>
      <c r="D473">
        <v>328.96749999999997</v>
      </c>
      <c r="E473">
        <v>38.006799999999998</v>
      </c>
      <c r="F473">
        <v>328.96780000000001</v>
      </c>
      <c r="G473">
        <v>38.006300000000003</v>
      </c>
      <c r="H473">
        <v>2.2000000000000002</v>
      </c>
      <c r="I473" t="s">
        <v>327</v>
      </c>
      <c r="J473" t="s">
        <v>328</v>
      </c>
      <c r="K473" t="s">
        <v>683</v>
      </c>
      <c r="L473" s="4">
        <f>_xlfn.XLOOKUP(A473,[2]Int_NH!A:A,[2]Int_NH!B:B,"-",0)</f>
        <v>9.0903100000000001E-2</v>
      </c>
    </row>
    <row r="474" spans="1:12" x14ac:dyDescent="0.2">
      <c r="A474" t="s">
        <v>271</v>
      </c>
      <c r="B474">
        <v>0.14799999999999999</v>
      </c>
      <c r="C474">
        <v>6.8599999999999994E-2</v>
      </c>
      <c r="D474">
        <v>330.21839999999997</v>
      </c>
      <c r="E474">
        <v>20.968699999999998</v>
      </c>
      <c r="F474">
        <v>330.21899999999999</v>
      </c>
      <c r="G474">
        <v>20.968499999999999</v>
      </c>
      <c r="H474">
        <v>2.2999999999999998</v>
      </c>
      <c r="I474" t="s">
        <v>327</v>
      </c>
      <c r="J474" t="s">
        <v>328</v>
      </c>
      <c r="K474">
        <v>3247</v>
      </c>
      <c r="L474" s="4">
        <f>_xlfn.XLOOKUP(A474,[2]Int_NH!A:A,[2]Int_NH!B:B,"-",0)</f>
        <v>3.0311500000000002E-2</v>
      </c>
    </row>
    <row r="475" spans="1:12" x14ac:dyDescent="0.2">
      <c r="A475" t="s">
        <v>684</v>
      </c>
      <c r="B475">
        <v>9.8000000000000004E-2</v>
      </c>
      <c r="C475">
        <v>2.3E-2</v>
      </c>
      <c r="D475">
        <v>330.47129999999999</v>
      </c>
      <c r="E475">
        <v>-59.945599999999999</v>
      </c>
      <c r="F475">
        <v>330.4717</v>
      </c>
      <c r="G475">
        <v>-59.945300000000003</v>
      </c>
      <c r="H475">
        <v>1.4</v>
      </c>
      <c r="I475" t="s">
        <v>327</v>
      </c>
      <c r="J475" t="s">
        <v>328</v>
      </c>
      <c r="K475">
        <v>7920</v>
      </c>
      <c r="L475" s="4">
        <f>_xlfn.XLOOKUP(A475,[2]Int_NH!A:A,[2]Int_NH!B:B,"-",0)</f>
        <v>1.3210100000000001E-2</v>
      </c>
    </row>
    <row r="476" spans="1:12" x14ac:dyDescent="0.2">
      <c r="A476" t="s">
        <v>272</v>
      </c>
      <c r="B476">
        <v>5.8000000000000003E-2</v>
      </c>
      <c r="C476">
        <v>4.7899999999999998E-2</v>
      </c>
      <c r="D476">
        <v>331.41050000000001</v>
      </c>
      <c r="E476">
        <v>-5.5925000000000002</v>
      </c>
      <c r="F476">
        <v>331.41079999999999</v>
      </c>
      <c r="G476">
        <v>-5.5915999999999997</v>
      </c>
      <c r="H476">
        <v>3.1</v>
      </c>
      <c r="I476" t="s">
        <v>327</v>
      </c>
      <c r="J476" t="s">
        <v>328</v>
      </c>
      <c r="K476">
        <v>12272</v>
      </c>
      <c r="L476" s="4">
        <f>_xlfn.XLOOKUP(A476,[2]Int_NH!A:A,[2]Int_NH!B:B,"-",0)</f>
        <v>1.7105200000000001E-2</v>
      </c>
    </row>
    <row r="477" spans="1:12" x14ac:dyDescent="0.2">
      <c r="A477" t="s">
        <v>685</v>
      </c>
      <c r="B477">
        <v>0.153</v>
      </c>
      <c r="C477">
        <v>2.5100000000000001E-2</v>
      </c>
      <c r="D477">
        <v>333.60660000000001</v>
      </c>
      <c r="E477">
        <v>-17.026700000000002</v>
      </c>
      <c r="F477">
        <v>333.61239999999998</v>
      </c>
      <c r="G477">
        <v>-17.025600000000001</v>
      </c>
      <c r="H477">
        <v>20.100000000000001</v>
      </c>
      <c r="I477" t="s">
        <v>331</v>
      </c>
      <c r="J477" t="s">
        <v>328</v>
      </c>
      <c r="K477">
        <v>15091</v>
      </c>
      <c r="L477" s="4">
        <f>_xlfn.XLOOKUP(A477,[2]Int_NH!A:A,[2]Int_NH!B:B,"-",0)</f>
        <v>0</v>
      </c>
    </row>
    <row r="478" spans="1:12" x14ac:dyDescent="0.2">
      <c r="A478" t="s">
        <v>686</v>
      </c>
      <c r="B478">
        <v>9.8000000000000004E-2</v>
      </c>
      <c r="C478">
        <v>4.0099999999999997E-2</v>
      </c>
      <c r="D478">
        <v>333.63470000000001</v>
      </c>
      <c r="E478">
        <v>-10.3705</v>
      </c>
      <c r="F478">
        <v>333.63470000000001</v>
      </c>
      <c r="G478">
        <v>-10.3705</v>
      </c>
      <c r="H478">
        <v>0</v>
      </c>
      <c r="I478" t="s">
        <v>327</v>
      </c>
      <c r="J478" t="s">
        <v>328</v>
      </c>
      <c r="K478">
        <v>12279</v>
      </c>
      <c r="L478" s="4">
        <f>_xlfn.XLOOKUP(A478,[2]Int_NH!A:A,[2]Int_NH!B:B,"-",0)</f>
        <v>2.6969E-2</v>
      </c>
    </row>
    <row r="479" spans="1:12" x14ac:dyDescent="0.2">
      <c r="A479" t="s">
        <v>273</v>
      </c>
      <c r="B479">
        <v>0.48299999999999998</v>
      </c>
      <c r="C479">
        <v>3.2099999999999997E-2</v>
      </c>
      <c r="D479">
        <v>333.73899999999998</v>
      </c>
      <c r="E479">
        <v>-14.0038</v>
      </c>
      <c r="F479">
        <v>333.73950000000002</v>
      </c>
      <c r="G479">
        <v>-14.002599999999999</v>
      </c>
      <c r="H479">
        <v>4.5</v>
      </c>
      <c r="I479" t="s">
        <v>327</v>
      </c>
      <c r="J479" t="s">
        <v>328</v>
      </c>
      <c r="K479" t="s">
        <v>687</v>
      </c>
      <c r="L479" s="4">
        <f>_xlfn.XLOOKUP(A479,[2]Int_NH!A:A,[2]Int_NH!B:B,"-",0)</f>
        <v>2.2917E-2</v>
      </c>
    </row>
    <row r="480" spans="1:12" x14ac:dyDescent="0.2">
      <c r="A480" t="s">
        <v>274</v>
      </c>
      <c r="B480">
        <v>0.14899999999999999</v>
      </c>
      <c r="C480">
        <v>1.12E-2</v>
      </c>
      <c r="D480">
        <v>334.44099999999997</v>
      </c>
      <c r="E480">
        <v>-35.724400000000003</v>
      </c>
      <c r="F480">
        <v>334.44060000000002</v>
      </c>
      <c r="G480">
        <v>-35.7241</v>
      </c>
      <c r="H480">
        <v>1.4</v>
      </c>
      <c r="I480" t="s">
        <v>327</v>
      </c>
      <c r="J480" t="s">
        <v>328</v>
      </c>
      <c r="K480">
        <v>15116</v>
      </c>
      <c r="L480" s="4">
        <f>_xlfn.XLOOKUP(A480,[2]Int_NH!A:A,[2]Int_NH!B:B,"-",0)</f>
        <v>1.2777800000000001E-2</v>
      </c>
    </row>
    <row r="481" spans="1:12" x14ac:dyDescent="0.2">
      <c r="A481" t="s">
        <v>275</v>
      </c>
      <c r="B481">
        <v>0.13800000000000001</v>
      </c>
      <c r="C481">
        <v>1.3899999999999999E-2</v>
      </c>
      <c r="D481">
        <v>334.6644</v>
      </c>
      <c r="E481">
        <v>-38.9009</v>
      </c>
      <c r="F481">
        <v>334.6651</v>
      </c>
      <c r="G481">
        <v>-38.901699999999998</v>
      </c>
      <c r="H481">
        <v>3.6</v>
      </c>
      <c r="I481" t="s">
        <v>327</v>
      </c>
      <c r="J481" t="s">
        <v>328</v>
      </c>
      <c r="K481">
        <v>15101</v>
      </c>
      <c r="L481" s="4">
        <f>_xlfn.XLOOKUP(A481,[2]Int_NH!A:A,[2]Int_NH!B:B,"-",0)</f>
        <v>6.4445199999999994E-2</v>
      </c>
    </row>
    <row r="482" spans="1:12" x14ac:dyDescent="0.2">
      <c r="A482" t="s">
        <v>688</v>
      </c>
      <c r="B482">
        <v>0.65</v>
      </c>
      <c r="C482">
        <v>1.9300000000000001E-2</v>
      </c>
      <c r="D482">
        <v>334.74790000000002</v>
      </c>
      <c r="E482">
        <v>-45.315800000000003</v>
      </c>
      <c r="F482">
        <v>334.74790000000002</v>
      </c>
      <c r="G482">
        <v>-45.315800000000003</v>
      </c>
      <c r="H482">
        <v>0</v>
      </c>
      <c r="I482" t="s">
        <v>327</v>
      </c>
      <c r="J482" t="s">
        <v>336</v>
      </c>
      <c r="K482">
        <v>13501</v>
      </c>
      <c r="L482" s="4">
        <f>_xlfn.XLOOKUP(A482,[2]Int_NH!A:A,[2]Int_NH!B:B,"-",0)</f>
        <v>0</v>
      </c>
    </row>
    <row r="483" spans="1:12" x14ac:dyDescent="0.2">
      <c r="A483" t="s">
        <v>276</v>
      </c>
      <c r="B483">
        <v>0.108</v>
      </c>
      <c r="C483">
        <v>5.21E-2</v>
      </c>
      <c r="D483">
        <v>336.52589999999998</v>
      </c>
      <c r="E483">
        <v>17.366199999999999</v>
      </c>
      <c r="F483">
        <v>336.52699999999999</v>
      </c>
      <c r="G483">
        <v>17.365400000000001</v>
      </c>
      <c r="H483">
        <v>4.9000000000000004</v>
      </c>
      <c r="I483" t="s">
        <v>327</v>
      </c>
      <c r="J483" t="s">
        <v>328</v>
      </c>
      <c r="K483">
        <v>12257</v>
      </c>
      <c r="L483" s="4">
        <f>_xlfn.XLOOKUP(A483,[2]Int_NH!A:A,[2]Int_NH!B:B,"-",0)</f>
        <v>1.7187999999999998E-2</v>
      </c>
    </row>
    <row r="484" spans="1:12" x14ac:dyDescent="0.2">
      <c r="A484" t="s">
        <v>277</v>
      </c>
      <c r="B484">
        <v>0.16600000000000001</v>
      </c>
      <c r="C484">
        <v>5.5199999999999999E-2</v>
      </c>
      <c r="D484">
        <v>336.73360000000002</v>
      </c>
      <c r="E484">
        <v>25.835100000000001</v>
      </c>
      <c r="F484">
        <v>336.7321</v>
      </c>
      <c r="G484">
        <v>25.836200000000002</v>
      </c>
      <c r="H484">
        <v>6.3</v>
      </c>
      <c r="I484" t="s">
        <v>331</v>
      </c>
      <c r="J484" t="s">
        <v>328</v>
      </c>
      <c r="K484">
        <v>12249</v>
      </c>
      <c r="L484" s="4">
        <f>_xlfn.XLOOKUP(A484,[2]Int_NH!A:A,[2]Int_NH!B:B,"-",0)</f>
        <v>3.0023600000000001E-2</v>
      </c>
    </row>
    <row r="485" spans="1:12" x14ac:dyDescent="0.2">
      <c r="A485" t="s">
        <v>278</v>
      </c>
      <c r="B485">
        <v>5.8000000000000003E-2</v>
      </c>
      <c r="C485">
        <v>1.09E-2</v>
      </c>
      <c r="D485">
        <v>336.97660000000002</v>
      </c>
      <c r="E485">
        <v>-30.577000000000002</v>
      </c>
      <c r="F485">
        <v>336.97730000000001</v>
      </c>
      <c r="G485">
        <v>-30.5763</v>
      </c>
      <c r="H485">
        <v>3.2</v>
      </c>
      <c r="I485" t="s">
        <v>327</v>
      </c>
      <c r="J485" t="s">
        <v>328</v>
      </c>
      <c r="K485">
        <v>5798</v>
      </c>
      <c r="L485" s="4">
        <f>_xlfn.XLOOKUP(A485,[2]Int_NH!A:A,[2]Int_NH!B:B,"-",0)</f>
        <v>2.3454900000000001E-2</v>
      </c>
    </row>
    <row r="486" spans="1:12" x14ac:dyDescent="0.2">
      <c r="A486" t="s">
        <v>689</v>
      </c>
      <c r="B486">
        <v>0.41199999999999998</v>
      </c>
      <c r="C486">
        <v>4.5999999999999999E-2</v>
      </c>
      <c r="D486">
        <v>337.14240000000001</v>
      </c>
      <c r="E486">
        <v>20.6206</v>
      </c>
      <c r="F486">
        <v>337.14109999999999</v>
      </c>
      <c r="G486">
        <v>20.6218</v>
      </c>
      <c r="H486">
        <v>5.9</v>
      </c>
      <c r="I486" t="s">
        <v>331</v>
      </c>
      <c r="J486" t="s">
        <v>328</v>
      </c>
      <c r="K486">
        <v>3285</v>
      </c>
      <c r="L486" s="4">
        <f>_xlfn.XLOOKUP(A486,[2]Int_NH!A:A,[2]Int_NH!B:B,"-",0)</f>
        <v>0</v>
      </c>
    </row>
    <row r="487" spans="1:12" x14ac:dyDescent="0.2">
      <c r="A487" t="s">
        <v>279</v>
      </c>
      <c r="B487">
        <v>0.32400000000000001</v>
      </c>
      <c r="C487">
        <v>1.3299999999999999E-2</v>
      </c>
      <c r="D487">
        <v>337.43849999999998</v>
      </c>
      <c r="E487">
        <v>-27.9267</v>
      </c>
      <c r="F487">
        <v>337.43900000000002</v>
      </c>
      <c r="G487">
        <v>-27.927299999999999</v>
      </c>
      <c r="H487">
        <v>2.8</v>
      </c>
      <c r="I487" t="s">
        <v>327</v>
      </c>
      <c r="J487" t="s">
        <v>328</v>
      </c>
      <c r="K487" t="s">
        <v>690</v>
      </c>
      <c r="L487" s="4">
        <f>_xlfn.XLOOKUP(A487,[2]Int_NH!A:A,[2]Int_NH!B:B,"-",0)</f>
        <v>1.58867E-2</v>
      </c>
    </row>
    <row r="488" spans="1:12" x14ac:dyDescent="0.2">
      <c r="A488" t="s">
        <v>691</v>
      </c>
      <c r="B488">
        <v>1.7000000000000001E-2</v>
      </c>
      <c r="C488">
        <v>0.1193</v>
      </c>
      <c r="D488">
        <v>337.83589999999998</v>
      </c>
      <c r="E488">
        <v>39.3581</v>
      </c>
      <c r="F488">
        <v>337.83550000000002</v>
      </c>
      <c r="G488">
        <v>39.358699999999999</v>
      </c>
      <c r="H488">
        <v>2.2000000000000002</v>
      </c>
      <c r="I488" t="s">
        <v>327</v>
      </c>
      <c r="J488" t="s">
        <v>328</v>
      </c>
      <c r="K488" t="s">
        <v>692</v>
      </c>
      <c r="L488" s="4">
        <f>_xlfn.XLOOKUP(A488,[2]Int_NH!A:A,[2]Int_NH!B:B,"-",0)</f>
        <v>9.0381000000000003E-3</v>
      </c>
    </row>
    <row r="489" spans="1:12" x14ac:dyDescent="0.2">
      <c r="A489" t="s">
        <v>693</v>
      </c>
      <c r="B489">
        <v>0.59399999999999997</v>
      </c>
      <c r="C489">
        <v>2.5999999999999999E-2</v>
      </c>
      <c r="D489">
        <v>338.14049999999997</v>
      </c>
      <c r="E489">
        <v>-59.997999999999998</v>
      </c>
      <c r="F489">
        <v>338.14049999999997</v>
      </c>
      <c r="G489">
        <v>-59.997999999999998</v>
      </c>
      <c r="H489">
        <v>0</v>
      </c>
      <c r="I489" t="s">
        <v>327</v>
      </c>
      <c r="J489" t="s">
        <v>336</v>
      </c>
      <c r="K489">
        <v>13502</v>
      </c>
      <c r="L489" s="4">
        <f>_xlfn.XLOOKUP(A489,[2]Int_NH!A:A,[2]Int_NH!B:B,"-",0)</f>
        <v>0</v>
      </c>
    </row>
    <row r="490" spans="1:12" x14ac:dyDescent="0.2">
      <c r="A490" t="s">
        <v>694</v>
      </c>
      <c r="B490">
        <v>0.48</v>
      </c>
      <c r="C490">
        <v>1.8100000000000002E-2</v>
      </c>
      <c r="D490">
        <v>338.31310000000002</v>
      </c>
      <c r="E490">
        <v>-53.655200000000001</v>
      </c>
      <c r="F490">
        <v>338.31310000000002</v>
      </c>
      <c r="G490">
        <v>-53.655200000000001</v>
      </c>
      <c r="H490">
        <v>0</v>
      </c>
      <c r="I490" t="s">
        <v>327</v>
      </c>
      <c r="J490" t="s">
        <v>336</v>
      </c>
      <c r="K490">
        <v>13504</v>
      </c>
      <c r="L490" s="4">
        <f>_xlfn.XLOOKUP(A490,[2]Int_NH!A:A,[2]Int_NH!B:B,"-",0)</f>
        <v>0</v>
      </c>
    </row>
    <row r="491" spans="1:12" x14ac:dyDescent="0.2">
      <c r="A491" t="s">
        <v>280</v>
      </c>
      <c r="B491">
        <v>5.8999999999999997E-2</v>
      </c>
      <c r="C491">
        <v>5.7799999999999997E-2</v>
      </c>
      <c r="D491">
        <v>338.9221</v>
      </c>
      <c r="E491">
        <v>1.4866999999999999</v>
      </c>
      <c r="F491">
        <v>338.92129999999997</v>
      </c>
      <c r="G491">
        <v>1.4862</v>
      </c>
      <c r="H491">
        <v>3.5</v>
      </c>
      <c r="I491" t="s">
        <v>327</v>
      </c>
      <c r="J491" t="s">
        <v>328</v>
      </c>
      <c r="K491">
        <v>12276</v>
      </c>
      <c r="L491" s="4">
        <f>_xlfn.XLOOKUP(A491,[2]Int_NH!A:A,[2]Int_NH!B:B,"-",0)</f>
        <v>4.6431899999999998E-2</v>
      </c>
    </row>
    <row r="492" spans="1:12" x14ac:dyDescent="0.2">
      <c r="A492" t="s">
        <v>695</v>
      </c>
      <c r="B492">
        <v>2.1499999999999998E-2</v>
      </c>
      <c r="C492">
        <v>7.7700000000000005E-2</v>
      </c>
      <c r="D492">
        <v>338.99959999999999</v>
      </c>
      <c r="E492">
        <v>33.972099999999998</v>
      </c>
      <c r="F492">
        <v>338.99959999999999</v>
      </c>
      <c r="G492">
        <v>33.972200000000001</v>
      </c>
      <c r="H492">
        <v>0.2</v>
      </c>
      <c r="I492" t="s">
        <v>327</v>
      </c>
      <c r="J492" t="s">
        <v>328</v>
      </c>
      <c r="K492">
        <v>7924</v>
      </c>
      <c r="L492" s="4">
        <f>_xlfn.XLOOKUP(A492,[2]Int_NH!A:A,[2]Int_NH!B:B,"-",0)</f>
        <v>0</v>
      </c>
    </row>
    <row r="493" spans="1:12" x14ac:dyDescent="0.2">
      <c r="A493" t="s">
        <v>281</v>
      </c>
      <c r="B493">
        <v>0.245</v>
      </c>
      <c r="C493">
        <v>0.04</v>
      </c>
      <c r="D493">
        <v>339.9126</v>
      </c>
      <c r="E493">
        <v>-5.7241999999999997</v>
      </c>
      <c r="F493">
        <v>339.9117</v>
      </c>
      <c r="G493">
        <v>-5.7252999999999998</v>
      </c>
      <c r="H493">
        <v>4.9000000000000004</v>
      </c>
      <c r="I493" t="s">
        <v>327</v>
      </c>
      <c r="J493" t="s">
        <v>336</v>
      </c>
      <c r="K493" t="s">
        <v>696</v>
      </c>
      <c r="L493" s="4">
        <f>_xlfn.XLOOKUP(A493,[2]Int_NH!A:A,[2]Int_NH!B:B,"-",0)</f>
        <v>3.9721600000000003E-2</v>
      </c>
    </row>
    <row r="494" spans="1:12" x14ac:dyDescent="0.2">
      <c r="A494" t="s">
        <v>282</v>
      </c>
      <c r="B494">
        <v>0.192</v>
      </c>
      <c r="C494">
        <v>0.33250000000000002</v>
      </c>
      <c r="D494">
        <v>340.66469999999998</v>
      </c>
      <c r="E494">
        <v>52.995800000000003</v>
      </c>
      <c r="F494">
        <v>340.66559999999998</v>
      </c>
      <c r="G494">
        <v>52.995800000000003</v>
      </c>
      <c r="H494">
        <v>2</v>
      </c>
      <c r="I494" t="s">
        <v>327</v>
      </c>
      <c r="J494" t="s">
        <v>328</v>
      </c>
      <c r="K494" t="s">
        <v>697</v>
      </c>
      <c r="L494" s="4">
        <f>_xlfn.XLOOKUP(A494,[2]Int_NH!A:A,[2]Int_NH!B:B,"-",0)</f>
        <v>5.6807999999999997E-2</v>
      </c>
    </row>
    <row r="495" spans="1:12" x14ac:dyDescent="0.2">
      <c r="A495" t="s">
        <v>283</v>
      </c>
      <c r="B495">
        <v>0.432</v>
      </c>
      <c r="C495">
        <v>4.2900000000000001E-2</v>
      </c>
      <c r="D495">
        <v>340.83789999999999</v>
      </c>
      <c r="E495">
        <v>-9.5935000000000006</v>
      </c>
      <c r="F495">
        <v>340.8381</v>
      </c>
      <c r="G495">
        <v>-9.5952000000000002</v>
      </c>
      <c r="H495">
        <v>6</v>
      </c>
      <c r="I495" t="s">
        <v>331</v>
      </c>
      <c r="J495" t="s">
        <v>336</v>
      </c>
      <c r="K495">
        <v>3260</v>
      </c>
      <c r="L495" s="4">
        <f>_xlfn.XLOOKUP(A495,[2]Int_NH!A:A,[2]Int_NH!B:B,"-",0)</f>
        <v>8.0857099999999994E-3</v>
      </c>
    </row>
    <row r="496" spans="1:12" x14ac:dyDescent="0.2">
      <c r="A496" t="s">
        <v>698</v>
      </c>
      <c r="B496">
        <v>0.57999999999999996</v>
      </c>
      <c r="C496">
        <v>1.2999999999999999E-2</v>
      </c>
      <c r="D496">
        <v>341.26209999999998</v>
      </c>
      <c r="E496">
        <v>-62.116700000000002</v>
      </c>
      <c r="F496">
        <v>341.26209999999998</v>
      </c>
      <c r="G496">
        <v>-62.116700000000002</v>
      </c>
      <c r="H496">
        <v>0</v>
      </c>
      <c r="I496" t="s">
        <v>327</v>
      </c>
      <c r="J496" t="s">
        <v>336</v>
      </c>
      <c r="K496">
        <v>13499</v>
      </c>
      <c r="L496" s="4">
        <f>_xlfn.XLOOKUP(A496,[2]Int_NH!A:A,[2]Int_NH!B:B,"-",0)</f>
        <v>3.1011799999999999E-2</v>
      </c>
    </row>
    <row r="497" spans="1:12" x14ac:dyDescent="0.2">
      <c r="A497" t="s">
        <v>284</v>
      </c>
      <c r="B497">
        <v>0.30399999999999999</v>
      </c>
      <c r="C497">
        <v>5.4699999999999999E-2</v>
      </c>
      <c r="D497">
        <v>341.26920000000001</v>
      </c>
      <c r="E497">
        <v>26.634799999999998</v>
      </c>
      <c r="F497">
        <v>341.26940000000002</v>
      </c>
      <c r="G497">
        <v>26.6343</v>
      </c>
      <c r="H497">
        <v>1.9</v>
      </c>
      <c r="I497" t="s">
        <v>327</v>
      </c>
      <c r="J497" t="s">
        <v>328</v>
      </c>
      <c r="K497">
        <v>3287</v>
      </c>
      <c r="L497" s="4">
        <f>_xlfn.XLOOKUP(A497,[2]Int_NH!A:A,[2]Int_NH!B:B,"-",0)</f>
        <v>2.5954600000000001E-2</v>
      </c>
    </row>
    <row r="498" spans="1:12" x14ac:dyDescent="0.2">
      <c r="A498" t="s">
        <v>285</v>
      </c>
      <c r="B498">
        <v>9.7000000000000003E-2</v>
      </c>
      <c r="C498">
        <v>1.5100000000000001E-2</v>
      </c>
      <c r="D498">
        <v>341.61169999999998</v>
      </c>
      <c r="E498">
        <v>-52.739800000000002</v>
      </c>
      <c r="F498">
        <v>341.56389999999999</v>
      </c>
      <c r="G498">
        <v>-52.724200000000003</v>
      </c>
      <c r="H498">
        <v>118.4</v>
      </c>
      <c r="I498" t="s">
        <v>331</v>
      </c>
      <c r="J498" t="s">
        <v>328</v>
      </c>
      <c r="K498">
        <v>15304</v>
      </c>
      <c r="L498" s="4">
        <f>_xlfn.XLOOKUP(A498,[2]Int_NH!A:A,[2]Int_NH!B:B,"-",0)</f>
        <v>1.1511800000000001E-2</v>
      </c>
    </row>
    <row r="499" spans="1:12" x14ac:dyDescent="0.2">
      <c r="A499" t="s">
        <v>699</v>
      </c>
      <c r="B499">
        <v>0.247</v>
      </c>
      <c r="C499">
        <v>3.2599999999999997E-2</v>
      </c>
      <c r="D499">
        <v>342.12909999999999</v>
      </c>
      <c r="E499">
        <v>-16.107900000000001</v>
      </c>
      <c r="F499">
        <v>342.12909999999999</v>
      </c>
      <c r="G499">
        <v>-16.107800000000001</v>
      </c>
      <c r="H499">
        <v>0</v>
      </c>
      <c r="I499" t="s">
        <v>327</v>
      </c>
      <c r="J499" t="s">
        <v>328</v>
      </c>
      <c r="K499">
        <v>10439</v>
      </c>
      <c r="L499" s="4">
        <f>_xlfn.XLOOKUP(A499,[2]Int_NH!A:A,[2]Int_NH!B:B,"-",0)</f>
        <v>7.7929399999999999E-3</v>
      </c>
    </row>
    <row r="500" spans="1:12" x14ac:dyDescent="0.2">
      <c r="A500" t="s">
        <v>286</v>
      </c>
      <c r="B500">
        <v>0.34699999999999998</v>
      </c>
      <c r="C500">
        <v>1.8100000000000002E-2</v>
      </c>
      <c r="D500">
        <v>342.18349999999998</v>
      </c>
      <c r="E500">
        <v>-44.5304</v>
      </c>
      <c r="F500">
        <v>342.18459999999999</v>
      </c>
      <c r="G500">
        <v>-44.530099999999997</v>
      </c>
      <c r="H500">
        <v>3</v>
      </c>
      <c r="I500" t="s">
        <v>327</v>
      </c>
      <c r="J500" t="s">
        <v>328</v>
      </c>
      <c r="K500">
        <v>4966</v>
      </c>
      <c r="L500" s="4">
        <f>_xlfn.XLOOKUP(A500,[2]Int_NH!A:A,[2]Int_NH!B:B,"-",0)</f>
        <v>1.6686900000000001E-2</v>
      </c>
    </row>
    <row r="501" spans="1:12" x14ac:dyDescent="0.2">
      <c r="A501" t="s">
        <v>287</v>
      </c>
      <c r="B501">
        <v>9.2999999999999999E-2</v>
      </c>
      <c r="C501">
        <v>2.8299999999999999E-2</v>
      </c>
      <c r="D501">
        <v>342.48610000000002</v>
      </c>
      <c r="E501">
        <v>-64.430199999999999</v>
      </c>
      <c r="F501">
        <v>342.49099999999999</v>
      </c>
      <c r="G501">
        <v>-64.428399999999996</v>
      </c>
      <c r="H501">
        <v>10</v>
      </c>
      <c r="I501" t="s">
        <v>331</v>
      </c>
      <c r="J501" t="s">
        <v>328</v>
      </c>
      <c r="K501">
        <v>4973</v>
      </c>
      <c r="L501" s="4">
        <f>_xlfn.XLOOKUP(A501,[2]Int_NH!A:A,[2]Int_NH!B:B,"-",0)</f>
        <v>1.0463999999999999E-2</v>
      </c>
    </row>
    <row r="502" spans="1:12" x14ac:dyDescent="0.2">
      <c r="A502" t="s">
        <v>288</v>
      </c>
      <c r="B502">
        <v>0.19600000000000001</v>
      </c>
      <c r="C502">
        <v>5.6000000000000001E-2</v>
      </c>
      <c r="D502">
        <v>344.21940000000001</v>
      </c>
      <c r="E502">
        <v>5.5045999999999999</v>
      </c>
      <c r="F502">
        <v>344.21910000000003</v>
      </c>
      <c r="G502">
        <v>5.5042999999999997</v>
      </c>
      <c r="H502">
        <v>1.4</v>
      </c>
      <c r="I502" t="s">
        <v>327</v>
      </c>
      <c r="J502" t="s">
        <v>328</v>
      </c>
      <c r="K502">
        <v>12248</v>
      </c>
      <c r="L502" s="4">
        <f>_xlfn.XLOOKUP(A502,[2]Int_NH!A:A,[2]Int_NH!B:B,"-",0)</f>
        <v>6.6029699999999997E-2</v>
      </c>
    </row>
    <row r="503" spans="1:12" x14ac:dyDescent="0.2">
      <c r="A503" t="s">
        <v>700</v>
      </c>
      <c r="B503">
        <v>0.75</v>
      </c>
      <c r="C503">
        <v>1.9800000000000002E-2</v>
      </c>
      <c r="D503">
        <v>344.75409999999999</v>
      </c>
      <c r="E503">
        <v>-60.960299999999997</v>
      </c>
      <c r="F503">
        <v>344.75409999999999</v>
      </c>
      <c r="G503">
        <v>-60.960299999999997</v>
      </c>
      <c r="H503">
        <v>0</v>
      </c>
      <c r="I503" t="s">
        <v>327</v>
      </c>
      <c r="J503" t="s">
        <v>336</v>
      </c>
      <c r="K503">
        <v>13498</v>
      </c>
      <c r="L503" s="4">
        <f>_xlfn.XLOOKUP(A503,[2]Int_NH!A:A,[2]Int_NH!B:B,"-",0)</f>
        <v>1.5482499999999999E-3</v>
      </c>
    </row>
    <row r="504" spans="1:12" x14ac:dyDescent="0.2">
      <c r="A504" t="s">
        <v>289</v>
      </c>
      <c r="B504">
        <v>0.72199999999999998</v>
      </c>
      <c r="C504">
        <v>5.04E-2</v>
      </c>
      <c r="D504">
        <v>345.70060000000001</v>
      </c>
      <c r="E504">
        <v>8.7307000000000006</v>
      </c>
      <c r="F504">
        <v>345.70060000000001</v>
      </c>
      <c r="G504">
        <v>8.7311999999999994</v>
      </c>
      <c r="H504">
        <v>2</v>
      </c>
      <c r="I504" t="s">
        <v>327</v>
      </c>
      <c r="J504" t="s">
        <v>336</v>
      </c>
      <c r="K504">
        <v>918</v>
      </c>
      <c r="L504" s="4">
        <f>_xlfn.XLOOKUP(A504,[2]Int_NH!A:A,[2]Int_NH!B:B,"-",0)</f>
        <v>0</v>
      </c>
    </row>
    <row r="505" spans="1:12" x14ac:dyDescent="0.2">
      <c r="A505" t="s">
        <v>290</v>
      </c>
      <c r="B505">
        <v>0.29499999999999998</v>
      </c>
      <c r="C505">
        <v>4.3700000000000003E-2</v>
      </c>
      <c r="D505">
        <v>347.09289999999999</v>
      </c>
      <c r="E505">
        <v>-2.1916000000000002</v>
      </c>
      <c r="F505">
        <v>347.09300000000002</v>
      </c>
      <c r="G505">
        <v>-2.1916000000000002</v>
      </c>
      <c r="H505">
        <v>0.4</v>
      </c>
      <c r="I505" t="s">
        <v>327</v>
      </c>
      <c r="J505" t="s">
        <v>328</v>
      </c>
      <c r="K505" t="s">
        <v>701</v>
      </c>
      <c r="L505" s="4">
        <f>_xlfn.XLOOKUP(A505,[2]Int_NH!A:A,[2]Int_NH!B:B,"-",0)</f>
        <v>4.5941000000000003E-2</v>
      </c>
    </row>
    <row r="506" spans="1:12" x14ac:dyDescent="0.2">
      <c r="A506" t="s">
        <v>291</v>
      </c>
      <c r="B506">
        <v>0.3</v>
      </c>
      <c r="C506">
        <v>5.1999999999999998E-2</v>
      </c>
      <c r="D506">
        <v>347.88850000000002</v>
      </c>
      <c r="E506">
        <v>3.6353</v>
      </c>
      <c r="F506">
        <v>347.88850000000002</v>
      </c>
      <c r="G506">
        <v>3.6356000000000002</v>
      </c>
      <c r="H506">
        <v>1</v>
      </c>
      <c r="I506" t="s">
        <v>327</v>
      </c>
      <c r="J506" t="s">
        <v>328</v>
      </c>
      <c r="K506" t="s">
        <v>702</v>
      </c>
      <c r="L506" s="4">
        <f>_xlfn.XLOOKUP(A506,[2]Int_NH!A:A,[2]Int_NH!B:B,"-",0)</f>
        <v>3.1563899999999999E-2</v>
      </c>
    </row>
    <row r="507" spans="1:12" x14ac:dyDescent="0.2">
      <c r="A507" t="s">
        <v>292</v>
      </c>
      <c r="B507">
        <v>0.123</v>
      </c>
      <c r="C507">
        <v>2.0799999999999999E-2</v>
      </c>
      <c r="D507">
        <v>347.89929999999998</v>
      </c>
      <c r="E507">
        <v>-21.746200000000002</v>
      </c>
      <c r="F507">
        <v>347.8963</v>
      </c>
      <c r="G507">
        <v>-21.744900000000001</v>
      </c>
      <c r="H507">
        <v>11</v>
      </c>
      <c r="I507" t="s">
        <v>331</v>
      </c>
      <c r="J507" t="s">
        <v>328</v>
      </c>
      <c r="K507">
        <v>2225</v>
      </c>
      <c r="L507" s="4">
        <f>_xlfn.XLOOKUP(A507,[2]Int_NH!A:A,[2]Int_NH!B:B,"-",0)</f>
        <v>4.4575200000000004E-3</v>
      </c>
    </row>
    <row r="508" spans="1:12" x14ac:dyDescent="0.2">
      <c r="A508" t="s">
        <v>293</v>
      </c>
      <c r="B508">
        <v>8.6999999999999994E-2</v>
      </c>
      <c r="C508">
        <v>2.0400000000000001E-2</v>
      </c>
      <c r="D508">
        <v>348.25560000000002</v>
      </c>
      <c r="E508">
        <v>-21.634399999999999</v>
      </c>
      <c r="F508">
        <v>348.2559</v>
      </c>
      <c r="G508">
        <v>-21.634599999999999</v>
      </c>
      <c r="H508">
        <v>1.1000000000000001</v>
      </c>
      <c r="I508" t="s">
        <v>327</v>
      </c>
      <c r="J508" t="s">
        <v>328</v>
      </c>
      <c r="K508">
        <v>2226</v>
      </c>
      <c r="L508" s="4">
        <f>_xlfn.XLOOKUP(A508,[2]Int_NH!A:A,[2]Int_NH!B:B,"-",0)</f>
        <v>1.6413000000000001E-3</v>
      </c>
    </row>
    <row r="509" spans="1:12" x14ac:dyDescent="0.2">
      <c r="A509" t="s">
        <v>294</v>
      </c>
      <c r="B509">
        <v>5.8000000000000003E-2</v>
      </c>
      <c r="C509">
        <v>1.83E-2</v>
      </c>
      <c r="D509">
        <v>348.49459999999999</v>
      </c>
      <c r="E509">
        <v>-42.725299999999997</v>
      </c>
      <c r="F509">
        <v>348.49489999999997</v>
      </c>
      <c r="G509">
        <v>-42.726300000000002</v>
      </c>
      <c r="H509">
        <v>3.7</v>
      </c>
      <c r="I509" t="s">
        <v>327</v>
      </c>
      <c r="J509" t="s">
        <v>328</v>
      </c>
      <c r="K509">
        <v>11758</v>
      </c>
      <c r="L509" s="4">
        <f>_xlfn.XLOOKUP(A509,[2]Int_NH!A:A,[2]Int_NH!B:B,"-",0)</f>
        <v>1.84987E-2</v>
      </c>
    </row>
    <row r="510" spans="1:12" x14ac:dyDescent="0.2">
      <c r="A510" t="s">
        <v>295</v>
      </c>
      <c r="B510">
        <v>0.78</v>
      </c>
      <c r="C510">
        <v>4.0399999999999998E-2</v>
      </c>
      <c r="D510">
        <v>349.62959999999998</v>
      </c>
      <c r="E510">
        <v>0.56740000000000002</v>
      </c>
      <c r="F510">
        <v>349.62819999999999</v>
      </c>
      <c r="G510">
        <v>0.56710000000000005</v>
      </c>
      <c r="H510">
        <v>5</v>
      </c>
      <c r="I510" t="s">
        <v>331</v>
      </c>
      <c r="J510" t="s">
        <v>336</v>
      </c>
      <c r="K510" t="s">
        <v>703</v>
      </c>
      <c r="L510" s="4">
        <f>_xlfn.XLOOKUP(A510,[2]Int_NH!A:A,[2]Int_NH!B:B,"-",0)</f>
        <v>2.6258400000000001E-8</v>
      </c>
    </row>
    <row r="511" spans="1:12" x14ac:dyDescent="0.2">
      <c r="A511" t="s">
        <v>704</v>
      </c>
      <c r="B511">
        <v>1.7399999999999999E-2</v>
      </c>
      <c r="C511">
        <v>0.1217</v>
      </c>
      <c r="D511">
        <v>349.65960000000001</v>
      </c>
      <c r="E511">
        <v>42.958100000000002</v>
      </c>
      <c r="F511">
        <v>349.65960000000001</v>
      </c>
      <c r="G511">
        <v>42.958100000000002</v>
      </c>
      <c r="H511">
        <v>0.1</v>
      </c>
      <c r="I511" t="s">
        <v>327</v>
      </c>
      <c r="J511" t="s">
        <v>328</v>
      </c>
      <c r="K511">
        <v>7896</v>
      </c>
      <c r="L511" s="4">
        <f>_xlfn.XLOOKUP(A511,[2]Int_NH!A:A,[2]Int_NH!B:B,"-",0)</f>
        <v>5.95498E-2</v>
      </c>
    </row>
    <row r="512" spans="1:12" x14ac:dyDescent="0.2">
      <c r="A512" t="s">
        <v>705</v>
      </c>
      <c r="B512">
        <v>1.7299999999999999E-2</v>
      </c>
      <c r="C512">
        <v>0.1193</v>
      </c>
      <c r="D512">
        <v>349.95010000000002</v>
      </c>
      <c r="E512">
        <v>42.853200000000001</v>
      </c>
      <c r="F512">
        <v>349.95010000000002</v>
      </c>
      <c r="G512">
        <v>42.853200000000001</v>
      </c>
      <c r="H512">
        <v>0.2</v>
      </c>
      <c r="I512" t="s">
        <v>327</v>
      </c>
      <c r="J512" t="s">
        <v>328</v>
      </c>
      <c r="K512">
        <v>7895</v>
      </c>
      <c r="L512" s="4">
        <f>_xlfn.XLOOKUP(A512,[2]Int_NH!A:A,[2]Int_NH!B:B,"-",0)</f>
        <v>0.14029800000000001</v>
      </c>
    </row>
    <row r="513" spans="1:12" x14ac:dyDescent="0.2">
      <c r="A513" t="s">
        <v>706</v>
      </c>
      <c r="B513">
        <v>4.1399999999999999E-2</v>
      </c>
      <c r="C513">
        <v>4.2200000000000001E-2</v>
      </c>
      <c r="D513">
        <v>350.98939999999999</v>
      </c>
      <c r="E513">
        <v>16.777200000000001</v>
      </c>
      <c r="F513">
        <v>350.98880000000003</v>
      </c>
      <c r="G513">
        <v>16.7773</v>
      </c>
      <c r="H513">
        <v>2</v>
      </c>
      <c r="I513" t="s">
        <v>327</v>
      </c>
      <c r="J513" t="s">
        <v>328</v>
      </c>
      <c r="K513" t="s">
        <v>707</v>
      </c>
      <c r="L513" s="4">
        <f>_xlfn.XLOOKUP(A513,[2]Int_NH!A:A,[2]Int_NH!B:B,"-",0)</f>
        <v>0</v>
      </c>
    </row>
    <row r="514" spans="1:12" x14ac:dyDescent="0.2">
      <c r="A514" t="s">
        <v>296</v>
      </c>
      <c r="B514">
        <v>8.5000000000000006E-2</v>
      </c>
      <c r="C514">
        <v>2.4899999999999999E-2</v>
      </c>
      <c r="D514">
        <v>351.33260000000001</v>
      </c>
      <c r="E514">
        <v>-12.1242</v>
      </c>
      <c r="F514">
        <v>351.33240000000001</v>
      </c>
      <c r="G514">
        <v>-12.1243</v>
      </c>
      <c r="H514">
        <v>0.9</v>
      </c>
      <c r="I514" t="s">
        <v>327</v>
      </c>
      <c r="J514" t="s">
        <v>328</v>
      </c>
      <c r="K514" t="s">
        <v>708</v>
      </c>
      <c r="L514" s="4">
        <f>_xlfn.XLOOKUP(A514,[2]Int_NH!A:A,[2]Int_NH!B:B,"-",0)</f>
        <v>6.6021099999999996E-3</v>
      </c>
    </row>
    <row r="515" spans="1:12" x14ac:dyDescent="0.2">
      <c r="A515" t="s">
        <v>297</v>
      </c>
      <c r="B515">
        <v>0.57099999999999995</v>
      </c>
      <c r="C515">
        <v>1.54E-2</v>
      </c>
      <c r="D515">
        <v>352.9633</v>
      </c>
      <c r="E515">
        <v>-50.864899999999999</v>
      </c>
      <c r="F515">
        <v>352.96319999999997</v>
      </c>
      <c r="G515">
        <v>-50.866</v>
      </c>
      <c r="H515">
        <v>3.9</v>
      </c>
      <c r="I515" t="s">
        <v>327</v>
      </c>
      <c r="J515" t="s">
        <v>336</v>
      </c>
      <c r="K515">
        <v>9333</v>
      </c>
      <c r="L515" s="4">
        <f>_xlfn.XLOOKUP(A515,[2]Int_NH!A:A,[2]Int_NH!B:B,"-",0)</f>
        <v>4.9263399999999999E-2</v>
      </c>
    </row>
    <row r="516" spans="1:12" x14ac:dyDescent="0.2">
      <c r="A516" t="s">
        <v>709</v>
      </c>
      <c r="B516">
        <v>5.5E-2</v>
      </c>
      <c r="C516">
        <v>4.3400000000000001E-2</v>
      </c>
      <c r="D516">
        <v>354.12670000000003</v>
      </c>
      <c r="E516">
        <v>21.146799999999999</v>
      </c>
      <c r="F516">
        <v>354.12689999999998</v>
      </c>
      <c r="G516">
        <v>21.1465</v>
      </c>
      <c r="H516">
        <v>1.4</v>
      </c>
      <c r="I516" t="s">
        <v>327</v>
      </c>
      <c r="J516" t="s">
        <v>328</v>
      </c>
      <c r="K516">
        <v>3192</v>
      </c>
      <c r="L516" s="4">
        <f>_xlfn.XLOOKUP(A516,[2]Int_NH!A:A,[2]Int_NH!B:B,"-",0)</f>
        <v>2.3738800000000001E-2</v>
      </c>
    </row>
    <row r="517" spans="1:12" x14ac:dyDescent="0.2">
      <c r="A517" t="s">
        <v>710</v>
      </c>
      <c r="B517">
        <v>0.126</v>
      </c>
      <c r="C517">
        <v>4.2900000000000001E-2</v>
      </c>
      <c r="D517">
        <v>354.17540000000002</v>
      </c>
      <c r="E517">
        <v>23.924800000000001</v>
      </c>
      <c r="F517">
        <v>354.17540000000002</v>
      </c>
      <c r="G517">
        <v>23.924800000000001</v>
      </c>
      <c r="H517">
        <v>0</v>
      </c>
      <c r="I517" t="s">
        <v>327</v>
      </c>
      <c r="J517" t="s">
        <v>336</v>
      </c>
      <c r="K517">
        <v>11732</v>
      </c>
      <c r="L517" s="4">
        <f>_xlfn.XLOOKUP(A517,[2]Int_NH!A:A,[2]Int_NH!B:B,"-",0)</f>
        <v>2.4236299999999999E-2</v>
      </c>
    </row>
    <row r="518" spans="1:12" x14ac:dyDescent="0.2">
      <c r="A518" t="s">
        <v>711</v>
      </c>
      <c r="B518">
        <v>0.78100000000000003</v>
      </c>
      <c r="C518">
        <v>2.69E-2</v>
      </c>
      <c r="D518">
        <v>354.35320000000002</v>
      </c>
      <c r="E518">
        <v>-59.706400000000002</v>
      </c>
      <c r="F518">
        <v>354.35320000000002</v>
      </c>
      <c r="G518">
        <v>-59.706400000000002</v>
      </c>
      <c r="H518">
        <v>0</v>
      </c>
      <c r="I518" t="s">
        <v>327</v>
      </c>
      <c r="J518" t="s">
        <v>336</v>
      </c>
      <c r="K518">
        <v>11859</v>
      </c>
      <c r="L518" s="4">
        <f>_xlfn.XLOOKUP(A518,[2]Int_NH!A:A,[2]Int_NH!B:B,"-",0)</f>
        <v>2.8351500000000002E-2</v>
      </c>
    </row>
    <row r="519" spans="1:12" x14ac:dyDescent="0.2">
      <c r="A519" t="s">
        <v>712</v>
      </c>
      <c r="B519">
        <v>0.27300000000000002</v>
      </c>
      <c r="C519">
        <v>3.7999999999999999E-2</v>
      </c>
      <c r="D519">
        <v>354.40820000000002</v>
      </c>
      <c r="E519">
        <v>0.26719999999999999</v>
      </c>
      <c r="F519">
        <v>354.41070000000002</v>
      </c>
      <c r="G519">
        <v>0.2681</v>
      </c>
      <c r="H519">
        <v>9.4</v>
      </c>
      <c r="I519" t="s">
        <v>331</v>
      </c>
      <c r="J519" t="s">
        <v>328</v>
      </c>
      <c r="K519">
        <v>11728</v>
      </c>
      <c r="L519" s="4">
        <f>_xlfn.XLOOKUP(A519,[2]Int_NH!A:A,[2]Int_NH!B:B,"-",0)</f>
        <v>1.7823800000000001E-2</v>
      </c>
    </row>
    <row r="520" spans="1:12" x14ac:dyDescent="0.2">
      <c r="A520" t="s">
        <v>298</v>
      </c>
      <c r="B520">
        <v>0.193</v>
      </c>
      <c r="C520">
        <v>8.4699999999999998E-2</v>
      </c>
      <c r="D520">
        <v>355.02879999999999</v>
      </c>
      <c r="E520">
        <v>-85.197400000000002</v>
      </c>
      <c r="F520">
        <v>355.02879999999999</v>
      </c>
      <c r="G520">
        <v>-85.198499999999996</v>
      </c>
      <c r="H520">
        <v>3.9</v>
      </c>
      <c r="I520" t="s">
        <v>327</v>
      </c>
      <c r="J520" t="s">
        <v>336</v>
      </c>
      <c r="K520">
        <v>15124</v>
      </c>
      <c r="L520" s="4">
        <f>_xlfn.XLOOKUP(A520,[2]Int_NH!A:A,[2]Int_NH!B:B,"-",0)</f>
        <v>5.69268E-2</v>
      </c>
    </row>
    <row r="521" spans="1:12" x14ac:dyDescent="0.2">
      <c r="A521" t="s">
        <v>713</v>
      </c>
      <c r="B521">
        <v>0.998</v>
      </c>
      <c r="C521">
        <v>1.7899999999999999E-2</v>
      </c>
      <c r="D521">
        <v>355.30200000000002</v>
      </c>
      <c r="E521">
        <v>-51.328699999999998</v>
      </c>
      <c r="F521">
        <v>355.30200000000002</v>
      </c>
      <c r="G521">
        <v>-51.328699999999998</v>
      </c>
      <c r="H521">
        <v>0</v>
      </c>
      <c r="I521" t="s">
        <v>327</v>
      </c>
      <c r="J521" t="s">
        <v>336</v>
      </c>
      <c r="K521" t="s">
        <v>714</v>
      </c>
      <c r="L521" s="4">
        <f>_xlfn.XLOOKUP(A521,[2]Int_NH!A:A,[2]Int_NH!B:B,"-",0)</f>
        <v>3.6811200000000002E-2</v>
      </c>
    </row>
    <row r="522" spans="1:12" x14ac:dyDescent="0.2">
      <c r="A522" t="s">
        <v>299</v>
      </c>
      <c r="B522">
        <v>0.251</v>
      </c>
      <c r="C522">
        <v>2.6200000000000001E-2</v>
      </c>
      <c r="D522">
        <v>355.32319999999999</v>
      </c>
      <c r="E522">
        <v>-9.0165000000000006</v>
      </c>
      <c r="F522">
        <v>355.31990000000002</v>
      </c>
      <c r="G522">
        <v>-9.0252999999999997</v>
      </c>
      <c r="H522">
        <v>33.6</v>
      </c>
      <c r="I522" t="s">
        <v>331</v>
      </c>
      <c r="J522" t="s">
        <v>336</v>
      </c>
      <c r="K522">
        <v>14013</v>
      </c>
      <c r="L522" s="4">
        <f>_xlfn.XLOOKUP(A522,[2]Int_NH!A:A,[2]Int_NH!B:B,"-",0)</f>
        <v>0</v>
      </c>
    </row>
    <row r="523" spans="1:12" x14ac:dyDescent="0.2">
      <c r="A523" t="s">
        <v>300</v>
      </c>
      <c r="B523">
        <v>7.9000000000000001E-2</v>
      </c>
      <c r="C523">
        <v>3.56E-2</v>
      </c>
      <c r="D523">
        <v>356.07690000000002</v>
      </c>
      <c r="E523">
        <v>-4.3815999999999997</v>
      </c>
      <c r="F523">
        <v>356.0772</v>
      </c>
      <c r="G523">
        <v>-4.3813000000000004</v>
      </c>
      <c r="H523">
        <v>1.4</v>
      </c>
      <c r="I523" t="s">
        <v>327</v>
      </c>
      <c r="J523" t="s">
        <v>328</v>
      </c>
      <c r="K523">
        <v>12278</v>
      </c>
      <c r="L523" s="4">
        <f>_xlfn.XLOOKUP(A523,[2]Int_NH!A:A,[2]Int_NH!B:B,"-",0)</f>
        <v>3.6272100000000002E-2</v>
      </c>
    </row>
    <row r="524" spans="1:12" x14ac:dyDescent="0.2">
      <c r="A524" t="s">
        <v>715</v>
      </c>
      <c r="B524">
        <v>0.62</v>
      </c>
      <c r="C524">
        <v>1.9699999999999999E-2</v>
      </c>
      <c r="D524">
        <v>356.18329999999997</v>
      </c>
      <c r="E524">
        <v>-42.720100000000002</v>
      </c>
      <c r="F524">
        <v>356.18329999999997</v>
      </c>
      <c r="G524">
        <v>-42.720100000000002</v>
      </c>
      <c r="H524">
        <v>0</v>
      </c>
      <c r="I524" t="s">
        <v>327</v>
      </c>
      <c r="J524" t="s">
        <v>336</v>
      </c>
      <c r="K524">
        <v>13401</v>
      </c>
      <c r="L524" s="4">
        <f>_xlfn.XLOOKUP(A524,[2]Int_NH!A:A,[2]Int_NH!B:B,"-",0)</f>
        <v>0</v>
      </c>
    </row>
    <row r="525" spans="1:12" x14ac:dyDescent="0.2">
      <c r="A525" t="s">
        <v>716</v>
      </c>
      <c r="B525">
        <v>0.04</v>
      </c>
      <c r="C525">
        <v>5.5399999999999998E-2</v>
      </c>
      <c r="D525">
        <v>356.2389</v>
      </c>
      <c r="E525">
        <v>9.1920999999999999</v>
      </c>
      <c r="F525">
        <v>356.23860000000002</v>
      </c>
      <c r="G525">
        <v>9.1919000000000004</v>
      </c>
      <c r="H525">
        <v>1.5</v>
      </c>
      <c r="I525" t="s">
        <v>327</v>
      </c>
      <c r="J525" t="s">
        <v>328</v>
      </c>
      <c r="K525">
        <v>4941</v>
      </c>
      <c r="L525" s="4">
        <f>_xlfn.XLOOKUP(A525,[2]Int_NH!A:A,[2]Int_NH!B:B,"-",0)</f>
        <v>5.7634999999999999E-2</v>
      </c>
    </row>
    <row r="526" spans="1:12" x14ac:dyDescent="0.2">
      <c r="A526" t="s">
        <v>717</v>
      </c>
      <c r="B526">
        <v>0.94</v>
      </c>
      <c r="C526">
        <v>2.58E-2</v>
      </c>
      <c r="D526">
        <v>356.24849999999998</v>
      </c>
      <c r="E526">
        <v>-64.096299999999999</v>
      </c>
      <c r="F526">
        <v>356.24849999999998</v>
      </c>
      <c r="G526">
        <v>-64.096299999999999</v>
      </c>
      <c r="H526">
        <v>0</v>
      </c>
      <c r="I526" t="s">
        <v>327</v>
      </c>
      <c r="J526" t="s">
        <v>336</v>
      </c>
      <c r="K526">
        <v>13500</v>
      </c>
      <c r="L526" s="4">
        <f>_xlfn.XLOOKUP(A526,[2]Int_NH!A:A,[2]Int_NH!B:B,"-",0)</f>
        <v>0</v>
      </c>
    </row>
    <row r="527" spans="1:12" x14ac:dyDescent="0.2">
      <c r="A527" t="s">
        <v>718</v>
      </c>
      <c r="B527">
        <v>2.1999999999999999E-2</v>
      </c>
      <c r="C527">
        <v>3.6400000000000002E-2</v>
      </c>
      <c r="D527">
        <v>356.84589999999997</v>
      </c>
      <c r="E527">
        <v>-2.3005</v>
      </c>
      <c r="F527">
        <v>356.8451</v>
      </c>
      <c r="G527">
        <v>-2.2999000000000001</v>
      </c>
      <c r="H527">
        <v>3.6</v>
      </c>
      <c r="I527" t="s">
        <v>327</v>
      </c>
      <c r="J527" t="s">
        <v>328</v>
      </c>
      <c r="K527">
        <v>4988</v>
      </c>
      <c r="L527" s="4">
        <f>_xlfn.XLOOKUP(A527,[2]Int_NH!A:A,[2]Int_NH!B:B,"-",0)</f>
        <v>0.139131</v>
      </c>
    </row>
    <row r="528" spans="1:12" x14ac:dyDescent="0.2">
      <c r="A528" t="s">
        <v>719</v>
      </c>
      <c r="B528">
        <v>2.8000000000000001E-2</v>
      </c>
      <c r="C528">
        <v>1.54E-2</v>
      </c>
      <c r="D528">
        <v>356.93740000000003</v>
      </c>
      <c r="E528">
        <v>-28.140599999999999</v>
      </c>
      <c r="F528">
        <v>356.92989999999998</v>
      </c>
      <c r="G528">
        <v>-28.143000000000001</v>
      </c>
      <c r="H528">
        <v>25.4</v>
      </c>
      <c r="I528" t="s">
        <v>331</v>
      </c>
      <c r="J528" t="s">
        <v>328</v>
      </c>
      <c r="K528">
        <v>4992</v>
      </c>
      <c r="L528" s="4">
        <f>_xlfn.XLOOKUP(A528,[2]Int_NH!A:A,[2]Int_NH!B:B,"-",0)</f>
        <v>2.3110599999999999E-2</v>
      </c>
    </row>
    <row r="529" spans="1:12" x14ac:dyDescent="0.2">
      <c r="A529" t="s">
        <v>301</v>
      </c>
      <c r="B529">
        <v>0.26100000000000001</v>
      </c>
      <c r="C529">
        <v>1.0999999999999999E-2</v>
      </c>
      <c r="D529">
        <v>356.95549999999997</v>
      </c>
      <c r="E529">
        <v>-35.5867</v>
      </c>
      <c r="F529">
        <v>356.95620000000002</v>
      </c>
      <c r="G529">
        <v>-35.587499999999999</v>
      </c>
      <c r="H529">
        <v>3.5</v>
      </c>
      <c r="I529" t="s">
        <v>327</v>
      </c>
      <c r="J529" t="s">
        <v>336</v>
      </c>
      <c r="K529">
        <v>10484</v>
      </c>
      <c r="L529" s="4">
        <f>_xlfn.XLOOKUP(A529,[2]Int_NH!A:A,[2]Int_NH!B:B,"-",0)</f>
        <v>1.10484E-2</v>
      </c>
    </row>
    <row r="530" spans="1:12" x14ac:dyDescent="0.2">
      <c r="A530" t="s">
        <v>302</v>
      </c>
      <c r="B530">
        <v>5.6000000000000001E-2</v>
      </c>
      <c r="C530">
        <v>6.0400000000000002E-2</v>
      </c>
      <c r="D530">
        <v>357.71089999999998</v>
      </c>
      <c r="E530">
        <v>6.1502999999999997</v>
      </c>
      <c r="F530">
        <v>357.70949999999999</v>
      </c>
      <c r="G530">
        <v>6.1513999999999998</v>
      </c>
      <c r="H530">
        <v>6.3</v>
      </c>
      <c r="I530" t="s">
        <v>331</v>
      </c>
      <c r="J530" t="s">
        <v>336</v>
      </c>
      <c r="K530">
        <v>12280</v>
      </c>
      <c r="L530" s="4">
        <f>_xlfn.XLOOKUP(A530,[2]Int_NH!A:A,[2]Int_NH!B:B,"-",0)</f>
        <v>2.84535E-2</v>
      </c>
    </row>
    <row r="531" spans="1:12" x14ac:dyDescent="0.2">
      <c r="A531" t="s">
        <v>303</v>
      </c>
      <c r="B531">
        <v>0.23</v>
      </c>
      <c r="C531">
        <v>1.6500000000000001E-2</v>
      </c>
      <c r="D531">
        <v>357.91410000000002</v>
      </c>
      <c r="E531">
        <v>-26.0837</v>
      </c>
      <c r="F531">
        <v>357.91419999999999</v>
      </c>
      <c r="G531">
        <v>-26.084099999999999</v>
      </c>
      <c r="H531">
        <v>1.3</v>
      </c>
      <c r="I531" t="s">
        <v>327</v>
      </c>
      <c r="J531" t="s">
        <v>328</v>
      </c>
      <c r="K531">
        <v>2214</v>
      </c>
      <c r="L531" s="4">
        <f>_xlfn.XLOOKUP(A531,[2]Int_NH!A:A,[2]Int_NH!B:B,"-",0)</f>
        <v>1.46503E-2</v>
      </c>
    </row>
    <row r="532" spans="1:12" x14ac:dyDescent="0.2">
      <c r="A532" t="s">
        <v>304</v>
      </c>
      <c r="B532">
        <v>7.5999999999999998E-2</v>
      </c>
      <c r="C532">
        <v>2.92E-2</v>
      </c>
      <c r="D532">
        <v>358.55709999999999</v>
      </c>
      <c r="E532">
        <v>-10.4192</v>
      </c>
      <c r="F532">
        <v>358.53680000000003</v>
      </c>
      <c r="G532">
        <v>-10.4252</v>
      </c>
      <c r="H532">
        <v>75</v>
      </c>
      <c r="I532" t="s">
        <v>331</v>
      </c>
      <c r="J532" t="s">
        <v>328</v>
      </c>
      <c r="K532">
        <v>4959</v>
      </c>
      <c r="L532" s="4">
        <f>_xlfn.XLOOKUP(A532,[2]Int_NH!A:A,[2]Int_NH!B:B,"-",0)</f>
        <v>3.1344799999999999E-2</v>
      </c>
    </row>
    <row r="533" spans="1:12" x14ac:dyDescent="0.2">
      <c r="A533" t="s">
        <v>720</v>
      </c>
      <c r="B533">
        <v>0.35</v>
      </c>
      <c r="C533">
        <v>1.8499999999999999E-2</v>
      </c>
      <c r="D533">
        <v>358.9477</v>
      </c>
      <c r="E533">
        <v>-50.928100000000001</v>
      </c>
      <c r="F533">
        <v>358.94690000000003</v>
      </c>
      <c r="G533">
        <v>-50.927199999999999</v>
      </c>
      <c r="H533">
        <v>3.5</v>
      </c>
      <c r="I533" t="s">
        <v>327</v>
      </c>
      <c r="J533" t="s">
        <v>336</v>
      </c>
      <c r="K533" t="s">
        <v>721</v>
      </c>
      <c r="L533" s="4">
        <f>_xlfn.XLOOKUP(A533,[2]Int_NH!A:A,[2]Int_NH!B:B,"-",0)</f>
        <v>3.6347299999999999E-2</v>
      </c>
    </row>
    <row r="534" spans="1:12" x14ac:dyDescent="0.2">
      <c r="A534" t="s">
        <v>305</v>
      </c>
      <c r="B534">
        <v>0.76</v>
      </c>
      <c r="C534">
        <v>1.44E-2</v>
      </c>
      <c r="D534">
        <v>359.92829999999998</v>
      </c>
      <c r="E534">
        <v>-50.168799999999997</v>
      </c>
      <c r="F534">
        <v>359.92959999999999</v>
      </c>
      <c r="G534">
        <v>-50.1693</v>
      </c>
      <c r="H534">
        <v>3.5</v>
      </c>
      <c r="I534" t="s">
        <v>327</v>
      </c>
      <c r="J534" t="s">
        <v>336</v>
      </c>
      <c r="K534" t="s">
        <v>722</v>
      </c>
      <c r="L534" s="4">
        <f>_xlfn.XLOOKUP(A534,[2]Int_NH!A:A,[2]Int_NH!B:B,"-",0)</f>
        <v>5.07511E-2</v>
      </c>
    </row>
    <row r="535" spans="1:12" x14ac:dyDescent="0.2">
      <c r="A535" t="s">
        <v>723</v>
      </c>
      <c r="B535">
        <v>0.1953</v>
      </c>
      <c r="C535">
        <v>5.4300000000000001E-2</v>
      </c>
      <c r="D535">
        <v>13.9635</v>
      </c>
      <c r="E535">
        <v>26.407599999999999</v>
      </c>
      <c r="F535">
        <v>13.96</v>
      </c>
      <c r="G535">
        <v>26.4101</v>
      </c>
      <c r="H535">
        <v>14.7</v>
      </c>
      <c r="I535" t="s">
        <v>331</v>
      </c>
      <c r="J535" t="s">
        <v>336</v>
      </c>
      <c r="K535" t="s">
        <v>724</v>
      </c>
      <c r="L535" s="4">
        <f>_xlfn.XLOOKUP(A535,[2]Int_NH!A:A,[2]Int_NH!B:B,"-",0)</f>
        <v>1.9355199999999999E-2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9E83-47A6-C742-A1B3-C2222D210A1D}">
  <dimension ref="A1:W291"/>
  <sheetViews>
    <sheetView topLeftCell="H1" workbookViewId="0">
      <selection sqref="A1:W291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742</v>
      </c>
      <c r="D1" t="s">
        <v>743</v>
      </c>
      <c r="E1" t="s">
        <v>779</v>
      </c>
      <c r="F1" t="s">
        <v>725</v>
      </c>
      <c r="G1" t="s">
        <v>726</v>
      </c>
      <c r="H1" t="s">
        <v>727</v>
      </c>
      <c r="I1" t="s">
        <v>728</v>
      </c>
      <c r="J1" t="s">
        <v>729</v>
      </c>
      <c r="K1" t="s">
        <v>730</v>
      </c>
      <c r="L1" t="s">
        <v>731</v>
      </c>
      <c r="M1" t="s">
        <v>732</v>
      </c>
      <c r="N1" t="s">
        <v>733</v>
      </c>
      <c r="O1" t="s">
        <v>734</v>
      </c>
      <c r="P1" t="s">
        <v>735</v>
      </c>
      <c r="Q1" t="s">
        <v>736</v>
      </c>
      <c r="R1" t="s">
        <v>737</v>
      </c>
      <c r="S1" t="s">
        <v>738</v>
      </c>
      <c r="T1" t="s">
        <v>856</v>
      </c>
      <c r="U1" t="s">
        <v>857</v>
      </c>
      <c r="V1" t="s">
        <v>815</v>
      </c>
      <c r="W1" t="s">
        <v>816</v>
      </c>
    </row>
    <row r="2" spans="1:23" x14ac:dyDescent="0.2">
      <c r="C2" t="s">
        <v>316</v>
      </c>
      <c r="D2" t="s">
        <v>317</v>
      </c>
      <c r="E2" t="s">
        <v>778</v>
      </c>
      <c r="F2" t="s">
        <v>812</v>
      </c>
      <c r="G2" t="s">
        <v>812</v>
      </c>
      <c r="H2" t="s">
        <v>813</v>
      </c>
      <c r="I2" t="s">
        <v>813</v>
      </c>
      <c r="N2" t="s">
        <v>814</v>
      </c>
      <c r="O2" t="s">
        <v>814</v>
      </c>
      <c r="P2" t="s">
        <v>858</v>
      </c>
      <c r="Q2" t="s">
        <v>858</v>
      </c>
      <c r="R2" t="s">
        <v>858</v>
      </c>
      <c r="S2" t="s">
        <v>858</v>
      </c>
      <c r="T2" t="s">
        <v>858</v>
      </c>
      <c r="U2" t="s">
        <v>858</v>
      </c>
    </row>
    <row r="3" spans="1:23" x14ac:dyDescent="0.2">
      <c r="A3" t="s">
        <v>826</v>
      </c>
      <c r="B3" t="s">
        <v>825</v>
      </c>
      <c r="C3" t="s">
        <v>322</v>
      </c>
      <c r="D3" t="s">
        <v>322</v>
      </c>
      <c r="F3" t="s">
        <v>827</v>
      </c>
      <c r="G3" t="s">
        <v>828</v>
      </c>
      <c r="H3" t="s">
        <v>829</v>
      </c>
      <c r="I3" t="s">
        <v>830</v>
      </c>
      <c r="J3" t="s">
        <v>831</v>
      </c>
      <c r="K3" t="s">
        <v>832</v>
      </c>
      <c r="L3" t="s">
        <v>833</v>
      </c>
      <c r="M3" t="s">
        <v>834</v>
      </c>
      <c r="N3" t="s">
        <v>821</v>
      </c>
      <c r="O3" t="s">
        <v>824</v>
      </c>
      <c r="P3" t="s">
        <v>822</v>
      </c>
      <c r="Q3" t="s">
        <v>823</v>
      </c>
      <c r="R3" t="s">
        <v>819</v>
      </c>
      <c r="S3" t="s">
        <v>820</v>
      </c>
      <c r="T3" t="s">
        <v>859</v>
      </c>
      <c r="U3" t="s">
        <v>860</v>
      </c>
      <c r="V3" t="s">
        <v>817</v>
      </c>
      <c r="W3" t="s">
        <v>818</v>
      </c>
    </row>
    <row r="4" spans="1:23" x14ac:dyDescent="0.2">
      <c r="A4" t="s">
        <v>132</v>
      </c>
      <c r="B4">
        <v>0.442</v>
      </c>
      <c r="C4">
        <v>138.43950000000001</v>
      </c>
      <c r="D4">
        <v>40.941299999999998</v>
      </c>
      <c r="E4">
        <v>994</v>
      </c>
      <c r="F4">
        <v>6.37</v>
      </c>
      <c r="G4">
        <v>0.63</v>
      </c>
      <c r="H4">
        <v>0.34</v>
      </c>
      <c r="I4">
        <v>0.09</v>
      </c>
      <c r="J4" t="s">
        <v>739</v>
      </c>
      <c r="K4">
        <v>1133</v>
      </c>
      <c r="L4">
        <v>1022</v>
      </c>
      <c r="M4">
        <v>1.1000000000000001</v>
      </c>
      <c r="N4" s="5">
        <v>5.7099999999999999E-13</v>
      </c>
      <c r="O4" s="5">
        <v>2.5000000000000001E-14</v>
      </c>
      <c r="P4" s="5">
        <f>_xlfn.XLOOKUP(A4,'[2]LX COMPUTED'!A:A,'[2]LX COMPUTED'!T:T,"-",0)</f>
        <v>3.8537012614489909</v>
      </c>
      <c r="Q4" s="5">
        <f>_xlfn.XLOOKUP(A4,'[2]LX COMPUTED'!A:A,'[2]LX COMPUTED'!U:U,"-",0)</f>
        <v>0.16723775003142241</v>
      </c>
      <c r="R4" s="5">
        <f>_xlfn.XLOOKUP(A4,'[2]LX COMPUTED'!A:A,'[2]LX COMPUTED'!V:V,"-",0)</f>
        <v>5.7866903751287389</v>
      </c>
      <c r="S4" s="5">
        <f>_xlfn.XLOOKUP(A4,'[2]LX COMPUTED'!A:A,'[2]LX COMPUTED'!W:W,"-",0)</f>
        <v>0.33189178109706841</v>
      </c>
      <c r="T4" s="5">
        <f>_xlfn.XLOOKUP(A4,'[2]LX COMPUTED'!A:A,'[2]LX COMPUTED'!AK:AK,"-",0)</f>
        <v>1.5589097707082424</v>
      </c>
      <c r="U4" s="5">
        <f>_xlfn.XLOOKUP(A4,'[2]LX COMPUTED'!A:A,'[2]LX COMPUTED'!AL:AL,"-",0)</f>
        <v>6.7651471888410128E-2</v>
      </c>
      <c r="V4" s="2">
        <f>_xlfn.XLOOKUP(A4,'[2]LX COMPUTED'!A:A,'[2]LX COMPUTED'!AE:AE,"-",0)</f>
        <v>0.78872405756353814</v>
      </c>
      <c r="W4" s="2">
        <f>_xlfn.XLOOKUP(A4,'[2]LX COMPUTED'!A:A,'[2]LX COMPUTED'!AF:AF,"-",0)</f>
        <v>7.5467888126812153E-3</v>
      </c>
    </row>
    <row r="5" spans="1:23" x14ac:dyDescent="0.2">
      <c r="A5" t="s">
        <v>195</v>
      </c>
      <c r="B5">
        <v>7.9000000000000001E-2</v>
      </c>
      <c r="C5">
        <v>202.8734</v>
      </c>
      <c r="D5">
        <v>11.1325</v>
      </c>
      <c r="E5">
        <v>358</v>
      </c>
      <c r="F5">
        <v>0.67</v>
      </c>
      <c r="G5">
        <v>0.05</v>
      </c>
      <c r="H5">
        <v>0.21</v>
      </c>
      <c r="I5">
        <v>0.15</v>
      </c>
      <c r="J5" t="s">
        <v>739</v>
      </c>
      <c r="K5">
        <v>1077</v>
      </c>
      <c r="L5">
        <v>1022</v>
      </c>
      <c r="M5">
        <v>1.1000000000000001</v>
      </c>
      <c r="N5" s="5">
        <v>4.0399999999999997E-14</v>
      </c>
      <c r="O5" s="5">
        <v>2E-14</v>
      </c>
      <c r="P5" s="5">
        <f>_xlfn.XLOOKUP(A5,'[2]LX COMPUTED'!A:A,'[2]LX COMPUTED'!T:T,"-",0)</f>
        <v>9.8662128231887247E-3</v>
      </c>
      <c r="Q5" s="5">
        <f>_xlfn.XLOOKUP(A5,'[2]LX COMPUTED'!A:A,'[2]LX COMPUTED'!U:U,"-",0)</f>
        <v>4.8203531026342304E-3</v>
      </c>
      <c r="R5" s="5">
        <f>_xlfn.XLOOKUP(A5,'[2]LX COMPUTED'!A:A,'[2]LX COMPUTED'!V:V,"-",0)</f>
        <v>1.5103002321863731E-2</v>
      </c>
      <c r="S5" s="5">
        <f>_xlfn.XLOOKUP(A5,'[2]LX COMPUTED'!A:A,'[2]LX COMPUTED'!W:W,"-",0)</f>
        <v>7.379013313975601E-3</v>
      </c>
      <c r="T5" s="5">
        <f>_xlfn.XLOOKUP(A5,'[2]LX COMPUTED'!A:A,'[2]LX COMPUTED'!AK:AK,"-",0)</f>
        <v>9.4312850592340701E-3</v>
      </c>
      <c r="U5" s="5">
        <f>_xlfn.XLOOKUP(A5,'[2]LX COMPUTED'!A:A,'[2]LX COMPUTED'!AL:AL,"-",0)</f>
        <v>4.6078596733952889E-3</v>
      </c>
      <c r="V5" s="2">
        <f>_xlfn.XLOOKUP(A5,'[2]LX COMPUTED'!A:A,'[2]LX COMPUTED'!AE:AE,"-",0)</f>
        <v>0.72498298162014974</v>
      </c>
      <c r="W5" s="2">
        <f>_xlfn.XLOOKUP(A5,'[2]LX COMPUTED'!A:A,'[2]LX COMPUTED'!AF:AF,"-",0)</f>
        <v>0.18062678004434726</v>
      </c>
    </row>
    <row r="6" spans="1:23" x14ac:dyDescent="0.2">
      <c r="A6" t="s">
        <v>123</v>
      </c>
      <c r="B6">
        <v>0.24099999999999999</v>
      </c>
      <c r="C6">
        <v>128.72839999999999</v>
      </c>
      <c r="D6">
        <v>55.572200000000002</v>
      </c>
      <c r="E6">
        <v>975</v>
      </c>
      <c r="F6">
        <v>4.8899999999999997</v>
      </c>
      <c r="G6">
        <v>0.37</v>
      </c>
      <c r="H6">
        <v>0.28999999999999998</v>
      </c>
      <c r="I6">
        <v>0.11</v>
      </c>
      <c r="J6" t="s">
        <v>740</v>
      </c>
      <c r="K6">
        <v>1045</v>
      </c>
      <c r="L6">
        <v>1022</v>
      </c>
      <c r="M6">
        <v>1</v>
      </c>
      <c r="N6" s="5">
        <v>1.3100000000000001E-12</v>
      </c>
      <c r="O6" s="5">
        <v>2.9000000000000003E-14</v>
      </c>
      <c r="P6" s="5">
        <f>_xlfn.XLOOKUP(A6,'[2]LX COMPUTED'!A:A,'[2]LX COMPUTED'!T:T,"-",0)</f>
        <v>2.3566023710712227</v>
      </c>
      <c r="Q6" s="5">
        <f>_xlfn.XLOOKUP(A6,'[2]LX COMPUTED'!A:A,'[2]LX COMPUTED'!U:U,"-",0)</f>
        <v>5.2660378326163458E-2</v>
      </c>
      <c r="R6" s="5">
        <f>_xlfn.XLOOKUP(A6,'[2]LX COMPUTED'!A:A,'[2]LX COMPUTED'!V:V,"-",0)</f>
        <v>3.3188192849579536</v>
      </c>
      <c r="S6" s="5">
        <f>_xlfn.XLOOKUP(A6,'[2]LX COMPUTED'!A:A,'[2]LX COMPUTED'!W:W,"-",0)</f>
        <v>0.10391496912188897</v>
      </c>
      <c r="T6" s="5">
        <f>_xlfn.XLOOKUP(A6,'[2]LX COMPUTED'!A:A,'[2]LX COMPUTED'!AK:AK,"-",0)</f>
        <v>1.0400365089321169</v>
      </c>
      <c r="U6" s="5">
        <f>_xlfn.XLOOKUP(A6,'[2]LX COMPUTED'!A:A,'[2]LX COMPUTED'!AL:AL,"-",0)</f>
        <v>2.3240541851993368E-2</v>
      </c>
      <c r="V6" s="2">
        <f>_xlfn.XLOOKUP(A6,'[2]LX COMPUTED'!A:A,'[2]LX COMPUTED'!AE:AE,"-",0)</f>
        <v>0.70428280081577166</v>
      </c>
      <c r="W6" s="2">
        <f>_xlfn.XLOOKUP(A6,'[2]LX COMPUTED'!A:A,'[2]LX COMPUTED'!AF:AF,"-",0)</f>
        <v>5.5772918488681822E-3</v>
      </c>
    </row>
    <row r="7" spans="1:23" x14ac:dyDescent="0.2">
      <c r="A7" t="s">
        <v>723</v>
      </c>
      <c r="B7">
        <v>0.1953</v>
      </c>
      <c r="C7">
        <v>13.9635</v>
      </c>
      <c r="D7">
        <v>26.407599999999999</v>
      </c>
      <c r="E7">
        <v>1219</v>
      </c>
      <c r="F7">
        <v>6.64</v>
      </c>
      <c r="G7">
        <v>0.78</v>
      </c>
      <c r="H7">
        <v>0.27</v>
      </c>
      <c r="I7">
        <v>0.1</v>
      </c>
      <c r="J7" t="s">
        <v>740</v>
      </c>
      <c r="K7">
        <v>4504</v>
      </c>
      <c r="L7">
        <v>4097</v>
      </c>
      <c r="M7">
        <v>1.1000000000000001</v>
      </c>
      <c r="N7" s="5">
        <v>2.38E-12</v>
      </c>
      <c r="O7" s="5">
        <v>2.8000000000000001E-14</v>
      </c>
      <c r="P7" s="5">
        <f>_xlfn.XLOOKUP(A7,'[2]LX COMPUTED'!A:A,'[2]LX COMPUTED'!T:T,"-",0)</f>
        <v>2.6328690545900377</v>
      </c>
      <c r="Q7" s="5">
        <f>_xlfn.XLOOKUP(A7,'[2]LX COMPUTED'!A:A,'[2]LX COMPUTED'!U:U,"-",0)</f>
        <v>3.080081962242542E-2</v>
      </c>
      <c r="R7" s="5">
        <f>_xlfn.XLOOKUP(A7,'[2]LX COMPUTED'!A:A,'[2]LX COMPUTED'!V:V,"-",0)</f>
        <v>4.0076708411625432</v>
      </c>
      <c r="S7" s="5">
        <f>_xlfn.XLOOKUP(A7,'[2]LX COMPUTED'!A:A,'[2]LX COMPUTED'!W:W,"-",0)</f>
        <v>0.19277286242010908</v>
      </c>
      <c r="T7" s="5">
        <f>_xlfn.XLOOKUP(A7,'[2]LX COMPUTED'!A:A,'[2]LX COMPUTED'!AK:AK,"-",0)</f>
        <v>1.0595869566348526</v>
      </c>
      <c r="U7" s="5">
        <f>_xlfn.XLOOKUP(A7,'[2]LX COMPUTED'!A:A,'[2]LX COMPUTED'!AL:AL,"-",0)</f>
        <v>1.239565889867871E-2</v>
      </c>
      <c r="V7" s="2">
        <f>_xlfn.XLOOKUP(A7,'[2]LX COMPUTED'!A:A,'[2]LX COMPUTED'!AE:AE,"-",0)</f>
        <v>0.50447078394676648</v>
      </c>
      <c r="W7" s="2">
        <f>_xlfn.XLOOKUP(A7,'[2]LX COMPUTED'!A:A,'[2]LX COMPUTED'!AF:AF,"-",0)</f>
        <v>4.4870919378101693E-3</v>
      </c>
    </row>
    <row r="8" spans="1:23" x14ac:dyDescent="0.2">
      <c r="A8" t="s">
        <v>411</v>
      </c>
      <c r="B8">
        <v>0.13900000000000001</v>
      </c>
      <c r="C8">
        <v>53.5625</v>
      </c>
      <c r="D8">
        <v>-1.1881999999999999</v>
      </c>
      <c r="E8">
        <v>978</v>
      </c>
      <c r="F8">
        <v>5.0199999999999996</v>
      </c>
      <c r="G8">
        <v>0.48</v>
      </c>
      <c r="H8">
        <v>0.12</v>
      </c>
      <c r="I8">
        <v>0.12</v>
      </c>
      <c r="J8" t="s">
        <v>739</v>
      </c>
      <c r="K8">
        <v>2347</v>
      </c>
      <c r="L8">
        <v>2047</v>
      </c>
      <c r="M8">
        <v>1.1000000000000001</v>
      </c>
      <c r="N8" s="5">
        <v>7.2300000000000005E-13</v>
      </c>
      <c r="O8" s="5">
        <v>3.2000000000000002E-14</v>
      </c>
      <c r="P8" s="5">
        <f>_xlfn.XLOOKUP(A8,'[2]LX COMPUTED'!A:A,'[2]LX COMPUTED'!T:T,"-",0)</f>
        <v>0.40305474130266766</v>
      </c>
      <c r="Q8" s="5">
        <f>_xlfn.XLOOKUP(A8,'[2]LX COMPUTED'!A:A,'[2]LX COMPUTED'!U:U,"-",0)</f>
        <v>1.8108655841373427E-2</v>
      </c>
      <c r="R8" s="5">
        <f>_xlfn.XLOOKUP(A8,'[2]LX COMPUTED'!A:A,'[2]LX COMPUTED'!V:V,"-",0)</f>
        <v>0.57332443627591356</v>
      </c>
      <c r="S8" s="5">
        <f>_xlfn.XLOOKUP(A8,'[2]LX COMPUTED'!A:A,'[2]LX COMPUTED'!W:W,"-",0)</f>
        <v>3.0522439019838483E-2</v>
      </c>
      <c r="T8" s="5">
        <f>_xlfn.XLOOKUP(A8,'[2]LX COMPUTED'!A:A,'[2]LX COMPUTED'!AK:AK,"-",0)</f>
        <v>0.17893356738966834</v>
      </c>
      <c r="U8" s="5">
        <f>_xlfn.XLOOKUP(A8,'[2]LX COMPUTED'!A:A,'[2]LX COMPUTED'!AL:AL,"-",0)</f>
        <v>8.0392216200118848E-3</v>
      </c>
      <c r="V8" s="2">
        <f>_xlfn.XLOOKUP(A8,'[2]LX COMPUTED'!A:A,'[2]LX COMPUTED'!AE:AE,"-",0)</f>
        <v>0.65426371419006168</v>
      </c>
      <c r="W8" s="2">
        <f>_xlfn.XLOOKUP(A8,'[2]LX COMPUTED'!A:A,'[2]LX COMPUTED'!AF:AF,"-",0)</f>
        <v>1.2318693136860697E-2</v>
      </c>
    </row>
    <row r="9" spans="1:23" x14ac:dyDescent="0.2">
      <c r="A9" t="s">
        <v>604</v>
      </c>
      <c r="B9">
        <v>0.46400000000000002</v>
      </c>
      <c r="C9">
        <v>212.83500000000001</v>
      </c>
      <c r="D9">
        <v>52.2029</v>
      </c>
      <c r="E9">
        <v>514</v>
      </c>
      <c r="F9">
        <v>2.66</v>
      </c>
      <c r="G9">
        <v>0.34</v>
      </c>
      <c r="H9">
        <v>0.33</v>
      </c>
      <c r="I9">
        <v>0.15</v>
      </c>
      <c r="J9" t="s">
        <v>739</v>
      </c>
      <c r="K9">
        <v>1135</v>
      </c>
      <c r="L9">
        <v>1022</v>
      </c>
      <c r="M9">
        <v>1.1000000000000001</v>
      </c>
      <c r="N9" s="5">
        <v>2.72E-13</v>
      </c>
      <c r="O9" s="5">
        <v>3.5999999999999998E-14</v>
      </c>
      <c r="P9" s="5">
        <f>_xlfn.XLOOKUP(A9,'[2]LX COMPUTED'!A:A,'[2]LX COMPUTED'!T:T,"-",0)</f>
        <v>2.6543474215354141</v>
      </c>
      <c r="Q9" s="5">
        <f>_xlfn.XLOOKUP(A9,'[2]LX COMPUTED'!A:A,'[2]LX COMPUTED'!U:U,"-",0)</f>
        <v>0.35128790535009058</v>
      </c>
      <c r="R9" s="5">
        <f>_xlfn.XLOOKUP(A9,'[2]LX COMPUTED'!A:A,'[2]LX COMPUTED'!V:V,"-",0)</f>
        <v>3.5381606339217244</v>
      </c>
      <c r="S9" s="5">
        <f>_xlfn.XLOOKUP(A9,'[2]LX COMPUTED'!A:A,'[2]LX COMPUTED'!W:W,"-",0)</f>
        <v>0.47372135948531091</v>
      </c>
      <c r="T9" s="5">
        <f>_xlfn.XLOOKUP(A9,'[2]LX COMPUTED'!A:A,'[2]LX COMPUTED'!AK:AK,"-",0)</f>
        <v>1.4944647613335955</v>
      </c>
      <c r="U9" s="5">
        <f>_xlfn.XLOOKUP(A9,'[2]LX COMPUTED'!A:A,'[2]LX COMPUTED'!AL:AL,"-",0)</f>
        <v>0.1977839793574277</v>
      </c>
      <c r="V9" s="2">
        <f>_xlfn.XLOOKUP(A9,'[2]LX COMPUTED'!A:A,'[2]LX COMPUTED'!AE:AE,"-",0)</f>
        <v>0.70019832525341552</v>
      </c>
      <c r="W9" s="2">
        <f>_xlfn.XLOOKUP(A9,'[2]LX COMPUTED'!A:A,'[2]LX COMPUTED'!AF:AF,"-",0)</f>
        <v>3.1075112367736534E-2</v>
      </c>
    </row>
    <row r="10" spans="1:23" x14ac:dyDescent="0.2">
      <c r="A10" t="s">
        <v>204</v>
      </c>
      <c r="B10">
        <v>0.14099999999999999</v>
      </c>
      <c r="C10">
        <v>213.77850000000001</v>
      </c>
      <c r="D10">
        <v>-0.49199999999999999</v>
      </c>
      <c r="E10">
        <v>873</v>
      </c>
      <c r="F10">
        <v>3.32</v>
      </c>
      <c r="G10">
        <v>0.16</v>
      </c>
      <c r="H10">
        <v>0.3</v>
      </c>
      <c r="I10">
        <v>0.08</v>
      </c>
      <c r="J10" t="s">
        <v>740</v>
      </c>
      <c r="K10">
        <v>3414</v>
      </c>
      <c r="L10">
        <v>3072</v>
      </c>
      <c r="M10">
        <v>1.1000000000000001</v>
      </c>
      <c r="N10" s="5">
        <v>4.9999999999999999E-13</v>
      </c>
      <c r="O10" s="5">
        <v>3.1E-14</v>
      </c>
      <c r="P10" s="5">
        <f>_xlfn.XLOOKUP(A10,'[2]LX COMPUTED'!A:A,'[2]LX COMPUTED'!T:T,"-",0)</f>
        <v>0.27773691594008632</v>
      </c>
      <c r="Q10" s="5">
        <f>_xlfn.XLOOKUP(A10,'[2]LX COMPUTED'!A:A,'[2]LX COMPUTED'!U:U,"-",0)</f>
        <v>1.7208810644329348E-2</v>
      </c>
      <c r="R10" s="5">
        <f>_xlfn.XLOOKUP(A10,'[2]LX COMPUTED'!A:A,'[2]LX COMPUTED'!V:V,"-",0)</f>
        <v>0.37266912971361704</v>
      </c>
      <c r="S10" s="5">
        <f>_xlfn.XLOOKUP(A10,'[2]LX COMPUTED'!A:A,'[2]LX COMPUTED'!W:W,"-",0)</f>
        <v>2.335939391916764E-2</v>
      </c>
      <c r="T10" s="5">
        <f>_xlfn.XLOOKUP(A10,'[2]LX COMPUTED'!A:A,'[2]LX COMPUTED'!AK:AK,"-",0)</f>
        <v>0.14223865702410979</v>
      </c>
      <c r="U10" s="5">
        <f>_xlfn.XLOOKUP(A10,'[2]LX COMPUTED'!A:A,'[2]LX COMPUTED'!AL:AL,"-",0)</f>
        <v>8.8132256626614405E-3</v>
      </c>
      <c r="V10" s="2">
        <f>_xlfn.XLOOKUP(A10,'[2]LX COMPUTED'!A:A,'[2]LX COMPUTED'!AE:AE,"-",0)</f>
        <v>0.34959666926880045</v>
      </c>
      <c r="W10" s="2">
        <f>_xlfn.XLOOKUP(A10,'[2]LX COMPUTED'!A:A,'[2]LX COMPUTED'!AF:AF,"-",0)</f>
        <v>1.9741592257120747E-2</v>
      </c>
    </row>
    <row r="11" spans="1:23" x14ac:dyDescent="0.2">
      <c r="A11" t="s">
        <v>25</v>
      </c>
      <c r="B11">
        <v>0.104</v>
      </c>
      <c r="C11">
        <v>11.6029</v>
      </c>
      <c r="D11">
        <v>20.6218</v>
      </c>
      <c r="E11">
        <v>900</v>
      </c>
      <c r="F11">
        <v>3.57</v>
      </c>
      <c r="G11">
        <v>0.4</v>
      </c>
      <c r="H11">
        <v>0.32</v>
      </c>
      <c r="I11">
        <v>0.14000000000000001</v>
      </c>
      <c r="J11" t="s">
        <v>739</v>
      </c>
      <c r="K11">
        <v>2571</v>
      </c>
      <c r="L11">
        <v>2047</v>
      </c>
      <c r="M11">
        <v>1.3</v>
      </c>
      <c r="N11" s="5">
        <v>9.6599999999999992E-13</v>
      </c>
      <c r="O11" s="5">
        <v>8.2000000000000004E-14</v>
      </c>
      <c r="P11" s="5">
        <f>_xlfn.XLOOKUP(A11,'[2]LX COMPUTED'!A:A,'[2]LX COMPUTED'!T:T,"-",0)</f>
        <v>0.2837486838140339</v>
      </c>
      <c r="Q11" s="5">
        <f>_xlfn.XLOOKUP(A11,'[2]LX COMPUTED'!A:A,'[2]LX COMPUTED'!U:U,"-",0)</f>
        <v>2.4076250359475495E-2</v>
      </c>
      <c r="R11" s="5">
        <f>_xlfn.XLOOKUP(A11,'[2]LX COMPUTED'!A:A,'[2]LX COMPUTED'!V:V,"-",0)</f>
        <v>0.38195333416687793</v>
      </c>
      <c r="S11" s="5">
        <f>_xlfn.XLOOKUP(A11,'[2]LX COMPUTED'!A:A,'[2]LX COMPUTED'!W:W,"-",0)</f>
        <v>3.3692963511066099E-2</v>
      </c>
      <c r="T11" s="5">
        <f>_xlfn.XLOOKUP(A11,'[2]LX COMPUTED'!A:A,'[2]LX COMPUTED'!AK:AK,"-",0)</f>
        <v>0.14068509184582792</v>
      </c>
      <c r="U11" s="5">
        <f>_xlfn.XLOOKUP(A11,'[2]LX COMPUTED'!A:A,'[2]LX COMPUTED'!AL:AL,"-",0)</f>
        <v>1.1937216580521217E-2</v>
      </c>
      <c r="V11" s="2">
        <f>_xlfn.XLOOKUP(A11,'[2]LX COMPUTED'!A:A,'[2]LX COMPUTED'!AE:AE,"-",0)</f>
        <v>0.55329385640266471</v>
      </c>
      <c r="W11" s="2">
        <f>_xlfn.XLOOKUP(A11,'[2]LX COMPUTED'!A:A,'[2]LX COMPUTED'!AF:AF,"-",0)</f>
        <v>2.6856350878093769E-2</v>
      </c>
    </row>
    <row r="12" spans="1:23" x14ac:dyDescent="0.2">
      <c r="A12" t="s">
        <v>26</v>
      </c>
      <c r="B12">
        <v>4.3999999999999997E-2</v>
      </c>
      <c r="C12">
        <v>14.0755</v>
      </c>
      <c r="D12">
        <v>-1.2422</v>
      </c>
      <c r="E12">
        <v>1190</v>
      </c>
      <c r="F12">
        <v>5.85</v>
      </c>
      <c r="G12">
        <v>0.56000000000000005</v>
      </c>
      <c r="H12">
        <v>0.28000000000000003</v>
      </c>
      <c r="I12">
        <v>0.12</v>
      </c>
      <c r="J12" t="s">
        <v>740</v>
      </c>
      <c r="K12">
        <v>6539</v>
      </c>
      <c r="L12">
        <v>2047</v>
      </c>
      <c r="M12">
        <v>3.2</v>
      </c>
      <c r="N12" s="5">
        <v>2.2000000000000002E-11</v>
      </c>
      <c r="O12" s="5">
        <v>2.7000000000000001E-13</v>
      </c>
      <c r="P12" s="5">
        <f>_xlfn.XLOOKUP(A12,'[2]LX COMPUTED'!A:A,'[2]LX COMPUTED'!T:T,"-",0)</f>
        <v>1.0131687181289433</v>
      </c>
      <c r="Q12" s="5">
        <f>_xlfn.XLOOKUP(A12,'[2]LX COMPUTED'!A:A,'[2]LX COMPUTED'!U:U,"-",0)</f>
        <v>1.2311145537992622E-2</v>
      </c>
      <c r="R12" s="5">
        <f>_xlfn.XLOOKUP(A12,'[2]LX COMPUTED'!A:A,'[2]LX COMPUTED'!V:V,"-",0)</f>
        <v>1.4863693857678668</v>
      </c>
      <c r="S12" s="5">
        <f>_xlfn.XLOOKUP(A12,'[2]LX COMPUTED'!A:A,'[2]LX COMPUTED'!W:W,"-",0)</f>
        <v>5.3419212489907754E-2</v>
      </c>
      <c r="T12" s="5">
        <f>_xlfn.XLOOKUP(A12,'[2]LX COMPUTED'!A:A,'[2]LX COMPUTED'!AK:AK,"-",0)</f>
        <v>0.42175562004828698</v>
      </c>
      <c r="U12" s="5">
        <f>_xlfn.XLOOKUP(A12,'[2]LX COMPUTED'!A:A,'[2]LX COMPUTED'!AL:AL,"-",0)</f>
        <v>5.1248076721807844E-3</v>
      </c>
      <c r="V12" s="2">
        <f>_xlfn.XLOOKUP(A12,'[2]LX COMPUTED'!A:A,'[2]LX COMPUTED'!AE:AE,"-",0)</f>
        <v>0.26532381778163144</v>
      </c>
      <c r="W12" s="2">
        <f>_xlfn.XLOOKUP(A12,'[2]LX COMPUTED'!A:A,'[2]LX COMPUTED'!AF:AF,"-",0)</f>
        <v>4.2267676302635065E-3</v>
      </c>
    </row>
    <row r="13" spans="1:23" x14ac:dyDescent="0.2">
      <c r="A13" t="s">
        <v>28</v>
      </c>
      <c r="B13">
        <v>5.6599999999999998E-2</v>
      </c>
      <c r="C13">
        <v>15.6737</v>
      </c>
      <c r="D13">
        <v>-21.881799999999998</v>
      </c>
      <c r="E13">
        <v>994</v>
      </c>
      <c r="F13">
        <v>4.3600000000000003</v>
      </c>
      <c r="G13">
        <v>0.45</v>
      </c>
      <c r="H13">
        <v>0.31</v>
      </c>
      <c r="I13">
        <v>0.12</v>
      </c>
      <c r="J13" t="s">
        <v>740</v>
      </c>
      <c r="K13">
        <v>5060</v>
      </c>
      <c r="L13">
        <v>3072</v>
      </c>
      <c r="M13">
        <v>1.6</v>
      </c>
      <c r="N13" s="5">
        <v>5.6199999999999999E-12</v>
      </c>
      <c r="O13" s="5">
        <v>6.5999999999999996E-14</v>
      </c>
      <c r="P13" s="5">
        <f>_xlfn.XLOOKUP(A13,'[2]LX COMPUTED'!A:A,'[2]LX COMPUTED'!T:T,"-",0)</f>
        <v>0.43584531531114595</v>
      </c>
      <c r="Q13" s="5">
        <f>_xlfn.XLOOKUP(A13,'[2]LX COMPUTED'!A:A,'[2]LX COMPUTED'!U:U,"-",0)</f>
        <v>5.1079033614094245E-3</v>
      </c>
      <c r="R13" s="5">
        <f>_xlfn.XLOOKUP(A13,'[2]LX COMPUTED'!A:A,'[2]LX COMPUTED'!V:V,"-",0)</f>
        <v>0.6016585062273444</v>
      </c>
      <c r="S13" s="5">
        <f>_xlfn.XLOOKUP(A13,'[2]LX COMPUTED'!A:A,'[2]LX COMPUTED'!W:W,"-",0)</f>
        <v>1.7742356866997558E-2</v>
      </c>
      <c r="T13" s="5">
        <f>_xlfn.XLOOKUP(A13,'[2]LX COMPUTED'!A:A,'[2]LX COMPUTED'!AK:AK,"-",0)</f>
        <v>0.20031139323441913</v>
      </c>
      <c r="U13" s="5">
        <f>_xlfn.XLOOKUP(A13,'[2]LX COMPUTED'!A:A,'[2]LX COMPUTED'!AL:AL,"-",0)</f>
        <v>2.3475558939993701E-3</v>
      </c>
      <c r="V13" s="2">
        <f>_xlfn.XLOOKUP(A13,'[2]LX COMPUTED'!A:A,'[2]LX COMPUTED'!AE:AE,"-",0)</f>
        <v>0.72233758528626513</v>
      </c>
      <c r="W13" s="2">
        <f>_xlfn.XLOOKUP(A13,'[2]LX COMPUTED'!A:A,'[2]LX COMPUTED'!AF:AF,"-",0)</f>
        <v>3.2389108473989876E-3</v>
      </c>
    </row>
    <row r="14" spans="1:23" x14ac:dyDescent="0.2">
      <c r="A14" t="s">
        <v>30</v>
      </c>
      <c r="B14">
        <v>0.23</v>
      </c>
      <c r="C14">
        <v>16.3979</v>
      </c>
      <c r="D14">
        <v>-24.630099999999999</v>
      </c>
      <c r="E14">
        <v>1210</v>
      </c>
      <c r="F14">
        <v>6.95</v>
      </c>
      <c r="G14">
        <v>0.99</v>
      </c>
      <c r="H14">
        <v>0.2</v>
      </c>
      <c r="I14">
        <v>0.14000000000000001</v>
      </c>
      <c r="J14" t="s">
        <v>739</v>
      </c>
      <c r="K14">
        <v>1326</v>
      </c>
      <c r="L14">
        <v>1022</v>
      </c>
      <c r="M14">
        <v>1.3</v>
      </c>
      <c r="N14" s="5">
        <v>1.67E-12</v>
      </c>
      <c r="O14" s="5">
        <v>7.7E-14</v>
      </c>
      <c r="P14" s="5">
        <f>_xlfn.XLOOKUP(A14,'[2]LX COMPUTED'!A:A,'[2]LX COMPUTED'!T:T,"-",0)</f>
        <v>2.569311936937305</v>
      </c>
      <c r="Q14" s="5">
        <f>_xlfn.XLOOKUP(A14,'[2]LX COMPUTED'!A:A,'[2]LX COMPUTED'!U:U,"-",0)</f>
        <v>0.11867672482334407</v>
      </c>
      <c r="R14" s="5">
        <f>_xlfn.XLOOKUP(A14,'[2]LX COMPUTED'!A:A,'[2]LX COMPUTED'!V:V,"-",0)</f>
        <v>3.9697856055016301</v>
      </c>
      <c r="S14" s="5">
        <f>_xlfn.XLOOKUP(A14,'[2]LX COMPUTED'!A:A,'[2]LX COMPUTED'!W:W,"-",0)</f>
        <v>0.29870845669275764</v>
      </c>
      <c r="T14" s="5">
        <f>_xlfn.XLOOKUP(A14,'[2]LX COMPUTED'!A:A,'[2]LX COMPUTED'!AK:AK,"-",0)</f>
        <v>1.0271810030965365</v>
      </c>
      <c r="U14" s="5">
        <f>_xlfn.XLOOKUP(A14,'[2]LX COMPUTED'!A:A,'[2]LX COMPUTED'!AL:AL,"-",0)</f>
        <v>4.744557307181841E-2</v>
      </c>
      <c r="V14" s="2">
        <f>_xlfn.XLOOKUP(A14,'[2]LX COMPUTED'!A:A,'[2]LX COMPUTED'!AE:AE,"-",0)</f>
        <v>0.34563297350343475</v>
      </c>
      <c r="W14" s="2">
        <f>_xlfn.XLOOKUP(A14,'[2]LX COMPUTED'!A:A,'[2]LX COMPUTED'!AF:AF,"-",0)</f>
        <v>1.8903893383780523E-2</v>
      </c>
    </row>
    <row r="15" spans="1:23" x14ac:dyDescent="0.2">
      <c r="A15" t="s">
        <v>32</v>
      </c>
      <c r="B15">
        <v>0.20599999999999999</v>
      </c>
      <c r="C15">
        <v>22.970099999999999</v>
      </c>
      <c r="D15">
        <v>-13.6114</v>
      </c>
      <c r="E15">
        <v>1371</v>
      </c>
      <c r="F15">
        <v>8.81</v>
      </c>
      <c r="G15">
        <v>0.72</v>
      </c>
      <c r="H15">
        <v>0.27</v>
      </c>
      <c r="I15">
        <v>0.09</v>
      </c>
      <c r="J15" t="s">
        <v>739</v>
      </c>
      <c r="K15">
        <v>2520</v>
      </c>
      <c r="L15">
        <v>2047</v>
      </c>
      <c r="M15">
        <v>1.2</v>
      </c>
      <c r="N15" s="5">
        <v>4.5800000000000003E-12</v>
      </c>
      <c r="O15" s="5">
        <v>1.3E-13</v>
      </c>
      <c r="P15" s="5">
        <f>_xlfn.XLOOKUP(A15,'[2]LX COMPUTED'!A:A,'[2]LX COMPUTED'!T:T,"-",0)</f>
        <v>5.3351136738269407</v>
      </c>
      <c r="Q15" s="5">
        <f>_xlfn.XLOOKUP(A15,'[2]LX COMPUTED'!A:A,'[2]LX COMPUTED'!U:U,"-",0)</f>
        <v>0.14817962781156696</v>
      </c>
      <c r="R15" s="5">
        <f>_xlfn.XLOOKUP(A15,'[2]LX COMPUTED'!A:A,'[2]LX COMPUTED'!V:V,"-",0)</f>
        <v>8.9491970079246492</v>
      </c>
      <c r="S15" s="5">
        <f>_xlfn.XLOOKUP(A15,'[2]LX COMPUTED'!A:A,'[2]LX COMPUTED'!W:W,"-",0)</f>
        <v>0.46142214078936439</v>
      </c>
      <c r="T15" s="5">
        <f>_xlfn.XLOOKUP(A15,'[2]LX COMPUTED'!A:A,'[2]LX COMPUTED'!AK:AK,"-",0)</f>
        <v>1.9998982121699698</v>
      </c>
      <c r="U15" s="5">
        <f>_xlfn.XLOOKUP(A15,'[2]LX COMPUTED'!A:A,'[2]LX COMPUTED'!AL:AL,"-",0)</f>
        <v>5.554599036833513E-2</v>
      </c>
      <c r="V15" s="2">
        <f>_xlfn.XLOOKUP(A15,'[2]LX COMPUTED'!A:A,'[2]LX COMPUTED'!AE:AE,"-",0)</f>
        <v>0.42963885429638854</v>
      </c>
      <c r="W15" s="2">
        <f>_xlfn.XLOOKUP(A15,'[2]LX COMPUTED'!A:A,'[2]LX COMPUTED'!AF:AF,"-",0)</f>
        <v>9.9041380521271722E-3</v>
      </c>
    </row>
    <row r="16" spans="1:23" x14ac:dyDescent="0.2">
      <c r="A16" t="s">
        <v>37</v>
      </c>
      <c r="B16">
        <v>0.23100000000000001</v>
      </c>
      <c r="C16">
        <v>28.177399999999999</v>
      </c>
      <c r="D16">
        <v>1.0123</v>
      </c>
      <c r="E16">
        <v>1265</v>
      </c>
      <c r="F16">
        <v>7.82</v>
      </c>
      <c r="G16">
        <v>0.74</v>
      </c>
      <c r="H16">
        <v>0.38</v>
      </c>
      <c r="I16">
        <v>0.13</v>
      </c>
      <c r="J16" t="s">
        <v>739</v>
      </c>
      <c r="K16">
        <v>1190</v>
      </c>
      <c r="L16">
        <v>1022</v>
      </c>
      <c r="M16">
        <v>1.2</v>
      </c>
      <c r="N16" s="5">
        <v>2.2699999999999998E-12</v>
      </c>
      <c r="O16" s="5">
        <v>6.8000000000000001E-14</v>
      </c>
      <c r="P16" s="5">
        <f>_xlfn.XLOOKUP(A16,'[2]LX COMPUTED'!A:A,'[2]LX COMPUTED'!T:T,"-",0)</f>
        <v>3.44037183611632</v>
      </c>
      <c r="Q16" s="5">
        <f>_xlfn.XLOOKUP(A16,'[2]LX COMPUTED'!A:A,'[2]LX COMPUTED'!U:U,"-",0)</f>
        <v>0.10284901067968789</v>
      </c>
      <c r="R16" s="5">
        <f>_xlfn.XLOOKUP(A16,'[2]LX COMPUTED'!A:A,'[2]LX COMPUTED'!V:V,"-",0)</f>
        <v>5.5153217880185554</v>
      </c>
      <c r="S16" s="5">
        <f>_xlfn.XLOOKUP(A16,'[2]LX COMPUTED'!A:A,'[2]LX COMPUTED'!W:W,"-",0)</f>
        <v>0.29466551576148636</v>
      </c>
      <c r="T16" s="5">
        <f>_xlfn.XLOOKUP(A16,'[2]LX COMPUTED'!A:A,'[2]LX COMPUTED'!AK:AK,"-",0)</f>
        <v>1.3122634720173916</v>
      </c>
      <c r="U16" s="5">
        <f>_xlfn.XLOOKUP(A16,'[2]LX COMPUTED'!A:A,'[2]LX COMPUTED'!AL:AL,"-",0)</f>
        <v>3.9229771163467285E-2</v>
      </c>
      <c r="V16" s="2">
        <f>_xlfn.XLOOKUP(A16,'[2]LX COMPUTED'!A:A,'[2]LX COMPUTED'!AE:AE,"-",0)</f>
        <v>0.54193548387096768</v>
      </c>
      <c r="W16" s="2">
        <f>_xlfn.XLOOKUP(A16,'[2]LX COMPUTED'!A:A,'[2]LX COMPUTED'!AF:AF,"-",0)</f>
        <v>1.0382339361736152E-2</v>
      </c>
    </row>
    <row r="17" spans="1:23" x14ac:dyDescent="0.2">
      <c r="A17" t="s">
        <v>42</v>
      </c>
      <c r="B17">
        <v>0.375</v>
      </c>
      <c r="C17">
        <v>39.970700000000001</v>
      </c>
      <c r="D17">
        <v>-1.5792999999999999</v>
      </c>
      <c r="E17">
        <v>1234</v>
      </c>
      <c r="F17">
        <v>8.52</v>
      </c>
      <c r="G17">
        <v>0.65</v>
      </c>
      <c r="H17">
        <v>0.25</v>
      </c>
      <c r="I17">
        <v>0.08</v>
      </c>
      <c r="J17" t="s">
        <v>739</v>
      </c>
      <c r="K17">
        <v>1233</v>
      </c>
      <c r="L17">
        <v>1022</v>
      </c>
      <c r="M17">
        <v>1.2</v>
      </c>
      <c r="N17" s="5">
        <v>1.28E-12</v>
      </c>
      <c r="O17" s="5">
        <v>2.8000000000000001E-14</v>
      </c>
      <c r="P17" s="5">
        <f>_xlfn.XLOOKUP(A17,'[2]LX COMPUTED'!A:A,'[2]LX COMPUTED'!T:T,"-",0)</f>
        <v>5.8066152539222715</v>
      </c>
      <c r="Q17" s="5">
        <f>_xlfn.XLOOKUP(A17,'[2]LX COMPUTED'!A:A,'[2]LX COMPUTED'!U:U,"-",0)</f>
        <v>0.12565970215274061</v>
      </c>
      <c r="R17" s="5">
        <f>_xlfn.XLOOKUP(A17,'[2]LX COMPUTED'!A:A,'[2]LX COMPUTED'!V:V,"-",0)</f>
        <v>9.6188309869782778</v>
      </c>
      <c r="S17" s="5">
        <f>_xlfn.XLOOKUP(A17,'[2]LX COMPUTED'!A:A,'[2]LX COMPUTED'!W:W,"-",0)</f>
        <v>0.42700038413082736</v>
      </c>
      <c r="T17" s="5">
        <f>_xlfn.XLOOKUP(A17,'[2]LX COMPUTED'!A:A,'[2]LX COMPUTED'!AK:AK,"-",0)</f>
        <v>2.1973064634168473</v>
      </c>
      <c r="U17" s="5">
        <f>_xlfn.XLOOKUP(A17,'[2]LX COMPUTED'!A:A,'[2]LX COMPUTED'!AL:AL,"-",0)</f>
        <v>4.7551432918642791E-2</v>
      </c>
      <c r="V17" s="2">
        <f>_xlfn.XLOOKUP(A17,'[2]LX COMPUTED'!A:A,'[2]LX COMPUTED'!AE:AE,"-",0)</f>
        <v>0.35890383557533628</v>
      </c>
      <c r="W17" s="2">
        <f>_xlfn.XLOOKUP(A17,'[2]LX COMPUTED'!A:A,'[2]LX COMPUTED'!AF:AF,"-",0)</f>
        <v>8.4957458818189276E-3</v>
      </c>
    </row>
    <row r="18" spans="1:23" x14ac:dyDescent="0.2">
      <c r="A18" t="s">
        <v>384</v>
      </c>
      <c r="B18">
        <v>4.8000000000000001E-2</v>
      </c>
      <c r="C18">
        <v>41.516399999999997</v>
      </c>
      <c r="D18">
        <v>36.905500000000004</v>
      </c>
      <c r="E18">
        <v>1046</v>
      </c>
      <c r="F18">
        <v>4.17</v>
      </c>
      <c r="G18">
        <v>0.67</v>
      </c>
      <c r="H18">
        <v>0.35</v>
      </c>
      <c r="I18">
        <v>0.21</v>
      </c>
      <c r="J18" t="s">
        <v>740</v>
      </c>
      <c r="K18">
        <v>1667</v>
      </c>
      <c r="L18">
        <v>1022</v>
      </c>
      <c r="M18">
        <v>1.6</v>
      </c>
      <c r="N18" s="5">
        <v>7.7400000000000005E-12</v>
      </c>
      <c r="O18" s="5">
        <v>2.8999999999999998E-13</v>
      </c>
      <c r="P18" s="5">
        <f>_xlfn.XLOOKUP(A18,'[2]LX COMPUTED'!A:A,'[2]LX COMPUTED'!T:T,"-",0)</f>
        <v>0.44883908210142032</v>
      </c>
      <c r="Q18" s="5">
        <f>_xlfn.XLOOKUP(A18,'[2]LX COMPUTED'!A:A,'[2]LX COMPUTED'!U:U,"-",0)</f>
        <v>1.6666245437070484E-2</v>
      </c>
      <c r="R18" s="5">
        <f>_xlfn.XLOOKUP(A18,'[2]LX COMPUTED'!A:A,'[2]LX COMPUTED'!V:V,"-",0)</f>
        <v>0.61490188107960764</v>
      </c>
      <c r="S18" s="5">
        <f>_xlfn.XLOOKUP(A18,'[2]LX COMPUTED'!A:A,'[2]LX COMPUTED'!W:W,"-",0)</f>
        <v>3.3639247348701738E-2</v>
      </c>
      <c r="T18" s="5">
        <f>_xlfn.XLOOKUP(A18,'[2]LX COMPUTED'!A:A,'[2]LX COMPUTED'!AK:AK,"-",0)</f>
        <v>0.20929434845504383</v>
      </c>
      <c r="U18" s="5">
        <f>_xlfn.XLOOKUP(A18,'[2]LX COMPUTED'!A:A,'[2]LX COMPUTED'!AL:AL,"-",0)</f>
        <v>7.7714956630165425E-3</v>
      </c>
      <c r="V18" s="2">
        <f>_xlfn.XLOOKUP(A18,'[2]LX COMPUTED'!A:A,'[2]LX COMPUTED'!AE:AE,"-",0)</f>
        <v>0.39628820960698696</v>
      </c>
      <c r="W18" s="2">
        <f>_xlfn.XLOOKUP(A18,'[2]LX COMPUTED'!A:A,'[2]LX COMPUTED'!AF:AF,"-",0)</f>
        <v>1.4118442337317523E-2</v>
      </c>
    </row>
    <row r="19" spans="1:23" x14ac:dyDescent="0.2">
      <c r="A19" t="s">
        <v>46</v>
      </c>
      <c r="B19">
        <v>0.187</v>
      </c>
      <c r="C19">
        <v>42.014099999999999</v>
      </c>
      <c r="D19">
        <v>-3.5293000000000001</v>
      </c>
      <c r="E19">
        <v>1054</v>
      </c>
      <c r="F19">
        <v>5.45</v>
      </c>
      <c r="G19">
        <v>0.35</v>
      </c>
      <c r="H19">
        <v>0.31</v>
      </c>
      <c r="I19">
        <v>0.11</v>
      </c>
      <c r="J19" t="s">
        <v>740</v>
      </c>
      <c r="K19">
        <v>3825</v>
      </c>
      <c r="L19">
        <v>3072</v>
      </c>
      <c r="M19">
        <v>1.2</v>
      </c>
      <c r="N19" s="5">
        <v>1.7400000000000001E-12</v>
      </c>
      <c r="O19" s="5">
        <v>5.9999999999999997E-14</v>
      </c>
      <c r="P19" s="5">
        <f>_xlfn.XLOOKUP(A19,'[2]LX COMPUTED'!A:A,'[2]LX COMPUTED'!T:T,"-",0)</f>
        <v>1.7257932953145048</v>
      </c>
      <c r="Q19" s="5">
        <f>_xlfn.XLOOKUP(A19,'[2]LX COMPUTED'!A:A,'[2]LX COMPUTED'!U:U,"-",0)</f>
        <v>5.9870240742186845E-2</v>
      </c>
      <c r="R19" s="5">
        <f>_xlfn.XLOOKUP(A19,'[2]LX COMPUTED'!A:A,'[2]LX COMPUTED'!V:V,"-",0)</f>
        <v>2.4894291412719096</v>
      </c>
      <c r="S19" s="5">
        <f>_xlfn.XLOOKUP(A19,'[2]LX COMPUTED'!A:A,'[2]LX COMPUTED'!W:W,"-",0)</f>
        <v>0.10081428472167009</v>
      </c>
      <c r="T19" s="5">
        <f>_xlfn.XLOOKUP(A19,'[2]LX COMPUTED'!A:A,'[2]LX COMPUTED'!AK:AK,"-",0)</f>
        <v>0.73439717032285123</v>
      </c>
      <c r="U19" s="5">
        <f>_xlfn.XLOOKUP(A19,'[2]LX COMPUTED'!A:A,'[2]LX COMPUTED'!AL:AL,"-",0)</f>
        <v>2.5477289491727437E-2</v>
      </c>
      <c r="V19" s="2">
        <f>_xlfn.XLOOKUP(A19,'[2]LX COMPUTED'!A:A,'[2]LX COMPUTED'!AE:AE,"-",0)</f>
        <v>0.66027772345002933</v>
      </c>
      <c r="W19" s="2">
        <f>_xlfn.XLOOKUP(A19,'[2]LX COMPUTED'!A:A,'[2]LX COMPUTED'!AF:AF,"-",0)</f>
        <v>9.1472475689833854E-3</v>
      </c>
    </row>
    <row r="20" spans="1:23" x14ac:dyDescent="0.2">
      <c r="A20" t="s">
        <v>49</v>
      </c>
      <c r="B20">
        <v>7.1999999999999995E-2</v>
      </c>
      <c r="C20">
        <v>44.4726</v>
      </c>
      <c r="D20">
        <v>13.0253</v>
      </c>
      <c r="E20">
        <v>1284</v>
      </c>
      <c r="F20">
        <v>6.86</v>
      </c>
      <c r="G20">
        <v>0.61</v>
      </c>
      <c r="H20">
        <v>0.22</v>
      </c>
      <c r="I20">
        <v>0.11</v>
      </c>
      <c r="J20" t="s">
        <v>740</v>
      </c>
      <c r="K20">
        <v>2694</v>
      </c>
      <c r="L20">
        <v>1022</v>
      </c>
      <c r="M20">
        <v>2.6</v>
      </c>
      <c r="N20" s="5">
        <v>1.7199999999999999E-11</v>
      </c>
      <c r="O20" s="5">
        <v>1.4000000000000001E-13</v>
      </c>
      <c r="P20" s="5">
        <f>_xlfn.XLOOKUP(A20,'[2]LX COMPUTED'!A:A,'[2]LX COMPUTED'!T:T,"-",0)</f>
        <v>2.3375517173039673</v>
      </c>
      <c r="Q20" s="5">
        <f>_xlfn.XLOOKUP(A20,'[2]LX COMPUTED'!A:A,'[2]LX COMPUTED'!U:U,"-",0)</f>
        <v>1.8912016722742141E-2</v>
      </c>
      <c r="R20" s="5">
        <f>_xlfn.XLOOKUP(A20,'[2]LX COMPUTED'!A:A,'[2]LX COMPUTED'!V:V,"-",0)</f>
        <v>3.5963001859418875</v>
      </c>
      <c r="S20" s="5">
        <f>_xlfn.XLOOKUP(A20,'[2]LX COMPUTED'!A:A,'[2]LX COMPUTED'!W:W,"-",0)</f>
        <v>0.13516088372722432</v>
      </c>
      <c r="T20" s="5">
        <f>_xlfn.XLOOKUP(A20,'[2]LX COMPUTED'!A:A,'[2]LX COMPUTED'!AK:AK,"-",0)</f>
        <v>0.93633594367447492</v>
      </c>
      <c r="U20" s="5">
        <f>_xlfn.XLOOKUP(A20,'[2]LX COMPUTED'!A:A,'[2]LX COMPUTED'!AL:AL,"-",0)</f>
        <v>7.5754478045516232E-3</v>
      </c>
      <c r="V20" s="2">
        <f>_xlfn.XLOOKUP(A20,'[2]LX COMPUTED'!A:A,'[2]LX COMPUTED'!AE:AE,"-",0)</f>
        <v>0.29533508541392905</v>
      </c>
      <c r="W20" s="2">
        <f>_xlfn.XLOOKUP(A20,'[2]LX COMPUTED'!A:A,'[2]LX COMPUTED'!AF:AF,"-",0)</f>
        <v>3.2715360740739664E-3</v>
      </c>
    </row>
    <row r="21" spans="1:23" x14ac:dyDescent="0.2">
      <c r="A21" t="s">
        <v>51</v>
      </c>
      <c r="B21">
        <v>7.3999999999999996E-2</v>
      </c>
      <c r="C21">
        <v>44.7438</v>
      </c>
      <c r="D21">
        <v>13.578799999999999</v>
      </c>
      <c r="E21">
        <v>1349</v>
      </c>
      <c r="F21">
        <v>7.79</v>
      </c>
      <c r="G21">
        <v>0.81</v>
      </c>
      <c r="H21">
        <v>0.28000000000000003</v>
      </c>
      <c r="I21">
        <v>0.1</v>
      </c>
      <c r="J21" t="s">
        <v>740</v>
      </c>
      <c r="K21">
        <v>1399</v>
      </c>
      <c r="L21">
        <v>1022</v>
      </c>
      <c r="M21">
        <v>1.4</v>
      </c>
      <c r="N21" s="5">
        <v>2.8699999999999998E-11</v>
      </c>
      <c r="O21" s="5">
        <v>1.1E-13</v>
      </c>
      <c r="P21" s="5">
        <f>_xlfn.XLOOKUP(A21,'[2]LX COMPUTED'!A:A,'[2]LX COMPUTED'!T:T,"-",0)</f>
        <v>4.1121988567043761</v>
      </c>
      <c r="Q21" s="5">
        <f>_xlfn.XLOOKUP(A21,'[2]LX COMPUTED'!A:A,'[2]LX COMPUTED'!U:U,"-",0)</f>
        <v>1.5691573072150286E-2</v>
      </c>
      <c r="R21" s="5">
        <f>_xlfn.XLOOKUP(A21,'[2]LX COMPUTED'!A:A,'[2]LX COMPUTED'!V:V,"-",0)</f>
        <v>6.5889705132611525</v>
      </c>
      <c r="S21" s="5">
        <f>_xlfn.XLOOKUP(A21,'[2]LX COMPUTED'!A:A,'[2]LX COMPUTED'!W:W,"-",0)</f>
        <v>0.32238136369543996</v>
      </c>
      <c r="T21" s="5">
        <f>_xlfn.XLOOKUP(A21,'[2]LX COMPUTED'!A:A,'[2]LX COMPUTED'!AK:AK,"-",0)</f>
        <v>1.5829369052201123</v>
      </c>
      <c r="U21" s="5">
        <f>_xlfn.XLOOKUP(A21,'[2]LX COMPUTED'!A:A,'[2]LX COMPUTED'!AL:AL,"-",0)</f>
        <v>6.0402648272635494E-3</v>
      </c>
      <c r="V21" s="2">
        <f>_xlfn.XLOOKUP(A21,'[2]LX COMPUTED'!A:A,'[2]LX COMPUTED'!AE:AE,"-",0)</f>
        <v>0.51016225448334751</v>
      </c>
      <c r="W21" s="2">
        <f>_xlfn.XLOOKUP(A21,'[2]LX COMPUTED'!A:A,'[2]LX COMPUTED'!AF:AF,"-",0)</f>
        <v>1.2967511571239413E-3</v>
      </c>
    </row>
    <row r="22" spans="1:23" x14ac:dyDescent="0.2">
      <c r="A22" t="s">
        <v>48</v>
      </c>
      <c r="B22">
        <v>0.32200000000000001</v>
      </c>
      <c r="C22">
        <v>44.421700000000001</v>
      </c>
      <c r="D22">
        <v>-22.154900000000001</v>
      </c>
      <c r="E22">
        <v>1196</v>
      </c>
      <c r="F22">
        <v>7.55</v>
      </c>
      <c r="G22">
        <v>1.1599999999999999</v>
      </c>
      <c r="H22">
        <v>0.11</v>
      </c>
      <c r="I22">
        <v>0.12</v>
      </c>
      <c r="J22" t="s">
        <v>739</v>
      </c>
      <c r="K22">
        <v>1158</v>
      </c>
      <c r="L22">
        <v>1022</v>
      </c>
      <c r="M22">
        <v>1.1000000000000001</v>
      </c>
      <c r="N22" s="5">
        <v>1.1700000000000001E-12</v>
      </c>
      <c r="O22" s="5">
        <v>5.6999999999999997E-14</v>
      </c>
      <c r="P22" s="5">
        <f>_xlfn.XLOOKUP(A22,'[2]LX COMPUTED'!A:A,'[2]LX COMPUTED'!T:T,"-",0)</f>
        <v>3.8220986102949079</v>
      </c>
      <c r="Q22" s="5">
        <f>_xlfn.XLOOKUP(A22,'[2]LX COMPUTED'!A:A,'[2]LX COMPUTED'!U:U,"-",0)</f>
        <v>0.18541916398703395</v>
      </c>
      <c r="R22" s="5">
        <f>_xlfn.XLOOKUP(A22,'[2]LX COMPUTED'!A:A,'[2]LX COMPUTED'!V:V,"-",0)</f>
        <v>6.0658534948484455</v>
      </c>
      <c r="S22" s="5">
        <f>_xlfn.XLOOKUP(A22,'[2]LX COMPUTED'!A:A,'[2]LX COMPUTED'!W:W,"-",0)</f>
        <v>0.51312756096087386</v>
      </c>
      <c r="T22" s="5">
        <f>_xlfn.XLOOKUP(A22,'[2]LX COMPUTED'!A:A,'[2]LX COMPUTED'!AK:AK,"-",0)</f>
        <v>1.5034287408555014</v>
      </c>
      <c r="U22" s="5">
        <f>_xlfn.XLOOKUP(A22,'[2]LX COMPUTED'!A:A,'[2]LX COMPUTED'!AL:AL,"-",0)</f>
        <v>7.2934931477866047E-2</v>
      </c>
      <c r="V22" s="2">
        <f>_xlfn.XLOOKUP(A22,'[2]LX COMPUTED'!A:A,'[2]LX COMPUTED'!AE:AE,"-",0)</f>
        <v>0.60983715520106352</v>
      </c>
      <c r="W22" s="2">
        <f>_xlfn.XLOOKUP(A22,'[2]LX COMPUTED'!A:A,'[2]LX COMPUTED'!AF:AF,"-",0)</f>
        <v>1.4666993190916043E-2</v>
      </c>
    </row>
    <row r="23" spans="1:23" x14ac:dyDescent="0.2">
      <c r="A23" t="s">
        <v>71</v>
      </c>
      <c r="B23">
        <v>8.7999999999999995E-2</v>
      </c>
      <c r="C23">
        <v>63.354999999999997</v>
      </c>
      <c r="D23">
        <v>10.465299999999999</v>
      </c>
      <c r="E23">
        <v>1339</v>
      </c>
      <c r="F23">
        <v>7.59</v>
      </c>
      <c r="G23">
        <v>0.59</v>
      </c>
      <c r="H23">
        <v>0.26</v>
      </c>
      <c r="I23">
        <v>0.13</v>
      </c>
      <c r="J23" t="s">
        <v>740</v>
      </c>
      <c r="K23">
        <v>1141</v>
      </c>
      <c r="L23">
        <v>1022</v>
      </c>
      <c r="M23">
        <v>1.1000000000000001</v>
      </c>
      <c r="N23" s="5">
        <v>2.6200000000000001E-11</v>
      </c>
      <c r="O23" s="5">
        <v>1.7999999999999999E-13</v>
      </c>
      <c r="P23" s="5">
        <f>_xlfn.XLOOKUP(A23,'[2]LX COMPUTED'!A:A,'[2]LX COMPUTED'!T:T,"-",0)</f>
        <v>5.9987884844101229</v>
      </c>
      <c r="Q23" s="5">
        <f>_xlfn.XLOOKUP(A23,'[2]LX COMPUTED'!A:A,'[2]LX COMPUTED'!U:U,"-",0)</f>
        <v>4.1753611622923799E-2</v>
      </c>
      <c r="R23" s="5">
        <f>_xlfn.XLOOKUP(A23,'[2]LX COMPUTED'!A:A,'[2]LX COMPUTED'!V:V,"-",0)</f>
        <v>9.5241859078107343</v>
      </c>
      <c r="S23" s="5">
        <f>_xlfn.XLOOKUP(A23,'[2]LX COMPUTED'!A:A,'[2]LX COMPUTED'!W:W,"-",0)</f>
        <v>0.34610404547128371</v>
      </c>
      <c r="T23" s="5">
        <f>_xlfn.XLOOKUP(A23,'[2]LX COMPUTED'!A:A,'[2]LX COMPUTED'!AK:AK,"-",0)</f>
        <v>2.3255468616372945</v>
      </c>
      <c r="U23" s="5">
        <f>_xlfn.XLOOKUP(A23,'[2]LX COMPUTED'!A:A,'[2]LX COMPUTED'!AL:AL,"-",0)</f>
        <v>1.6186598464683326E-2</v>
      </c>
      <c r="V23" s="2">
        <f>_xlfn.XLOOKUP(A23,'[2]LX COMPUTED'!A:A,'[2]LX COMPUTED'!AE:AE,"-",0)</f>
        <v>0.73327213382292933</v>
      </c>
      <c r="W23" s="2">
        <f>_xlfn.XLOOKUP(A23,'[2]LX COMPUTED'!A:A,'[2]LX COMPUTED'!AF:AF,"-",0)</f>
        <v>1.6001273546935293E-3</v>
      </c>
    </row>
    <row r="24" spans="1:23" x14ac:dyDescent="0.2">
      <c r="A24" t="s">
        <v>78</v>
      </c>
      <c r="B24">
        <v>7.0999999999999994E-2</v>
      </c>
      <c r="C24">
        <v>72.007000000000005</v>
      </c>
      <c r="D24">
        <v>-20.447800000000001</v>
      </c>
      <c r="E24">
        <v>922</v>
      </c>
      <c r="F24">
        <v>3.96</v>
      </c>
      <c r="G24">
        <v>0.53</v>
      </c>
      <c r="H24">
        <v>0.26</v>
      </c>
      <c r="I24">
        <v>0.03</v>
      </c>
      <c r="J24" t="s">
        <v>740</v>
      </c>
      <c r="K24">
        <v>1475</v>
      </c>
      <c r="L24">
        <v>1022</v>
      </c>
      <c r="M24">
        <v>1.4</v>
      </c>
      <c r="N24" s="5">
        <v>2.08E-12</v>
      </c>
      <c r="O24" s="5">
        <v>9.1000000000000004E-14</v>
      </c>
      <c r="P24" s="5">
        <f>_xlfn.XLOOKUP(A24,'[2]LX COMPUTED'!A:A,'[2]LX COMPUTED'!T:T,"-",0)</f>
        <v>0.26420587907589815</v>
      </c>
      <c r="Q24" s="5">
        <f>_xlfn.XLOOKUP(A24,'[2]LX COMPUTED'!A:A,'[2]LX COMPUTED'!U:U,"-",0)</f>
        <v>1.1529587932006284E-2</v>
      </c>
      <c r="R24" s="5">
        <f>_xlfn.XLOOKUP(A24,'[2]LX COMPUTED'!A:A,'[2]LX COMPUTED'!V:V,"-",0)</f>
        <v>0.36042811480408155</v>
      </c>
      <c r="S24" s="5">
        <f>_xlfn.XLOOKUP(A24,'[2]LX COMPUTED'!A:A,'[2]LX COMPUTED'!W:W,"-",0)</f>
        <v>1.9511181666345041E-2</v>
      </c>
      <c r="T24" s="5">
        <f>_xlfn.XLOOKUP(A24,'[2]LX COMPUTED'!A:A,'[2]LX COMPUTED'!AK:AK,"-",0)</f>
        <v>0.1262942833470152</v>
      </c>
      <c r="U24" s="5">
        <f>_xlfn.XLOOKUP(A24,'[2]LX COMPUTED'!A:A,'[2]LX COMPUTED'!AL:AL,"-",0)</f>
        <v>5.5113120504817767E-3</v>
      </c>
      <c r="V24" s="2">
        <f>_xlfn.XLOOKUP(A24,'[2]LX COMPUTED'!A:A,'[2]LX COMPUTED'!AE:AE,"-",0)</f>
        <v>0.32621359223300972</v>
      </c>
      <c r="W24" s="2">
        <f>_xlfn.XLOOKUP(A24,'[2]LX COMPUTED'!A:A,'[2]LX COMPUTED'!AF:AF,"-",0)</f>
        <v>1.5487681576215481E-2</v>
      </c>
    </row>
    <row r="25" spans="1:23" x14ac:dyDescent="0.2">
      <c r="A25" t="s">
        <v>84</v>
      </c>
      <c r="B25">
        <v>2.8000000000000001E-2</v>
      </c>
      <c r="C25">
        <v>79.155699999999996</v>
      </c>
      <c r="D25">
        <v>6.4405999999999999</v>
      </c>
      <c r="E25">
        <v>821</v>
      </c>
      <c r="F25">
        <v>2.88</v>
      </c>
      <c r="G25">
        <v>0.26</v>
      </c>
      <c r="H25">
        <v>0.24</v>
      </c>
      <c r="I25">
        <v>0.09</v>
      </c>
      <c r="J25" t="s">
        <v>740</v>
      </c>
      <c r="K25">
        <v>8947</v>
      </c>
      <c r="L25">
        <v>2047</v>
      </c>
      <c r="M25">
        <v>4.4000000000000004</v>
      </c>
      <c r="N25" s="5">
        <v>1.28E-11</v>
      </c>
      <c r="O25" s="5">
        <v>4.3999999999999999E-13</v>
      </c>
      <c r="P25" s="5">
        <f>_xlfn.XLOOKUP(A25,'[2]LX COMPUTED'!A:A,'[2]LX COMPUTED'!T:T,"-",0)</f>
        <v>0.26600373566704222</v>
      </c>
      <c r="Q25" s="5">
        <f>_xlfn.XLOOKUP(A25,'[2]LX COMPUTED'!A:A,'[2]LX COMPUTED'!U:U,"-",0)</f>
        <v>9.2564072864486577E-3</v>
      </c>
      <c r="R25" s="5">
        <f>_xlfn.XLOOKUP(A25,'[2]LX COMPUTED'!A:A,'[2]LX COMPUTED'!V:V,"-",0)</f>
        <v>0.35601388954311131</v>
      </c>
      <c r="S25" s="5">
        <f>_xlfn.XLOOKUP(A25,'[2]LX COMPUTED'!A:A,'[2]LX COMPUTED'!W:W,"-",0)</f>
        <v>1.3603302522993717E-2</v>
      </c>
      <c r="T25" s="5">
        <f>_xlfn.XLOOKUP(A25,'[2]LX COMPUTED'!A:A,'[2]LX COMPUTED'!AK:AK,"-",0)</f>
        <v>0.1447780847043455</v>
      </c>
      <c r="U25" s="5">
        <f>_xlfn.XLOOKUP(A25,'[2]LX COMPUTED'!A:A,'[2]LX COMPUTED'!AL:AL,"-",0)</f>
        <v>5.0379928492914989E-3</v>
      </c>
      <c r="V25" s="2">
        <f>_xlfn.XLOOKUP(A25,'[2]LX COMPUTED'!A:A,'[2]LX COMPUTED'!AE:AE,"-",0)</f>
        <v>0.41328056693203258</v>
      </c>
      <c r="W25" s="2">
        <f>_xlfn.XLOOKUP(A25,'[2]LX COMPUTED'!A:A,'[2]LX COMPUTED'!AF:AF,"-",0)</f>
        <v>9.4590080943641082E-3</v>
      </c>
    </row>
    <row r="26" spans="1:23" x14ac:dyDescent="0.2">
      <c r="A26" t="s">
        <v>452</v>
      </c>
      <c r="B26">
        <v>0.04</v>
      </c>
      <c r="C26">
        <v>87.159599999999998</v>
      </c>
      <c r="D26">
        <v>-25.477900000000002</v>
      </c>
      <c r="E26">
        <v>855</v>
      </c>
      <c r="F26">
        <v>3.22</v>
      </c>
      <c r="G26">
        <v>0.35</v>
      </c>
      <c r="H26">
        <v>0.33</v>
      </c>
      <c r="I26">
        <v>0.19</v>
      </c>
      <c r="J26" t="s">
        <v>740</v>
      </c>
      <c r="K26">
        <v>1474</v>
      </c>
      <c r="L26">
        <v>1022</v>
      </c>
      <c r="M26">
        <v>1.4</v>
      </c>
      <c r="N26" s="5">
        <v>5.9199999999999998E-12</v>
      </c>
      <c r="O26" s="5">
        <v>3.2E-13</v>
      </c>
      <c r="P26" s="5">
        <f>_xlfn.XLOOKUP(A26,'[2]LX COMPUTED'!A:A,'[2]LX COMPUTED'!T:T,"-",0)</f>
        <v>0.23293049689795065</v>
      </c>
      <c r="Q26" s="5">
        <f>_xlfn.XLOOKUP(A26,'[2]LX COMPUTED'!A:A,'[2]LX COMPUTED'!U:U,"-",0)</f>
        <v>1.2653041028740972E-2</v>
      </c>
      <c r="R26" s="5">
        <f>_xlfn.XLOOKUP(A26,'[2]LX COMPUTED'!A:A,'[2]LX COMPUTED'!V:V,"-",0)</f>
        <v>0.3115490366744722</v>
      </c>
      <c r="S26" s="5">
        <f>_xlfn.XLOOKUP(A26,'[2]LX COMPUTED'!A:A,'[2]LX COMPUTED'!W:W,"-",0)</f>
        <v>1.8159139724474017E-2</v>
      </c>
      <c r="T26" s="5">
        <f>_xlfn.XLOOKUP(A26,'[2]LX COMPUTED'!A:A,'[2]LX COMPUTED'!AK:AK,"-",0)</f>
        <v>0.12065633329900342</v>
      </c>
      <c r="U26" s="5">
        <f>_xlfn.XLOOKUP(A26,'[2]LX COMPUTED'!A:A,'[2]LX COMPUTED'!AL:AL,"-",0)</f>
        <v>6.5541848574623791E-3</v>
      </c>
      <c r="V26" s="2">
        <f>_xlfn.XLOOKUP(A26,'[2]LX COMPUTED'!A:A,'[2]LX COMPUTED'!AE:AE,"-",0)</f>
        <v>0.35069634828380297</v>
      </c>
      <c r="W26" s="2">
        <f>_xlfn.XLOOKUP(A26,'[2]LX COMPUTED'!A:A,'[2]LX COMPUTED'!AF:AF,"-",0)</f>
        <v>1.9656054857935548E-2</v>
      </c>
    </row>
    <row r="27" spans="1:23" x14ac:dyDescent="0.2">
      <c r="A27" t="s">
        <v>93</v>
      </c>
      <c r="B27">
        <v>9.9000000000000005E-2</v>
      </c>
      <c r="C27">
        <v>88.215900000000005</v>
      </c>
      <c r="D27">
        <v>-21.053599999999999</v>
      </c>
      <c r="E27">
        <v>1138</v>
      </c>
      <c r="F27">
        <v>5.86</v>
      </c>
      <c r="G27">
        <v>0.4</v>
      </c>
      <c r="H27">
        <v>0.14000000000000001</v>
      </c>
      <c r="I27">
        <v>0.08</v>
      </c>
      <c r="J27" t="s">
        <v>739</v>
      </c>
      <c r="K27">
        <v>1261</v>
      </c>
      <c r="L27">
        <v>1022</v>
      </c>
      <c r="M27">
        <v>1.2</v>
      </c>
      <c r="N27" s="5">
        <v>7.4899999999999998E-12</v>
      </c>
      <c r="O27" s="5">
        <v>2.2999999999999998E-13</v>
      </c>
      <c r="P27" s="5">
        <f>_xlfn.XLOOKUP(A27,'[2]LX COMPUTED'!A:A,'[2]LX COMPUTED'!T:T,"-",0)</f>
        <v>1.9751559293833507</v>
      </c>
      <c r="Q27" s="5">
        <f>_xlfn.XLOOKUP(A27,'[2]LX COMPUTED'!A:A,'[2]LX COMPUTED'!U:U,"-",0)</f>
        <v>6.0301864956622195E-2</v>
      </c>
      <c r="R27" s="5">
        <f>_xlfn.XLOOKUP(A27,'[2]LX COMPUTED'!A:A,'[2]LX COMPUTED'!V:V,"-",0)</f>
        <v>2.9060173698181937</v>
      </c>
      <c r="S27" s="5">
        <f>_xlfn.XLOOKUP(A27,'[2]LX COMPUTED'!A:A,'[2]LX COMPUTED'!W:W,"-",0)</f>
        <v>0.11242304660121959</v>
      </c>
      <c r="T27" s="5">
        <f>_xlfn.XLOOKUP(A27,'[2]LX COMPUTED'!A:A,'[2]LX COMPUTED'!AK:AK,"-",0)</f>
        <v>0.83196058828981145</v>
      </c>
      <c r="U27" s="5">
        <f>_xlfn.XLOOKUP(A27,'[2]LX COMPUTED'!A:A,'[2]LX COMPUTED'!AL:AL,"-",0)</f>
        <v>2.5399906051947505E-2</v>
      </c>
      <c r="V27" s="2">
        <f>_xlfn.XLOOKUP(A27,'[2]LX COMPUTED'!A:A,'[2]LX COMPUTED'!AE:AE,"-",0)</f>
        <v>0.41715976331360949</v>
      </c>
      <c r="W27" s="2">
        <f>_xlfn.XLOOKUP(A27,'[2]LX COMPUTED'!A:A,'[2]LX COMPUTED'!AF:AF,"-",0)</f>
        <v>1.2849902404356083E-2</v>
      </c>
    </row>
    <row r="28" spans="1:23" x14ac:dyDescent="0.2">
      <c r="A28" t="s">
        <v>106</v>
      </c>
      <c r="B28">
        <v>0.11</v>
      </c>
      <c r="C28">
        <v>103.3394</v>
      </c>
      <c r="D28">
        <v>69.331000000000003</v>
      </c>
      <c r="E28">
        <v>852</v>
      </c>
      <c r="F28">
        <v>2.75</v>
      </c>
      <c r="G28">
        <v>0.18</v>
      </c>
      <c r="H28">
        <v>0.21</v>
      </c>
      <c r="I28">
        <v>0.05</v>
      </c>
      <c r="J28" t="s">
        <v>740</v>
      </c>
      <c r="K28">
        <v>1136</v>
      </c>
      <c r="L28">
        <v>1022</v>
      </c>
      <c r="M28">
        <v>1.1000000000000001</v>
      </c>
      <c r="N28" s="5">
        <v>1.0599999999999999E-12</v>
      </c>
      <c r="O28" s="5">
        <v>6.2999999999999997E-14</v>
      </c>
      <c r="P28" s="5">
        <f>_xlfn.XLOOKUP(A28,'[2]LX COMPUTED'!A:A,'[2]LX COMPUTED'!T:T,"-",0)</f>
        <v>0.36051307550541656</v>
      </c>
      <c r="Q28" s="5">
        <f>_xlfn.XLOOKUP(A28,'[2]LX COMPUTED'!A:A,'[2]LX COMPUTED'!U:U,"-",0)</f>
        <v>2.1433187878202344E-2</v>
      </c>
      <c r="R28" s="5">
        <f>_xlfn.XLOOKUP(A28,'[2]LX COMPUTED'!A:A,'[2]LX COMPUTED'!V:V,"-",0)</f>
        <v>0.48428606253465228</v>
      </c>
      <c r="S28" s="5">
        <f>_xlfn.XLOOKUP(A28,'[2]LX COMPUTED'!A:A,'[2]LX COMPUTED'!W:W,"-",0)</f>
        <v>2.924748645021857E-2</v>
      </c>
      <c r="T28" s="5">
        <f>_xlfn.XLOOKUP(A28,'[2]LX COMPUTED'!A:A,'[2]LX COMPUTED'!AK:AK,"-",0)</f>
        <v>0.20061600140188107</v>
      </c>
      <c r="U28" s="5">
        <f>_xlfn.XLOOKUP(A28,'[2]LX COMPUTED'!A:A,'[2]LX COMPUTED'!AL:AL,"-",0)</f>
        <v>1.1927002767908257E-2</v>
      </c>
      <c r="V28" s="2">
        <f>_xlfn.XLOOKUP(A28,'[2]LX COMPUTED'!A:A,'[2]LX COMPUTED'!AE:AE,"-",0)</f>
        <v>0.37803522321689781</v>
      </c>
      <c r="W28" s="2">
        <f>_xlfn.XLOOKUP(A28,'[2]LX COMPUTED'!A:A,'[2]LX COMPUTED'!AF:AF,"-",0)</f>
        <v>1.6467851189599824E-2</v>
      </c>
    </row>
    <row r="29" spans="1:23" x14ac:dyDescent="0.2">
      <c r="A29" t="s">
        <v>111</v>
      </c>
      <c r="B29">
        <v>8.6999999999999994E-2</v>
      </c>
      <c r="C29">
        <v>111.223</v>
      </c>
      <c r="D29">
        <v>66.985399999999998</v>
      </c>
      <c r="E29">
        <v>776</v>
      </c>
      <c r="F29">
        <v>2.4900000000000002</v>
      </c>
      <c r="G29">
        <v>0.28999999999999998</v>
      </c>
      <c r="H29">
        <v>0.5</v>
      </c>
      <c r="I29">
        <v>0.13</v>
      </c>
      <c r="J29" t="s">
        <v>739</v>
      </c>
      <c r="K29">
        <v>2743</v>
      </c>
      <c r="L29">
        <v>2047</v>
      </c>
      <c r="M29">
        <v>1.3</v>
      </c>
      <c r="N29" s="5">
        <v>6.6699999999999999E-13</v>
      </c>
      <c r="O29" s="5">
        <v>7.7E-14</v>
      </c>
      <c r="P29" s="5">
        <f>_xlfn.XLOOKUP(A29,'[2]LX COMPUTED'!A:A,'[2]LX COMPUTED'!T:T,"-",0)</f>
        <v>0.13875681318357289</v>
      </c>
      <c r="Q29" s="5">
        <f>_xlfn.XLOOKUP(A29,'[2]LX COMPUTED'!A:A,'[2]LX COMPUTED'!U:U,"-",0)</f>
        <v>1.6055561199479484E-2</v>
      </c>
      <c r="R29" s="5">
        <f>_xlfn.XLOOKUP(A29,'[2]LX COMPUTED'!A:A,'[2]LX COMPUTED'!V:V,"-",0)</f>
        <v>0.18288814214899704</v>
      </c>
      <c r="S29" s="5">
        <f>_xlfn.XLOOKUP(A29,'[2]LX COMPUTED'!A:A,'[2]LX COMPUTED'!W:W,"-",0)</f>
        <v>2.1406501144479628E-2</v>
      </c>
      <c r="T29" s="5">
        <f>_xlfn.XLOOKUP(A29,'[2]LX COMPUTED'!A:A,'[2]LX COMPUTED'!AK:AK,"-",0)</f>
        <v>8.0228114747792012E-2</v>
      </c>
      <c r="U29" s="5">
        <f>_xlfn.XLOOKUP(A29,'[2]LX COMPUTED'!A:A,'[2]LX COMPUTED'!AL:AL,"-",0)</f>
        <v>9.2832011394488653E-3</v>
      </c>
      <c r="V29" s="2">
        <f>_xlfn.XLOOKUP(A29,'[2]LX COMPUTED'!A:A,'[2]LX COMPUTED'!AE:AE,"-",0)</f>
        <v>0.3555147768978173</v>
      </c>
      <c r="W29" s="2">
        <f>_xlfn.XLOOKUP(A29,'[2]LX COMPUTED'!A:A,'[2]LX COMPUTED'!AF:AF,"-",0)</f>
        <v>3.9693515839931671E-2</v>
      </c>
    </row>
    <row r="30" spans="1:23" x14ac:dyDescent="0.2">
      <c r="A30" t="s">
        <v>112</v>
      </c>
      <c r="B30">
        <v>0.17100000000000001</v>
      </c>
      <c r="C30">
        <v>113.0847</v>
      </c>
      <c r="D30">
        <v>31.6325</v>
      </c>
      <c r="E30">
        <v>1139</v>
      </c>
      <c r="F30">
        <v>5.96</v>
      </c>
      <c r="G30">
        <v>0.39</v>
      </c>
      <c r="H30">
        <v>0.37</v>
      </c>
      <c r="I30">
        <v>0.09</v>
      </c>
      <c r="J30" t="s">
        <v>739</v>
      </c>
      <c r="K30">
        <v>2306</v>
      </c>
      <c r="L30">
        <v>2047</v>
      </c>
      <c r="M30">
        <v>1.1000000000000001</v>
      </c>
      <c r="N30" s="5">
        <v>3.4399999999999999E-12</v>
      </c>
      <c r="O30" s="5">
        <v>1.1E-13</v>
      </c>
      <c r="P30" s="5">
        <f>_xlfn.XLOOKUP(A30,'[2]LX COMPUTED'!A:A,'[2]LX COMPUTED'!T:T,"-",0)</f>
        <v>2.8449895791252175</v>
      </c>
      <c r="Q30" s="5">
        <f>_xlfn.XLOOKUP(A30,'[2]LX COMPUTED'!A:A,'[2]LX COMPUTED'!U:U,"-",0)</f>
        <v>9.4796264582274942E-2</v>
      </c>
      <c r="R30" s="5">
        <f>_xlfn.XLOOKUP(A30,'[2]LX COMPUTED'!A:A,'[2]LX COMPUTED'!V:V,"-",0)</f>
        <v>4.1860669499650678</v>
      </c>
      <c r="S30" s="5">
        <f>_xlfn.XLOOKUP(A30,'[2]LX COMPUTED'!A:A,'[2]LX COMPUTED'!W:W,"-",0)</f>
        <v>0.17029661156383458</v>
      </c>
      <c r="T30" s="5">
        <f>_xlfn.XLOOKUP(A30,'[2]LX COMPUTED'!A:A,'[2]LX COMPUTED'!AK:AK,"-",0)</f>
        <v>1.1675669638234012</v>
      </c>
      <c r="U30" s="5">
        <f>_xlfn.XLOOKUP(A30,'[2]LX COMPUTED'!A:A,'[2]LX COMPUTED'!AL:AL,"-",0)</f>
        <v>3.8903828552566778E-2</v>
      </c>
      <c r="V30" s="2">
        <f>_xlfn.XLOOKUP(A30,'[2]LX COMPUTED'!A:A,'[2]LX COMPUTED'!AE:AE,"-",0)</f>
        <v>0.63676656817222455</v>
      </c>
      <c r="W30" s="2">
        <f>_xlfn.XLOOKUP(A30,'[2]LX COMPUTED'!A:A,'[2]LX COMPUTED'!AF:AF,"-",0)</f>
        <v>9.5006894519508323E-3</v>
      </c>
    </row>
    <row r="31" spans="1:23" x14ac:dyDescent="0.2">
      <c r="A31" t="s">
        <v>115</v>
      </c>
      <c r="B31">
        <v>0.189</v>
      </c>
      <c r="C31">
        <v>117.855</v>
      </c>
      <c r="D31">
        <v>17.5139</v>
      </c>
      <c r="E31">
        <v>991</v>
      </c>
      <c r="F31">
        <v>5.21</v>
      </c>
      <c r="G31">
        <v>0.53</v>
      </c>
      <c r="H31">
        <v>0.04</v>
      </c>
      <c r="I31">
        <v>0.08</v>
      </c>
      <c r="J31" t="s">
        <v>739</v>
      </c>
      <c r="K31">
        <v>1249</v>
      </c>
      <c r="L31">
        <v>1022</v>
      </c>
      <c r="M31">
        <v>1.2</v>
      </c>
      <c r="N31" s="5">
        <v>1.46E-12</v>
      </c>
      <c r="O31" s="5">
        <v>6.2999999999999997E-14</v>
      </c>
      <c r="P31" s="5">
        <f>_xlfn.XLOOKUP(A31,'[2]LX COMPUTED'!A:A,'[2]LX COMPUTED'!T:T,"-",0)</f>
        <v>1.5047576886705165</v>
      </c>
      <c r="Q31" s="5">
        <f>_xlfn.XLOOKUP(A31,'[2]LX COMPUTED'!A:A,'[2]LX COMPUTED'!U:U,"-",0)</f>
        <v>6.4858709138669979E-2</v>
      </c>
      <c r="R31" s="5">
        <f>_xlfn.XLOOKUP(A31,'[2]LX COMPUTED'!A:A,'[2]LX COMPUTED'!V:V,"-",0)</f>
        <v>2.162118252878491</v>
      </c>
      <c r="S31" s="5">
        <f>_xlfn.XLOOKUP(A31,'[2]LX COMPUTED'!A:A,'[2]LX COMPUTED'!W:W,"-",0)</f>
        <v>0.11573386725317174</v>
      </c>
      <c r="T31" s="5">
        <f>_xlfn.XLOOKUP(A31,'[2]LX COMPUTED'!A:A,'[2]LX COMPUTED'!AK:AK,"-",0)</f>
        <v>0.66509079305938057</v>
      </c>
      <c r="U31" s="5">
        <f>_xlfn.XLOOKUP(A31,'[2]LX COMPUTED'!A:A,'[2]LX COMPUTED'!AL:AL,"-",0)</f>
        <v>2.8667027670055006E-2</v>
      </c>
      <c r="V31" s="2">
        <f>_xlfn.XLOOKUP(A31,'[2]LX COMPUTED'!A:A,'[2]LX COMPUTED'!AE:AE,"-",0)</f>
        <v>0.66878980891719741</v>
      </c>
      <c r="W31" s="2">
        <f>_xlfn.XLOOKUP(A31,'[2]LX COMPUTED'!A:A,'[2]LX COMPUTED'!AF:AF,"-",0)</f>
        <v>1.2584205237361682E-2</v>
      </c>
    </row>
    <row r="32" spans="1:23" x14ac:dyDescent="0.2">
      <c r="A32" t="s">
        <v>116</v>
      </c>
      <c r="B32">
        <v>0.28799999999999998</v>
      </c>
      <c r="C32">
        <v>120.23699999999999</v>
      </c>
      <c r="D32">
        <v>36.056600000000003</v>
      </c>
      <c r="E32">
        <v>1266</v>
      </c>
      <c r="F32">
        <v>8.34</v>
      </c>
      <c r="G32">
        <v>0.8</v>
      </c>
      <c r="H32">
        <v>0.35</v>
      </c>
      <c r="I32">
        <v>0.11</v>
      </c>
      <c r="J32" t="s">
        <v>739</v>
      </c>
      <c r="K32">
        <v>1033</v>
      </c>
      <c r="L32">
        <v>1022</v>
      </c>
      <c r="M32">
        <v>1</v>
      </c>
      <c r="N32" s="5">
        <v>1.5799999999999999E-12</v>
      </c>
      <c r="O32" s="5">
        <v>4.4999999999999998E-14</v>
      </c>
      <c r="P32" s="5">
        <f>_xlfn.XLOOKUP(A32,'[2]LX COMPUTED'!A:A,'[2]LX COMPUTED'!T:T,"-",0)</f>
        <v>4.0068931251741065</v>
      </c>
      <c r="Q32" s="5">
        <f>_xlfn.XLOOKUP(A32,'[2]LX COMPUTED'!A:A,'[2]LX COMPUTED'!U:U,"-",0)</f>
        <v>0.11313412322015773</v>
      </c>
      <c r="R32" s="5">
        <f>_xlfn.XLOOKUP(A32,'[2]LX COMPUTED'!A:A,'[2]LX COMPUTED'!V:V,"-",0)</f>
        <v>6.5795612210387242</v>
      </c>
      <c r="S32" s="5">
        <f>_xlfn.XLOOKUP(A32,'[2]LX COMPUTED'!A:A,'[2]LX COMPUTED'!W:W,"-",0)</f>
        <v>0.36572551975668377</v>
      </c>
      <c r="T32" s="5">
        <f>_xlfn.XLOOKUP(A32,'[2]LX COMPUTED'!A:A,'[2]LX COMPUTED'!AK:AK,"-",0)</f>
        <v>1.511193724745723</v>
      </c>
      <c r="U32" s="5">
        <f>_xlfn.XLOOKUP(A32,'[2]LX COMPUTED'!A:A,'[2]LX COMPUTED'!AL:AL,"-",0)</f>
        <v>4.2668364671564062E-2</v>
      </c>
      <c r="V32" s="2">
        <f>_xlfn.XLOOKUP(A32,'[2]LX COMPUTED'!A:A,'[2]LX COMPUTED'!AE:AE,"-",0)</f>
        <v>0.61072834645669283</v>
      </c>
      <c r="W32" s="2">
        <f>_xlfn.XLOOKUP(A32,'[2]LX COMPUTED'!A:A,'[2]LX COMPUTED'!AF:AF,"-",0)</f>
        <v>8.2083767240202464E-3</v>
      </c>
    </row>
    <row r="33" spans="1:23" x14ac:dyDescent="0.2">
      <c r="A33" t="s">
        <v>119</v>
      </c>
      <c r="B33">
        <v>7.0000000000000007E-2</v>
      </c>
      <c r="C33">
        <v>124.35850000000001</v>
      </c>
      <c r="D33">
        <v>-7.5087999999999999</v>
      </c>
      <c r="E33">
        <v>1282</v>
      </c>
      <c r="F33">
        <v>6.68</v>
      </c>
      <c r="G33">
        <v>0.84</v>
      </c>
      <c r="H33">
        <v>0.32</v>
      </c>
      <c r="I33">
        <v>0.09</v>
      </c>
      <c r="J33" t="s">
        <v>740</v>
      </c>
      <c r="K33">
        <v>2516</v>
      </c>
      <c r="L33">
        <v>1022</v>
      </c>
      <c r="M33">
        <v>2.5</v>
      </c>
      <c r="N33" s="5">
        <v>2.0799999999999999E-11</v>
      </c>
      <c r="O33" s="5">
        <v>2.3999999999999999E-13</v>
      </c>
      <c r="P33" s="5">
        <f>_xlfn.XLOOKUP(A33,'[2]LX COMPUTED'!A:A,'[2]LX COMPUTED'!T:T,"-",0)</f>
        <v>2.6706800129560455</v>
      </c>
      <c r="Q33" s="5">
        <f>_xlfn.XLOOKUP(A33,'[2]LX COMPUTED'!A:A,'[2]LX COMPUTED'!U:U,"-",0)</f>
        <v>3.0614395748077006E-2</v>
      </c>
      <c r="R33" s="5">
        <f>_xlfn.XLOOKUP(A33,'[2]LX COMPUTED'!A:A,'[2]LX COMPUTED'!V:V,"-",0)</f>
        <v>4.0699558726300999</v>
      </c>
      <c r="S33" s="5">
        <f>_xlfn.XLOOKUP(A33,'[2]LX COMPUTED'!A:A,'[2]LX COMPUTED'!W:W,"-",0)</f>
        <v>0.2100739379410014</v>
      </c>
      <c r="T33" s="5">
        <f>_xlfn.XLOOKUP(A33,'[2]LX COMPUTED'!A:A,'[2]LX COMPUTED'!AK:AK,"-",0)</f>
        <v>1.0684221039324</v>
      </c>
      <c r="U33" s="5">
        <f>_xlfn.XLOOKUP(A33,'[2]LX COMPUTED'!A:A,'[2]LX COMPUTED'!AL:AL,"-",0)</f>
        <v>1.2247478903163488E-2</v>
      </c>
      <c r="V33" s="2">
        <f>_xlfn.XLOOKUP(A33,'[2]LX COMPUTED'!A:A,'[2]LX COMPUTED'!AE:AE,"-",0)</f>
        <v>0.6207461328480437</v>
      </c>
      <c r="W33" s="2">
        <f>_xlfn.XLOOKUP(A33,'[2]LX COMPUTED'!A:A,'[2]LX COMPUTED'!AF:AF,"-",0)</f>
        <v>3.3297428621934656E-3</v>
      </c>
    </row>
    <row r="34" spans="1:23" x14ac:dyDescent="0.2">
      <c r="A34" t="s">
        <v>122</v>
      </c>
      <c r="B34">
        <v>0.182</v>
      </c>
      <c r="C34">
        <v>127.74679999999999</v>
      </c>
      <c r="D34">
        <v>65.839500000000001</v>
      </c>
      <c r="E34">
        <v>1369</v>
      </c>
      <c r="F34">
        <v>8.0399999999999991</v>
      </c>
      <c r="G34">
        <v>0.89</v>
      </c>
      <c r="H34">
        <v>0.26</v>
      </c>
      <c r="I34">
        <v>0.08</v>
      </c>
      <c r="J34" t="s">
        <v>740</v>
      </c>
      <c r="K34">
        <v>3934</v>
      </c>
      <c r="L34">
        <v>3072</v>
      </c>
      <c r="M34">
        <v>1.3</v>
      </c>
      <c r="N34" s="5">
        <v>4.3899999999999997E-12</v>
      </c>
      <c r="O34" s="5">
        <v>5.6000000000000001E-14</v>
      </c>
      <c r="P34" s="5">
        <f>_xlfn.XLOOKUP(A34,'[2]LX COMPUTED'!A:A,'[2]LX COMPUTED'!T:T,"-",0)</f>
        <v>4.0356979560334407</v>
      </c>
      <c r="Q34" s="5">
        <f>_xlfn.XLOOKUP(A34,'[2]LX COMPUTED'!A:A,'[2]LX COMPUTED'!U:U,"-",0)</f>
        <v>5.1115735796268894E-2</v>
      </c>
      <c r="R34" s="5">
        <f>_xlfn.XLOOKUP(A34,'[2]LX COMPUTED'!A:A,'[2]LX COMPUTED'!V:V,"-",0)</f>
        <v>6.5423641823950192</v>
      </c>
      <c r="S34" s="5">
        <f>_xlfn.XLOOKUP(A34,'[2]LX COMPUTED'!A:A,'[2]LX COMPUTED'!W:W,"-",0)</f>
        <v>0.35820777728539427</v>
      </c>
      <c r="T34" s="5">
        <f>_xlfn.XLOOKUP(A34,'[2]LX COMPUTED'!A:A,'[2]LX COMPUTED'!AK:AK,"-",0)</f>
        <v>1.5457239574333634</v>
      </c>
      <c r="U34" s="5">
        <f>_xlfn.XLOOKUP(A34,'[2]LX COMPUTED'!A:A,'[2]LX COMPUTED'!AL:AL,"-",0)</f>
        <v>1.9577980880359096E-2</v>
      </c>
      <c r="V34" s="2">
        <f>_xlfn.XLOOKUP(A34,'[2]LX COMPUTED'!A:A,'[2]LX COMPUTED'!AE:AE,"-",0)</f>
        <v>0.46845865116842228</v>
      </c>
      <c r="W34" s="2">
        <f>_xlfn.XLOOKUP(A34,'[2]LX COMPUTED'!A:A,'[2]LX COMPUTED'!AF:AF,"-",0)</f>
        <v>4.2652839616534348E-3</v>
      </c>
    </row>
    <row r="35" spans="1:23" x14ac:dyDescent="0.2">
      <c r="A35" t="s">
        <v>126</v>
      </c>
      <c r="B35">
        <v>0.28199999999999997</v>
      </c>
      <c r="C35">
        <v>130.73990000000001</v>
      </c>
      <c r="D35">
        <v>36.366399999999999</v>
      </c>
      <c r="E35">
        <v>1661</v>
      </c>
      <c r="F35">
        <v>12.04</v>
      </c>
      <c r="G35">
        <v>1.2</v>
      </c>
      <c r="H35">
        <v>0.33</v>
      </c>
      <c r="I35">
        <v>0.12</v>
      </c>
      <c r="J35" t="s">
        <v>739</v>
      </c>
      <c r="K35">
        <v>1295</v>
      </c>
      <c r="L35">
        <v>1022</v>
      </c>
      <c r="M35">
        <v>1.3</v>
      </c>
      <c r="N35" s="5">
        <v>4.4300000000000003E-12</v>
      </c>
      <c r="O35" s="5">
        <v>1.1999999999999999E-13</v>
      </c>
      <c r="P35" s="5">
        <f>_xlfn.XLOOKUP(A35,'[2]LX COMPUTED'!A:A,'[2]LX COMPUTED'!T:T,"-",0)</f>
        <v>10.172274620950638</v>
      </c>
      <c r="Q35" s="5">
        <f>_xlfn.XLOOKUP(A35,'[2]LX COMPUTED'!A:A,'[2]LX COMPUTED'!U:U,"-",0)</f>
        <v>0.26905544984889135</v>
      </c>
      <c r="R35" s="5">
        <f>_xlfn.XLOOKUP(A35,'[2]LX COMPUTED'!A:A,'[2]LX COMPUTED'!V:V,"-",0)</f>
        <v>19.438554971488905</v>
      </c>
      <c r="S35" s="5">
        <f>_xlfn.XLOOKUP(A35,'[2]LX COMPUTED'!A:A,'[2]LX COMPUTED'!W:W,"-",0)</f>
        <v>1.4910266503417695</v>
      </c>
      <c r="T35" s="5">
        <f>_xlfn.XLOOKUP(A35,'[2]LX COMPUTED'!A:A,'[2]LX COMPUTED'!AK:AK,"-",0)</f>
        <v>3.5624201879645812</v>
      </c>
      <c r="U35" s="5">
        <f>_xlfn.XLOOKUP(A35,'[2]LX COMPUTED'!A:A,'[2]LX COMPUTED'!AL:AL,"-",0)</f>
        <v>9.4225588861855558E-2</v>
      </c>
      <c r="V35" s="2">
        <f>_xlfn.XLOOKUP(A35,'[2]LX COMPUTED'!A:A,'[2]LX COMPUTED'!AE:AE,"-",0)</f>
        <v>0.49116161616161619</v>
      </c>
      <c r="W35" s="2">
        <f>_xlfn.XLOOKUP(A35,'[2]LX COMPUTED'!A:A,'[2]LX COMPUTED'!AF:AF,"-",0)</f>
        <v>8.2412023213314298E-3</v>
      </c>
    </row>
    <row r="36" spans="1:23" x14ac:dyDescent="0.2">
      <c r="A36" t="s">
        <v>130</v>
      </c>
      <c r="B36">
        <v>7.2999999999999995E-2</v>
      </c>
      <c r="C36">
        <v>136.8355</v>
      </c>
      <c r="D36">
        <v>16.651700000000002</v>
      </c>
      <c r="E36">
        <v>722</v>
      </c>
      <c r="F36">
        <v>2.34</v>
      </c>
      <c r="G36">
        <v>0.24</v>
      </c>
      <c r="H36">
        <v>0.23</v>
      </c>
      <c r="I36">
        <v>0.09</v>
      </c>
      <c r="J36" t="s">
        <v>739</v>
      </c>
      <c r="K36">
        <v>1359</v>
      </c>
      <c r="L36">
        <v>1022</v>
      </c>
      <c r="M36">
        <v>1.3</v>
      </c>
      <c r="N36" s="5">
        <v>9.4200000000000003E-13</v>
      </c>
      <c r="O36" s="5">
        <v>9.7000000000000003E-14</v>
      </c>
      <c r="P36" s="5">
        <f>_xlfn.XLOOKUP(A36,'[2]LX COMPUTED'!A:A,'[2]LX COMPUTED'!T:T,"-",0)</f>
        <v>0.1325220631933697</v>
      </c>
      <c r="Q36" s="5">
        <f>_xlfn.XLOOKUP(A36,'[2]LX COMPUTED'!A:A,'[2]LX COMPUTED'!U:U,"-",0)</f>
        <v>1.3595632397734422E-2</v>
      </c>
      <c r="R36" s="5">
        <f>_xlfn.XLOOKUP(A36,'[2]LX COMPUTED'!A:A,'[2]LX COMPUTED'!V:V,"-",0)</f>
        <v>0.1787320235215463</v>
      </c>
      <c r="S36" s="5">
        <f>_xlfn.XLOOKUP(A36,'[2]LX COMPUTED'!A:A,'[2]LX COMPUTED'!W:W,"-",0)</f>
        <v>1.8519120711621932E-2</v>
      </c>
      <c r="T36" s="5">
        <f>_xlfn.XLOOKUP(A36,'[2]LX COMPUTED'!A:A,'[2]LX COMPUTED'!AK:AK,"-",0)</f>
        <v>7.905974218978104E-2</v>
      </c>
      <c r="U36" s="5">
        <f>_xlfn.XLOOKUP(A36,'[2]LX COMPUTED'!A:A,'[2]LX COMPUTED'!AL:AL,"-",0)</f>
        <v>8.1108546484333285E-3</v>
      </c>
      <c r="V36" s="2">
        <f>_xlfn.XLOOKUP(A36,'[2]LX COMPUTED'!A:A,'[2]LX COMPUTED'!AE:AE,"-",0)</f>
        <v>0.54771505376344098</v>
      </c>
      <c r="W36" s="2">
        <f>_xlfn.XLOOKUP(A36,'[2]LX COMPUTED'!A:A,'[2]LX COMPUTED'!AF:AF,"-",0)</f>
        <v>2.9512192628363628E-2</v>
      </c>
    </row>
    <row r="37" spans="1:23" x14ac:dyDescent="0.2">
      <c r="A37" t="s">
        <v>484</v>
      </c>
      <c r="B37">
        <v>5.4199999999999998E-2</v>
      </c>
      <c r="C37">
        <v>137.32730000000001</v>
      </c>
      <c r="D37">
        <v>-9.6859000000000002</v>
      </c>
      <c r="E37">
        <v>1437</v>
      </c>
      <c r="F37">
        <v>8.2799999999999994</v>
      </c>
      <c r="G37">
        <v>0.73</v>
      </c>
      <c r="H37">
        <v>0.32</v>
      </c>
      <c r="I37">
        <v>0.11</v>
      </c>
      <c r="J37" t="s">
        <v>740</v>
      </c>
      <c r="K37">
        <v>6279</v>
      </c>
      <c r="L37">
        <v>2047</v>
      </c>
      <c r="M37">
        <v>3.1</v>
      </c>
      <c r="N37" s="5">
        <v>4.9399999999999999E-11</v>
      </c>
      <c r="O37" s="5">
        <v>2.6E-13</v>
      </c>
      <c r="P37" s="5">
        <f>_xlfn.XLOOKUP(A37,'[2]LX COMPUTED'!A:A,'[2]LX COMPUTED'!T:T,"-",0)</f>
        <v>3.5749857067516762</v>
      </c>
      <c r="Q37" s="5">
        <f>_xlfn.XLOOKUP(A37,'[2]LX COMPUTED'!A:A,'[2]LX COMPUTED'!U:U,"-",0)</f>
        <v>1.8606364124466909E-2</v>
      </c>
      <c r="R37" s="5">
        <f>_xlfn.XLOOKUP(A37,'[2]LX COMPUTED'!A:A,'[2]LX COMPUTED'!V:V,"-",0)</f>
        <v>5.8559048471552746</v>
      </c>
      <c r="S37" s="5">
        <f>_xlfn.XLOOKUP(A37,'[2]LX COMPUTED'!A:A,'[2]LX COMPUTED'!W:W,"-",0)</f>
        <v>0.25999438149589005</v>
      </c>
      <c r="T37" s="5">
        <f>_xlfn.XLOOKUP(A37,'[2]LX COMPUTED'!A:A,'[2]LX COMPUTED'!AK:AK,"-",0)</f>
        <v>1.3537375272721168</v>
      </c>
      <c r="U37" s="5">
        <f>_xlfn.XLOOKUP(A37,'[2]LX COMPUTED'!A:A,'[2]LX COMPUTED'!AL:AL,"-",0)</f>
        <v>7.0456598788102686E-3</v>
      </c>
      <c r="V37" s="2">
        <f>_xlfn.XLOOKUP(A37,'[2]LX COMPUTED'!A:A,'[2]LX COMPUTED'!AE:AE,"-",0)</f>
        <v>0.33346839546191243</v>
      </c>
      <c r="W37" s="2">
        <f>_xlfn.XLOOKUP(A37,'[2]LX COMPUTED'!A:A,'[2]LX COMPUTED'!AF:AF,"-",0)</f>
        <v>1.666258909183213E-3</v>
      </c>
    </row>
    <row r="38" spans="1:23" x14ac:dyDescent="0.2">
      <c r="A38" t="s">
        <v>133</v>
      </c>
      <c r="B38">
        <v>0.217</v>
      </c>
      <c r="C38">
        <v>139.47110000000001</v>
      </c>
      <c r="D38">
        <v>51.728000000000002</v>
      </c>
      <c r="E38">
        <v>1302</v>
      </c>
      <c r="F38">
        <v>7.63</v>
      </c>
      <c r="G38">
        <v>0.83</v>
      </c>
      <c r="H38">
        <v>0.27</v>
      </c>
      <c r="I38">
        <v>0.08</v>
      </c>
      <c r="J38" t="s">
        <v>740</v>
      </c>
      <c r="K38">
        <v>2412</v>
      </c>
      <c r="L38">
        <v>2047</v>
      </c>
      <c r="M38">
        <v>1.2</v>
      </c>
      <c r="N38" s="5">
        <v>3.6700000000000003E-12</v>
      </c>
      <c r="O38" s="5">
        <v>8.8999999999999999E-14</v>
      </c>
      <c r="P38" s="5">
        <f>_xlfn.XLOOKUP(A38,'[2]LX COMPUTED'!A:A,'[2]LX COMPUTED'!T:T,"-",0)</f>
        <v>4.8550205135394098</v>
      </c>
      <c r="Q38" s="5">
        <f>_xlfn.XLOOKUP(A38,'[2]LX COMPUTED'!A:A,'[2]LX COMPUTED'!U:U,"-",0)</f>
        <v>0.11846637937497959</v>
      </c>
      <c r="R38" s="5">
        <f>_xlfn.XLOOKUP(A38,'[2]LX COMPUTED'!A:A,'[2]LX COMPUTED'!V:V,"-",0)</f>
        <v>7.7220110369368271</v>
      </c>
      <c r="S38" s="5">
        <f>_xlfn.XLOOKUP(A38,'[2]LX COMPUTED'!A:A,'[2]LX COMPUTED'!W:W,"-",0)</f>
        <v>0.42937793236213628</v>
      </c>
      <c r="T38" s="5">
        <f>_xlfn.XLOOKUP(A38,'[2]LX COMPUTED'!A:A,'[2]LX COMPUTED'!AK:AK,"-",0)</f>
        <v>1.8784745329295585</v>
      </c>
      <c r="U38" s="5">
        <f>_xlfn.XLOOKUP(A38,'[2]LX COMPUTED'!A:A,'[2]LX COMPUTED'!AL:AL,"-",0)</f>
        <v>4.5836279382069446E-2</v>
      </c>
      <c r="V38" s="2">
        <f>_xlfn.XLOOKUP(A38,'[2]LX COMPUTED'!A:A,'[2]LX COMPUTED'!AE:AE,"-",0)</f>
        <v>0.49822015334063524</v>
      </c>
      <c r="W38" s="2">
        <f>_xlfn.XLOOKUP(A38,'[2]LX COMPUTED'!A:A,'[2]LX COMPUTED'!AF:AF,"-",0)</f>
        <v>8.3008161850951327E-3</v>
      </c>
    </row>
    <row r="39" spans="1:23" x14ac:dyDescent="0.2">
      <c r="A39" t="s">
        <v>137</v>
      </c>
      <c r="B39">
        <v>0.13600000000000001</v>
      </c>
      <c r="C39">
        <v>141.0241</v>
      </c>
      <c r="D39">
        <v>14.1739</v>
      </c>
      <c r="E39">
        <v>1063</v>
      </c>
      <c r="F39">
        <v>4.88</v>
      </c>
      <c r="G39">
        <v>0.31</v>
      </c>
      <c r="H39">
        <v>0.12</v>
      </c>
      <c r="I39">
        <v>7.0000000000000007E-2</v>
      </c>
      <c r="J39" t="s">
        <v>739</v>
      </c>
      <c r="K39">
        <v>1267</v>
      </c>
      <c r="L39">
        <v>1022</v>
      </c>
      <c r="M39">
        <v>1.2</v>
      </c>
      <c r="N39" s="5">
        <v>3.1399999999999999E-12</v>
      </c>
      <c r="O39" s="5">
        <v>8.8999999999999999E-14</v>
      </c>
      <c r="P39" s="5">
        <f>_xlfn.XLOOKUP(A39,'[2]LX COMPUTED'!A:A,'[2]LX COMPUTED'!T:T,"-",0)</f>
        <v>1.5710196106241396</v>
      </c>
      <c r="Q39" s="5">
        <f>_xlfn.XLOOKUP(A39,'[2]LX COMPUTED'!A:A,'[2]LX COMPUTED'!U:U,"-",0)</f>
        <v>4.4427302322064627E-2</v>
      </c>
      <c r="R39" s="5">
        <f>_xlfn.XLOOKUP(A39,'[2]LX COMPUTED'!A:A,'[2]LX COMPUTED'!V:V,"-",0)</f>
        <v>2.2210897038502604</v>
      </c>
      <c r="S39" s="5">
        <f>_xlfn.XLOOKUP(A39,'[2]LX COMPUTED'!A:A,'[2]LX COMPUTED'!W:W,"-",0)</f>
        <v>7.5473374484498729E-2</v>
      </c>
      <c r="T39" s="5">
        <f>_xlfn.XLOOKUP(A39,'[2]LX COMPUTED'!A:A,'[2]LX COMPUTED'!AK:AK,"-",0)</f>
        <v>0.70352193191029044</v>
      </c>
      <c r="U39" s="5">
        <f>_xlfn.XLOOKUP(A39,'[2]LX COMPUTED'!A:A,'[2]LX COMPUTED'!AL:AL,"-",0)</f>
        <v>1.9895093191589202E-2</v>
      </c>
      <c r="V39" s="2">
        <f>_xlfn.XLOOKUP(A39,'[2]LX COMPUTED'!A:A,'[2]LX COMPUTED'!AE:AE,"-",0)</f>
        <v>0.58196830470102545</v>
      </c>
      <c r="W39" s="2">
        <f>_xlfn.XLOOKUP(A39,'[2]LX COMPUTED'!A:A,'[2]LX COMPUTED'!AF:AF,"-",0)</f>
        <v>8.5247308537512341E-3</v>
      </c>
    </row>
    <row r="40" spans="1:23" x14ac:dyDescent="0.2">
      <c r="A40" t="s">
        <v>495</v>
      </c>
      <c r="B40">
        <v>0.16600000000000001</v>
      </c>
      <c r="C40">
        <v>145.5609</v>
      </c>
      <c r="D40">
        <v>15.3818</v>
      </c>
      <c r="E40">
        <v>928</v>
      </c>
      <c r="F40">
        <v>4.46</v>
      </c>
      <c r="G40">
        <v>0.47</v>
      </c>
      <c r="H40">
        <v>0.28999999999999998</v>
      </c>
      <c r="I40">
        <v>0.14000000000000001</v>
      </c>
      <c r="J40" t="s">
        <v>739</v>
      </c>
      <c r="K40">
        <v>1227</v>
      </c>
      <c r="L40">
        <v>1022</v>
      </c>
      <c r="M40">
        <v>1.2</v>
      </c>
      <c r="N40" s="5">
        <v>9.1900000000000002E-13</v>
      </c>
      <c r="O40" s="5">
        <v>5.4999999999999999E-14</v>
      </c>
      <c r="P40" s="5">
        <f>_xlfn.XLOOKUP(A40,'[2]LX COMPUTED'!A:A,'[2]LX COMPUTED'!T:T,"-",0)</f>
        <v>0.71734928827380517</v>
      </c>
      <c r="Q40" s="5">
        <f>_xlfn.XLOOKUP(A40,'[2]LX COMPUTED'!A:A,'[2]LX COMPUTED'!U:U,"-",0)</f>
        <v>4.2989484092442583E-2</v>
      </c>
      <c r="R40" s="5">
        <f>_xlfn.XLOOKUP(A40,'[2]LX COMPUTED'!A:A,'[2]LX COMPUTED'!V:V,"-",0)</f>
        <v>0.99404631806138033</v>
      </c>
      <c r="S40" s="5">
        <f>_xlfn.XLOOKUP(A40,'[2]LX COMPUTED'!A:A,'[2]LX COMPUTED'!W:W,"-",0)</f>
        <v>6.5736127294021271E-2</v>
      </c>
      <c r="T40" s="5">
        <f>_xlfn.XLOOKUP(A40,'[2]LX COMPUTED'!A:A,'[2]LX COMPUTED'!AK:AK,"-",0)</f>
        <v>0.32723001664001938</v>
      </c>
      <c r="U40" s="5">
        <f>_xlfn.XLOOKUP(A40,'[2]LX COMPUTED'!A:A,'[2]LX COMPUTED'!AL:AL,"-",0)</f>
        <v>1.9610320697141932E-2</v>
      </c>
      <c r="V40" s="2">
        <f>_xlfn.XLOOKUP(A40,'[2]LX COMPUTED'!A:A,'[2]LX COMPUTED'!AE:AE,"-",0)</f>
        <v>0.55718899117944765</v>
      </c>
      <c r="W40" s="2">
        <f>_xlfn.XLOOKUP(A40,'[2]LX COMPUTED'!A:A,'[2]LX COMPUTED'!AF:AF,"-",0)</f>
        <v>2.016131315293395E-2</v>
      </c>
    </row>
    <row r="41" spans="1:23" x14ac:dyDescent="0.2">
      <c r="A41" t="s">
        <v>496</v>
      </c>
      <c r="B41">
        <v>0.153</v>
      </c>
      <c r="C41">
        <v>146.35890000000001</v>
      </c>
      <c r="D41">
        <v>-8.6568000000000005</v>
      </c>
      <c r="E41">
        <v>985</v>
      </c>
      <c r="F41">
        <v>4.41</v>
      </c>
      <c r="G41">
        <v>0.27</v>
      </c>
      <c r="H41">
        <v>0.22</v>
      </c>
      <c r="I41">
        <v>0.08</v>
      </c>
      <c r="J41" t="s">
        <v>739</v>
      </c>
      <c r="K41">
        <v>1149</v>
      </c>
      <c r="L41">
        <v>1022</v>
      </c>
      <c r="M41">
        <v>1.1000000000000001</v>
      </c>
      <c r="N41" s="5">
        <v>3.4899999999999999E-12</v>
      </c>
      <c r="O41" s="5">
        <v>1.4000000000000001E-13</v>
      </c>
      <c r="P41" s="5">
        <f>_xlfn.XLOOKUP(A41,'[2]LX COMPUTED'!A:A,'[2]LX COMPUTED'!T:T,"-",0)</f>
        <v>2.3989446792284963</v>
      </c>
      <c r="Q41" s="5">
        <f>_xlfn.XLOOKUP(A41,'[2]LX COMPUTED'!A:A,'[2]LX COMPUTED'!U:U,"-",0)</f>
        <v>9.5080290648963117E-2</v>
      </c>
      <c r="R41" s="5">
        <f>_xlfn.XLOOKUP(A41,'[2]LX COMPUTED'!A:A,'[2]LX COMPUTED'!V:V,"-",0)</f>
        <v>3.3259139111908884</v>
      </c>
      <c r="S41" s="5">
        <f>_xlfn.XLOOKUP(A41,'[2]LX COMPUTED'!A:A,'[2]LX COMPUTED'!W:W,"-",0)</f>
        <v>0.14263384308160323</v>
      </c>
      <c r="T41" s="5">
        <f>_xlfn.XLOOKUP(A41,'[2]LX COMPUTED'!A:A,'[2]LX COMPUTED'!AK:AK,"-",0)</f>
        <v>1.1047709814370088</v>
      </c>
      <c r="U41" s="5">
        <f>_xlfn.XLOOKUP(A41,'[2]LX COMPUTED'!A:A,'[2]LX COMPUTED'!AL:AL,"-",0)</f>
        <v>4.3786731276084553E-2</v>
      </c>
      <c r="V41" s="2">
        <f>_xlfn.XLOOKUP(A41,'[2]LX COMPUTED'!A:A,'[2]LX COMPUTED'!AE:AE,"-",0)</f>
        <v>0.35376921652157811</v>
      </c>
      <c r="W41" s="2">
        <f>_xlfn.XLOOKUP(A41,'[2]LX COMPUTED'!A:A,'[2]LX COMPUTED'!AF:AF,"-",0)</f>
        <v>1.4591201576787029E-2</v>
      </c>
    </row>
    <row r="42" spans="1:23" x14ac:dyDescent="0.2">
      <c r="A42" t="s">
        <v>143</v>
      </c>
      <c r="B42">
        <v>0.153</v>
      </c>
      <c r="C42">
        <v>149.5917</v>
      </c>
      <c r="D42">
        <v>-11.064</v>
      </c>
      <c r="E42">
        <v>1138</v>
      </c>
      <c r="F42">
        <v>5.77</v>
      </c>
      <c r="G42">
        <v>0.59</v>
      </c>
      <c r="H42">
        <v>0.33</v>
      </c>
      <c r="I42">
        <v>0.16</v>
      </c>
      <c r="J42" t="s">
        <v>740</v>
      </c>
      <c r="K42">
        <v>3995</v>
      </c>
      <c r="L42">
        <v>3072</v>
      </c>
      <c r="M42">
        <v>1.3</v>
      </c>
      <c r="N42" s="5">
        <v>3.7E-12</v>
      </c>
      <c r="O42" s="5">
        <v>8E-14</v>
      </c>
      <c r="P42" s="5">
        <f>_xlfn.XLOOKUP(A42,'[2]LX COMPUTED'!A:A,'[2]LX COMPUTED'!T:T,"-",0)</f>
        <v>2.4333770214605019</v>
      </c>
      <c r="Q42" s="5">
        <f>_xlfn.XLOOKUP(A42,'[2]LX COMPUTED'!A:A,'[2]LX COMPUTED'!U:U,"-",0)</f>
        <v>5.2964262656627049E-2</v>
      </c>
      <c r="R42" s="5">
        <f>_xlfn.XLOOKUP(A42,'[2]LX COMPUTED'!A:A,'[2]LX COMPUTED'!V:V,"-",0)</f>
        <v>3.5554000264248944</v>
      </c>
      <c r="S42" s="5">
        <f>_xlfn.XLOOKUP(A42,'[2]LX COMPUTED'!A:A,'[2]LX COMPUTED'!W:W,"-",0)</f>
        <v>0.14861560362420606</v>
      </c>
      <c r="T42" s="5">
        <f>_xlfn.XLOOKUP(A42,'[2]LX COMPUTED'!A:A,'[2]LX COMPUTED'!AK:AK,"-",0)</f>
        <v>1.0135612735410464</v>
      </c>
      <c r="U42" s="5">
        <f>_xlfn.XLOOKUP(A42,'[2]LX COMPUTED'!A:A,'[2]LX COMPUTED'!AL:AL,"-",0)</f>
        <v>2.2060915771364268E-2</v>
      </c>
      <c r="V42" s="2">
        <f>_xlfn.XLOOKUP(A42,'[2]LX COMPUTED'!A:A,'[2]LX COMPUTED'!AE:AE,"-",0)</f>
        <v>0.67134731603270525</v>
      </c>
      <c r="W42" s="2">
        <f>_xlfn.XLOOKUP(A42,'[2]LX COMPUTED'!A:A,'[2]LX COMPUTED'!AF:AF,"-",0)</f>
        <v>5.757216456448601E-3</v>
      </c>
    </row>
    <row r="43" spans="1:23" x14ac:dyDescent="0.2">
      <c r="A43" t="s">
        <v>149</v>
      </c>
      <c r="B43">
        <v>0.20599999999999999</v>
      </c>
      <c r="C43">
        <v>154.26519999999999</v>
      </c>
      <c r="D43">
        <v>39.0471</v>
      </c>
      <c r="E43">
        <v>1187</v>
      </c>
      <c r="F43">
        <v>6.36</v>
      </c>
      <c r="G43">
        <v>0.78</v>
      </c>
      <c r="H43">
        <v>0.23</v>
      </c>
      <c r="I43">
        <v>0.11</v>
      </c>
      <c r="J43" t="s">
        <v>740</v>
      </c>
      <c r="K43">
        <v>1328</v>
      </c>
      <c r="L43">
        <v>1022</v>
      </c>
      <c r="M43">
        <v>1.3</v>
      </c>
      <c r="N43" s="5">
        <v>3.2000000000000001E-12</v>
      </c>
      <c r="O43" s="5">
        <v>5.8000000000000005E-14</v>
      </c>
      <c r="P43" s="5">
        <f>_xlfn.XLOOKUP(A43,'[2]LX COMPUTED'!A:A,'[2]LX COMPUTED'!T:T,"-",0)</f>
        <v>3.7892178264335716</v>
      </c>
      <c r="Q43" s="5">
        <f>_xlfn.XLOOKUP(A43,'[2]LX COMPUTED'!A:A,'[2]LX COMPUTED'!U:U,"-",0)</f>
        <v>6.8437258086236644E-2</v>
      </c>
      <c r="R43" s="5">
        <f>_xlfn.XLOOKUP(A43,'[2]LX COMPUTED'!A:A,'[2]LX COMPUTED'!V:V,"-",0)</f>
        <v>5.6964486255102633</v>
      </c>
      <c r="S43" s="5">
        <f>_xlfn.XLOOKUP(A43,'[2]LX COMPUTED'!A:A,'[2]LX COMPUTED'!W:W,"-",0)</f>
        <v>0.28646817079365494</v>
      </c>
      <c r="T43" s="5">
        <f>_xlfn.XLOOKUP(A43,'[2]LX COMPUTED'!A:A,'[2]LX COMPUTED'!AK:AK,"-",0)</f>
        <v>1.5480254598918477</v>
      </c>
      <c r="U43" s="5">
        <f>_xlfn.XLOOKUP(A43,'[2]LX COMPUTED'!A:A,'[2]LX COMPUTED'!AL:AL,"-",0)</f>
        <v>2.7958967463846542E-2</v>
      </c>
      <c r="V43" s="2">
        <f>_xlfn.XLOOKUP(A43,'[2]LX COMPUTED'!A:A,'[2]LX COMPUTED'!AE:AE,"-",0)</f>
        <v>0.57871835443037978</v>
      </c>
      <c r="W43" s="2">
        <f>_xlfn.XLOOKUP(A43,'[2]LX COMPUTED'!A:A,'[2]LX COMPUTED'!AF:AF,"-",0)</f>
        <v>5.7416796892477357E-3</v>
      </c>
    </row>
    <row r="44" spans="1:23" x14ac:dyDescent="0.2">
      <c r="A44" t="s">
        <v>506</v>
      </c>
      <c r="B44">
        <v>5.8999999999999997E-2</v>
      </c>
      <c r="C44">
        <v>154.34809999999999</v>
      </c>
      <c r="D44">
        <v>-10.6851</v>
      </c>
      <c r="E44">
        <v>1035</v>
      </c>
      <c r="F44">
        <v>4.5</v>
      </c>
      <c r="G44">
        <v>0.4</v>
      </c>
      <c r="H44">
        <v>0.28000000000000003</v>
      </c>
      <c r="I44">
        <v>0.01</v>
      </c>
      <c r="J44" t="s">
        <v>740</v>
      </c>
      <c r="K44">
        <v>1356</v>
      </c>
      <c r="L44">
        <v>1022</v>
      </c>
      <c r="M44">
        <v>1.3</v>
      </c>
      <c r="N44" s="5">
        <v>8.4600000000000007E-12</v>
      </c>
      <c r="O44" s="5">
        <v>2.8999999999999998E-13</v>
      </c>
      <c r="P44" s="5">
        <f>_xlfn.XLOOKUP(A44,'[2]LX COMPUTED'!A:A,'[2]LX COMPUTED'!T:T,"-",0)</f>
        <v>0.73841337979769062</v>
      </c>
      <c r="Q44" s="5">
        <f>_xlfn.XLOOKUP(A44,'[2]LX COMPUTED'!A:A,'[2]LX COMPUTED'!U:U,"-",0)</f>
        <v>2.4939867703941153E-2</v>
      </c>
      <c r="R44" s="5">
        <f>_xlfn.XLOOKUP(A44,'[2]LX COMPUTED'!A:A,'[2]LX COMPUTED'!V:V,"-",0)</f>
        <v>1.0248245042542701</v>
      </c>
      <c r="S44" s="5">
        <f>_xlfn.XLOOKUP(A44,'[2]LX COMPUTED'!A:A,'[2]LX COMPUTED'!W:W,"-",0)</f>
        <v>4.2532935697260445E-2</v>
      </c>
      <c r="T44" s="5">
        <f>_xlfn.XLOOKUP(A44,'[2]LX COMPUTED'!A:A,'[2]LX COMPUTED'!AK:AK,"-",0)</f>
        <v>0.33590397506850794</v>
      </c>
      <c r="U44" s="5">
        <f>_xlfn.XLOOKUP(A44,'[2]LX COMPUTED'!A:A,'[2]LX COMPUTED'!AL:AL,"-",0)</f>
        <v>1.1345136651954713E-2</v>
      </c>
      <c r="V44" s="2">
        <f>_xlfn.XLOOKUP(A44,'[2]LX COMPUTED'!A:A,'[2]LX COMPUTED'!AE:AE,"-",0)</f>
        <v>0.39037741284932292</v>
      </c>
      <c r="W44" s="2">
        <f>_xlfn.XLOOKUP(A44,'[2]LX COMPUTED'!A:A,'[2]LX COMPUTED'!AF:AF,"-",0)</f>
        <v>1.1269318668360813E-2</v>
      </c>
    </row>
    <row r="45" spans="1:23" x14ac:dyDescent="0.2">
      <c r="A45" t="s">
        <v>508</v>
      </c>
      <c r="B45">
        <v>0.158</v>
      </c>
      <c r="C45">
        <v>155.6182</v>
      </c>
      <c r="D45">
        <v>50.106099999999998</v>
      </c>
      <c r="E45">
        <v>1209</v>
      </c>
      <c r="F45">
        <v>6.56</v>
      </c>
      <c r="G45">
        <v>0.59</v>
      </c>
      <c r="H45">
        <v>0.3</v>
      </c>
      <c r="I45">
        <v>0.1</v>
      </c>
      <c r="J45" t="s">
        <v>739</v>
      </c>
      <c r="K45">
        <v>1195</v>
      </c>
      <c r="L45">
        <v>1022</v>
      </c>
      <c r="M45">
        <v>1.2</v>
      </c>
      <c r="N45" s="5">
        <v>3.8799999999999996E-12</v>
      </c>
      <c r="O45" s="5">
        <v>1.4000000000000001E-13</v>
      </c>
      <c r="P45" s="5">
        <f>_xlfn.XLOOKUP(A45,'[2]LX COMPUTED'!A:A,'[2]LX COMPUTED'!T:T,"-",0)</f>
        <v>2.5716326548712658</v>
      </c>
      <c r="Q45" s="5">
        <f>_xlfn.XLOOKUP(A45,'[2]LX COMPUTED'!A:A,'[2]LX COMPUTED'!U:U,"-",0)</f>
        <v>9.0449724627401529E-2</v>
      </c>
      <c r="R45" s="5">
        <f>_xlfn.XLOOKUP(A45,'[2]LX COMPUTED'!A:A,'[2]LX COMPUTED'!V:V,"-",0)</f>
        <v>3.8983799173125053</v>
      </c>
      <c r="S45" s="5">
        <f>_xlfn.XLOOKUP(A45,'[2]LX COMPUTED'!A:A,'[2]LX COMPUTED'!W:W,"-",0)</f>
        <v>0.19437215622413487</v>
      </c>
      <c r="T45" s="5">
        <f>_xlfn.XLOOKUP(A45,'[2]LX COMPUTED'!A:A,'[2]LX COMPUTED'!AK:AK,"-",0)</f>
        <v>1.0356530802954813</v>
      </c>
      <c r="U45" s="5">
        <f>_xlfn.XLOOKUP(A45,'[2]LX COMPUTED'!A:A,'[2]LX COMPUTED'!AL:AL,"-",0)</f>
        <v>3.6426095206407209E-2</v>
      </c>
      <c r="V45" s="2">
        <f>_xlfn.XLOOKUP(A45,'[2]LX COMPUTED'!A:A,'[2]LX COMPUTED'!AE:AE,"-",0)</f>
        <v>0.47420446851726467</v>
      </c>
      <c r="W45" s="2">
        <f>_xlfn.XLOOKUP(A45,'[2]LX COMPUTED'!A:A,'[2]LX COMPUTED'!AF:AF,"-",0)</f>
        <v>1.2480406307062146E-2</v>
      </c>
    </row>
    <row r="46" spans="1:23" x14ac:dyDescent="0.2">
      <c r="A46" t="s">
        <v>151</v>
      </c>
      <c r="B46">
        <v>0.126</v>
      </c>
      <c r="C46">
        <v>157.93629999999999</v>
      </c>
      <c r="D46">
        <v>35.040700000000001</v>
      </c>
      <c r="E46">
        <v>1122</v>
      </c>
      <c r="F46">
        <v>5.84</v>
      </c>
      <c r="G46">
        <v>0.65</v>
      </c>
      <c r="H46">
        <v>0.28000000000000003</v>
      </c>
      <c r="I46">
        <v>0.04</v>
      </c>
      <c r="J46" t="s">
        <v>740</v>
      </c>
      <c r="K46">
        <v>2437</v>
      </c>
      <c r="L46">
        <v>2047</v>
      </c>
      <c r="M46">
        <v>1.2</v>
      </c>
      <c r="N46" s="5">
        <v>2.99E-12</v>
      </c>
      <c r="O46" s="5">
        <v>5.6999999999999997E-14</v>
      </c>
      <c r="P46" s="5">
        <f>_xlfn.XLOOKUP(A46,'[2]LX COMPUTED'!A:A,'[2]LX COMPUTED'!T:T,"-",0)</f>
        <v>1.2511634988051414</v>
      </c>
      <c r="Q46" s="5">
        <f>_xlfn.XLOOKUP(A46,'[2]LX COMPUTED'!A:A,'[2]LX COMPUTED'!U:U,"-",0)</f>
        <v>2.3828651740451835E-2</v>
      </c>
      <c r="R46" s="5">
        <f>_xlfn.XLOOKUP(A46,'[2]LX COMPUTED'!A:A,'[2]LX COMPUTED'!V:V,"-",0)</f>
        <v>1.8347910796947389</v>
      </c>
      <c r="S46" s="5">
        <f>_xlfn.XLOOKUP(A46,'[2]LX COMPUTED'!A:A,'[2]LX COMPUTED'!W:W,"-",0)</f>
        <v>7.9966499809367972E-2</v>
      </c>
      <c r="T46" s="5">
        <f>_xlfn.XLOOKUP(A46,'[2]LX COMPUTED'!A:A,'[2]LX COMPUTED'!AK:AK,"-",0)</f>
        <v>0.52111057128360427</v>
      </c>
      <c r="U46" s="5">
        <f>_xlfn.XLOOKUP(A46,'[2]LX COMPUTED'!A:A,'[2]LX COMPUTED'!AL:AL,"-",0)</f>
        <v>9.9246520005126931E-3</v>
      </c>
      <c r="V46" s="2">
        <f>_xlfn.XLOOKUP(A46,'[2]LX COMPUTED'!A:A,'[2]LX COMPUTED'!AE:AE,"-",0)</f>
        <v>0.57536190746522853</v>
      </c>
      <c r="W46" s="2">
        <f>_xlfn.XLOOKUP(A46,'[2]LX COMPUTED'!A:A,'[2]LX COMPUTED'!AF:AF,"-",0)</f>
        <v>6.3224315245497742E-3</v>
      </c>
    </row>
    <row r="47" spans="1:23" x14ac:dyDescent="0.2">
      <c r="A47" t="s">
        <v>153</v>
      </c>
      <c r="B47">
        <v>0.13800000000000001</v>
      </c>
      <c r="C47">
        <v>160.18549999999999</v>
      </c>
      <c r="D47">
        <v>39.953400000000002</v>
      </c>
      <c r="E47">
        <v>1050</v>
      </c>
      <c r="F47">
        <v>5.31</v>
      </c>
      <c r="G47">
        <v>0.57999999999999996</v>
      </c>
      <c r="H47">
        <v>0.37</v>
      </c>
      <c r="I47">
        <v>0.1</v>
      </c>
      <c r="J47" t="s">
        <v>740</v>
      </c>
      <c r="K47">
        <v>1063</v>
      </c>
      <c r="L47">
        <v>1022</v>
      </c>
      <c r="M47">
        <v>1</v>
      </c>
      <c r="N47" s="5">
        <v>3.12E-12</v>
      </c>
      <c r="O47" s="5">
        <v>7.7999999999999996E-14</v>
      </c>
      <c r="P47" s="5">
        <f>_xlfn.XLOOKUP(A47,'[2]LX COMPUTED'!A:A,'[2]LX COMPUTED'!T:T,"-",0)</f>
        <v>1.5659536366896074</v>
      </c>
      <c r="Q47" s="5">
        <f>_xlfn.XLOOKUP(A47,'[2]LX COMPUTED'!A:A,'[2]LX COMPUTED'!U:U,"-",0)</f>
        <v>3.8949038220373884E-2</v>
      </c>
      <c r="R47" s="5">
        <f>_xlfn.XLOOKUP(A47,'[2]LX COMPUTED'!A:A,'[2]LX COMPUTED'!V:V,"-",0)</f>
        <v>2.2427148839684041</v>
      </c>
      <c r="S47" s="5">
        <f>_xlfn.XLOOKUP(A47,'[2]LX COMPUTED'!A:A,'[2]LX COMPUTED'!W:W,"-",0)</f>
        <v>9.6362490234571163E-2</v>
      </c>
      <c r="T47" s="5">
        <f>_xlfn.XLOOKUP(A47,'[2]LX COMPUTED'!A:A,'[2]LX COMPUTED'!AK:AK,"-",0)</f>
        <v>0.66897896943690272</v>
      </c>
      <c r="U47" s="5">
        <f>_xlfn.XLOOKUP(A47,'[2]LX COMPUTED'!A:A,'[2]LX COMPUTED'!AL:AL,"-",0)</f>
        <v>1.6639118067573361E-2</v>
      </c>
      <c r="V47" s="2">
        <f>_xlfn.XLOOKUP(A47,'[2]LX COMPUTED'!A:A,'[2]LX COMPUTED'!AE:AE,"-",0)</f>
        <v>0.73387372013651886</v>
      </c>
      <c r="W47" s="2">
        <f>_xlfn.XLOOKUP(A47,'[2]LX COMPUTED'!A:A,'[2]LX COMPUTED'!AF:AF,"-",0)</f>
        <v>5.7052517002147557E-3</v>
      </c>
    </row>
    <row r="48" spans="1:23" x14ac:dyDescent="0.2">
      <c r="A48" t="s">
        <v>522</v>
      </c>
      <c r="B48">
        <v>7.4999999999999997E-2</v>
      </c>
      <c r="C48">
        <v>167.91589999999999</v>
      </c>
      <c r="D48">
        <v>40.840200000000003</v>
      </c>
      <c r="E48">
        <v>830</v>
      </c>
      <c r="F48">
        <v>3.52</v>
      </c>
      <c r="G48">
        <v>0.21</v>
      </c>
      <c r="H48">
        <v>0.25</v>
      </c>
      <c r="I48">
        <v>0.09</v>
      </c>
      <c r="J48" t="s">
        <v>739</v>
      </c>
      <c r="K48">
        <v>1176</v>
      </c>
      <c r="L48">
        <v>1022</v>
      </c>
      <c r="M48">
        <v>1.2</v>
      </c>
      <c r="N48" s="5">
        <v>3.5399999999999999E-12</v>
      </c>
      <c r="O48" s="5">
        <v>2.0000000000000001E-13</v>
      </c>
      <c r="P48" s="5">
        <f>_xlfn.XLOOKUP(A48,'[2]LX COMPUTED'!A:A,'[2]LX COMPUTED'!T:T,"-",0)</f>
        <v>0.53275686153664437</v>
      </c>
      <c r="Q48" s="5">
        <f>_xlfn.XLOOKUP(A48,'[2]LX COMPUTED'!A:A,'[2]LX COMPUTED'!U:U,"-",0)</f>
        <v>3.0455546552215992E-2</v>
      </c>
      <c r="R48" s="5">
        <f>_xlfn.XLOOKUP(A48,'[2]LX COMPUTED'!A:A,'[2]LX COMPUTED'!V:V,"-",0)</f>
        <v>0.71875922603286591</v>
      </c>
      <c r="S48" s="5">
        <f>_xlfn.XLOOKUP(A48,'[2]LX COMPUTED'!A:A,'[2]LX COMPUTED'!W:W,"-",0)</f>
        <v>4.2047113991416536E-2</v>
      </c>
      <c r="T48" s="5">
        <f>_xlfn.XLOOKUP(A48,'[2]LX COMPUTED'!A:A,'[2]LX COMPUTED'!AK:AK,"-",0)</f>
        <v>0.26681048279061365</v>
      </c>
      <c r="U48" s="5">
        <f>_xlfn.XLOOKUP(A48,'[2]LX COMPUTED'!A:A,'[2]LX COMPUTED'!AL:AL,"-",0)</f>
        <v>1.5252471935905494E-2</v>
      </c>
      <c r="V48" s="2">
        <f>_xlfn.XLOOKUP(A48,'[2]LX COMPUTED'!A:A,'[2]LX COMPUTED'!AE:AE,"-",0)</f>
        <v>0.45096213531967722</v>
      </c>
      <c r="W48" s="2">
        <f>_xlfn.XLOOKUP(A48,'[2]LX COMPUTED'!A:A,'[2]LX COMPUTED'!AF:AF,"-",0)</f>
        <v>1.6520477663049087E-2</v>
      </c>
    </row>
    <row r="49" spans="1:23" x14ac:dyDescent="0.2">
      <c r="A49" t="s">
        <v>158</v>
      </c>
      <c r="B49">
        <v>0.16900000000000001</v>
      </c>
      <c r="C49">
        <v>168.2278</v>
      </c>
      <c r="D49">
        <v>13.4339</v>
      </c>
      <c r="E49">
        <v>1113</v>
      </c>
      <c r="F49">
        <v>5.21</v>
      </c>
      <c r="G49">
        <v>0.46</v>
      </c>
      <c r="H49">
        <v>0.38</v>
      </c>
      <c r="I49">
        <v>0.04</v>
      </c>
      <c r="J49" t="s">
        <v>740</v>
      </c>
      <c r="K49">
        <v>2437</v>
      </c>
      <c r="L49">
        <v>2047</v>
      </c>
      <c r="M49">
        <v>1.2</v>
      </c>
      <c r="N49" s="5">
        <v>2.66E-12</v>
      </c>
      <c r="O49" s="5">
        <v>6.2999999999999997E-14</v>
      </c>
      <c r="P49" s="5">
        <f>_xlfn.XLOOKUP(A49,'[2]LX COMPUTED'!A:A,'[2]LX COMPUTED'!T:T,"-",0)</f>
        <v>2.0826359940715391</v>
      </c>
      <c r="Q49" s="5">
        <f>_xlfn.XLOOKUP(A49,'[2]LX COMPUTED'!A:A,'[2]LX COMPUTED'!U:U,"-",0)</f>
        <v>4.9455637968050283E-2</v>
      </c>
      <c r="R49" s="5">
        <f>_xlfn.XLOOKUP(A49,'[2]LX COMPUTED'!A:A,'[2]LX COMPUTED'!V:V,"-",0)</f>
        <v>2.9691090177012911</v>
      </c>
      <c r="S49" s="5">
        <f>_xlfn.XLOOKUP(A49,'[2]LX COMPUTED'!A:A,'[2]LX COMPUTED'!W:W,"-",0)</f>
        <v>0.1084695673391682</v>
      </c>
      <c r="T49" s="5">
        <f>_xlfn.XLOOKUP(A49,'[2]LX COMPUTED'!A:A,'[2]LX COMPUTED'!AK:AK,"-",0)</f>
        <v>0.8946379351886492</v>
      </c>
      <c r="U49" s="5">
        <f>_xlfn.XLOOKUP(A49,'[2]LX COMPUTED'!A:A,'[2]LX COMPUTED'!AL:AL,"-",0)</f>
        <v>2.1244658193329026E-2</v>
      </c>
      <c r="V49" s="2">
        <f>_xlfn.XLOOKUP(A49,'[2]LX COMPUTED'!A:A,'[2]LX COMPUTED'!AE:AE,"-",0)</f>
        <v>0.42405884898312418</v>
      </c>
      <c r="W49" s="2">
        <f>_xlfn.XLOOKUP(A49,'[2]LX COMPUTED'!A:A,'[2]LX COMPUTED'!AF:AF,"-",0)</f>
        <v>8.2938615311162374E-3</v>
      </c>
    </row>
    <row r="50" spans="1:23" x14ac:dyDescent="0.2">
      <c r="A50" t="s">
        <v>160</v>
      </c>
      <c r="B50">
        <v>0.17100000000000001</v>
      </c>
      <c r="C50">
        <v>168.33510000000001</v>
      </c>
      <c r="D50">
        <v>17.5944</v>
      </c>
      <c r="E50">
        <v>958</v>
      </c>
      <c r="F50">
        <v>4.5199999999999996</v>
      </c>
      <c r="G50">
        <v>0.34</v>
      </c>
      <c r="H50">
        <v>0.22</v>
      </c>
      <c r="I50">
        <v>0.09</v>
      </c>
      <c r="J50" t="s">
        <v>739</v>
      </c>
      <c r="K50">
        <v>1326</v>
      </c>
      <c r="L50">
        <v>1022</v>
      </c>
      <c r="M50">
        <v>1.3</v>
      </c>
      <c r="N50" s="5">
        <v>1.6400000000000001E-12</v>
      </c>
      <c r="O50" s="5">
        <v>7.4E-14</v>
      </c>
      <c r="P50" s="5">
        <f>_xlfn.XLOOKUP(A50,'[2]LX COMPUTED'!A:A,'[2]LX COMPUTED'!T:T,"-",0)</f>
        <v>1.3328468813793168</v>
      </c>
      <c r="Q50" s="5">
        <f>_xlfn.XLOOKUP(A50,'[2]LX COMPUTED'!A:A,'[2]LX COMPUTED'!U:U,"-",0)</f>
        <v>6.028931596623216E-2</v>
      </c>
      <c r="R50" s="5">
        <f>_xlfn.XLOOKUP(A50,'[2]LX COMPUTED'!A:A,'[2]LX COMPUTED'!V:V,"-",0)</f>
        <v>1.8541651310569764</v>
      </c>
      <c r="S50" s="5">
        <f>_xlfn.XLOOKUP(A50,'[2]LX COMPUTED'!A:A,'[2]LX COMPUTED'!W:W,"-",0)</f>
        <v>9.1913997354424889E-2</v>
      </c>
      <c r="T50" s="5">
        <f>_xlfn.XLOOKUP(A50,'[2]LX COMPUTED'!A:A,'[2]LX COMPUTED'!AK:AK,"-",0)</f>
        <v>0.60800112888217483</v>
      </c>
      <c r="U50" s="5">
        <f>_xlfn.XLOOKUP(A50,'[2]LX COMPUTED'!A:A,'[2]LX COMPUTED'!AL:AL,"-",0)</f>
        <v>2.7502012931199787E-2</v>
      </c>
      <c r="V50" s="2">
        <f>_xlfn.XLOOKUP(A50,'[2]LX COMPUTED'!A:A,'[2]LX COMPUTED'!AE:AE,"-",0)</f>
        <v>0.80317422147408912</v>
      </c>
      <c r="W50" s="2">
        <f>_xlfn.XLOOKUP(A50,'[2]LX COMPUTED'!A:A,'[2]LX COMPUTED'!AF:AF,"-",0)</f>
        <v>8.0049249089688222E-3</v>
      </c>
    </row>
    <row r="51" spans="1:23" x14ac:dyDescent="0.2">
      <c r="A51" t="s">
        <v>528</v>
      </c>
      <c r="B51">
        <v>0.106</v>
      </c>
      <c r="C51">
        <v>172.5932</v>
      </c>
      <c r="D51">
        <v>-14.5807</v>
      </c>
      <c r="E51">
        <v>1113</v>
      </c>
      <c r="F51">
        <v>5.36</v>
      </c>
      <c r="G51">
        <v>0.62</v>
      </c>
      <c r="H51">
        <v>0.31</v>
      </c>
      <c r="I51">
        <v>0.03</v>
      </c>
      <c r="J51" t="s">
        <v>740</v>
      </c>
      <c r="K51">
        <v>2431</v>
      </c>
      <c r="L51">
        <v>2047</v>
      </c>
      <c r="M51">
        <v>1.2</v>
      </c>
      <c r="N51" s="5">
        <v>6.6000000000000001E-12</v>
      </c>
      <c r="O51" s="5">
        <v>1.4000000000000001E-13</v>
      </c>
      <c r="P51" s="5">
        <f>_xlfn.XLOOKUP(A51,'[2]LX COMPUTED'!A:A,'[2]LX COMPUTED'!T:T,"-",0)</f>
        <v>1.9965462649470007</v>
      </c>
      <c r="Q51" s="5">
        <f>_xlfn.XLOOKUP(A51,'[2]LX COMPUTED'!A:A,'[2]LX COMPUTED'!U:U,"-",0)</f>
        <v>4.2072130358059692E-2</v>
      </c>
      <c r="R51" s="5">
        <f>_xlfn.XLOOKUP(A51,'[2]LX COMPUTED'!A:A,'[2]LX COMPUTED'!V:V,"-",0)</f>
        <v>2.8690451465315574</v>
      </c>
      <c r="S51" s="5">
        <f>_xlfn.XLOOKUP(A51,'[2]LX COMPUTED'!A:A,'[2]LX COMPUTED'!W:W,"-",0)</f>
        <v>0.12221040903537883</v>
      </c>
      <c r="T51" s="5">
        <f>_xlfn.XLOOKUP(A51,'[2]LX COMPUTED'!A:A,'[2]LX COMPUTED'!AK:AK,"-",0)</f>
        <v>0.85436263137744006</v>
      </c>
      <c r="U51" s="5">
        <f>_xlfn.XLOOKUP(A51,'[2]LX COMPUTED'!A:A,'[2]LX COMPUTED'!AL:AL,"-",0)</f>
        <v>1.8003517690245326E-2</v>
      </c>
      <c r="V51" s="2">
        <f>_xlfn.XLOOKUP(A51,'[2]LX COMPUTED'!A:A,'[2]LX COMPUTED'!AE:AE,"-",0)</f>
        <v>0.41388494318181818</v>
      </c>
      <c r="W51" s="2">
        <f>_xlfn.XLOOKUP(A51,'[2]LX COMPUTED'!A:A,'[2]LX COMPUTED'!AF:AF,"-",0)</f>
        <v>9.2021799306654418E-3</v>
      </c>
    </row>
    <row r="52" spans="1:23" x14ac:dyDescent="0.2">
      <c r="A52" t="s">
        <v>530</v>
      </c>
      <c r="B52">
        <v>0.307</v>
      </c>
      <c r="C52">
        <v>172.97749999999999</v>
      </c>
      <c r="D52">
        <v>-19.929099999999998</v>
      </c>
      <c r="E52">
        <v>1689</v>
      </c>
      <c r="F52">
        <v>11.55</v>
      </c>
      <c r="G52">
        <v>1.39</v>
      </c>
      <c r="H52">
        <v>0.26</v>
      </c>
      <c r="I52">
        <v>0.11</v>
      </c>
      <c r="J52" t="s">
        <v>739</v>
      </c>
      <c r="K52">
        <v>2586</v>
      </c>
      <c r="L52">
        <v>2047</v>
      </c>
      <c r="M52">
        <v>1.3</v>
      </c>
      <c r="N52" s="5">
        <v>2.9500000000000002E-12</v>
      </c>
      <c r="O52" s="5">
        <v>9.4999999999999999E-14</v>
      </c>
      <c r="P52" s="5">
        <f>_xlfn.XLOOKUP(A52,'[2]LX COMPUTED'!A:A,'[2]LX COMPUTED'!T:T,"-",0)</f>
        <v>8.3621469441535936</v>
      </c>
      <c r="Q52" s="5">
        <f>_xlfn.XLOOKUP(A52,'[2]LX COMPUTED'!A:A,'[2]LX COMPUTED'!U:U,"-",0)</f>
        <v>0.26982934754120835</v>
      </c>
      <c r="R52" s="5">
        <f>_xlfn.XLOOKUP(A52,'[2]LX COMPUTED'!A:A,'[2]LX COMPUTED'!V:V,"-",0)</f>
        <v>15.686089598292122</v>
      </c>
      <c r="S52" s="5">
        <f>_xlfn.XLOOKUP(A52,'[2]LX COMPUTED'!A:A,'[2]LX COMPUTED'!W:W,"-",0)</f>
        <v>1.3983364250708994</v>
      </c>
      <c r="T52" s="5">
        <f>_xlfn.XLOOKUP(A52,'[2]LX COMPUTED'!A:A,'[2]LX COMPUTED'!AK:AK,"-",0)</f>
        <v>2.9677286296412588</v>
      </c>
      <c r="U52" s="5">
        <f>_xlfn.XLOOKUP(A52,'[2]LX COMPUTED'!A:A,'[2]LX COMPUTED'!AL:AL,"-",0)</f>
        <v>9.57625218934154E-2</v>
      </c>
      <c r="V52" s="2">
        <f>_xlfn.XLOOKUP(A52,'[2]LX COMPUTED'!A:A,'[2]LX COMPUTED'!AE:AE,"-",0)</f>
        <v>0.49407928608203194</v>
      </c>
      <c r="W52" s="2">
        <f>_xlfn.XLOOKUP(A52,'[2]LX COMPUTED'!A:A,'[2]LX COMPUTED'!AF:AF,"-",0)</f>
        <v>1.1286222893238758E-2</v>
      </c>
    </row>
    <row r="53" spans="1:23" x14ac:dyDescent="0.2">
      <c r="A53" t="s">
        <v>168</v>
      </c>
      <c r="B53">
        <v>0.14299999999999999</v>
      </c>
      <c r="C53">
        <v>178.82470000000001</v>
      </c>
      <c r="D53">
        <v>23.4057</v>
      </c>
      <c r="E53">
        <v>1292</v>
      </c>
      <c r="F53">
        <v>7.38</v>
      </c>
      <c r="G53">
        <v>0.61</v>
      </c>
      <c r="H53">
        <v>0.25</v>
      </c>
      <c r="I53">
        <v>0.09</v>
      </c>
      <c r="J53" t="s">
        <v>740</v>
      </c>
      <c r="K53">
        <v>2855</v>
      </c>
      <c r="L53">
        <v>2047</v>
      </c>
      <c r="M53">
        <v>1.4</v>
      </c>
      <c r="N53" s="5">
        <v>6.5500000000000002E-12</v>
      </c>
      <c r="O53" s="5">
        <v>7.6000000000000004E-14</v>
      </c>
      <c r="P53" s="5">
        <f>_xlfn.XLOOKUP(A53,'[2]LX COMPUTED'!A:A,'[2]LX COMPUTED'!T:T,"-",0)</f>
        <v>3.5361883933286804</v>
      </c>
      <c r="Q53" s="5">
        <f>_xlfn.XLOOKUP(A53,'[2]LX COMPUTED'!A:A,'[2]LX COMPUTED'!U:U,"-",0)</f>
        <v>4.105813636911132E-2</v>
      </c>
      <c r="R53" s="5">
        <f>_xlfn.XLOOKUP(A53,'[2]LX COMPUTED'!A:A,'[2]LX COMPUTED'!V:V,"-",0)</f>
        <v>5.5637499939246231</v>
      </c>
      <c r="S53" s="5">
        <f>_xlfn.XLOOKUP(A53,'[2]LX COMPUTED'!A:A,'[2]LX COMPUTED'!W:W,"-",0)</f>
        <v>0.21321005401113788</v>
      </c>
      <c r="T53" s="5">
        <f>_xlfn.XLOOKUP(A53,'[2]LX COMPUTED'!A:A,'[2]LX COMPUTED'!AK:AK,"-",0)</f>
        <v>1.3829649598203591</v>
      </c>
      <c r="U53" s="5">
        <f>_xlfn.XLOOKUP(A53,'[2]LX COMPUTED'!A:A,'[2]LX COMPUTED'!AL:AL,"-",0)</f>
        <v>1.6057392196957281E-2</v>
      </c>
      <c r="V53" s="2">
        <f>_xlfn.XLOOKUP(A53,'[2]LX COMPUTED'!A:A,'[2]LX COMPUTED'!AE:AE,"-",0)</f>
        <v>0.62924400181077411</v>
      </c>
      <c r="W53" s="2">
        <f>_xlfn.XLOOKUP(A53,'[2]LX COMPUTED'!A:A,'[2]LX COMPUTED'!AF:AF,"-",0)</f>
        <v>3.3736794110860173E-3</v>
      </c>
    </row>
    <row r="54" spans="1:23" x14ac:dyDescent="0.2">
      <c r="A54" t="s">
        <v>169</v>
      </c>
      <c r="B54">
        <v>0.21299999999999999</v>
      </c>
      <c r="C54">
        <v>179.3218</v>
      </c>
      <c r="D54">
        <v>33.610999999999997</v>
      </c>
      <c r="E54">
        <v>1308.5</v>
      </c>
      <c r="F54">
        <v>8.1</v>
      </c>
      <c r="G54">
        <v>1.5</v>
      </c>
      <c r="H54">
        <v>0.1</v>
      </c>
      <c r="I54">
        <v>0.2</v>
      </c>
      <c r="J54" t="s">
        <v>739</v>
      </c>
      <c r="K54">
        <v>190</v>
      </c>
      <c r="L54">
        <v>194</v>
      </c>
      <c r="M54">
        <v>1</v>
      </c>
      <c r="N54" s="5">
        <v>2.2400000000000001E-12</v>
      </c>
      <c r="O54" s="5">
        <v>8E-14</v>
      </c>
      <c r="P54" s="5">
        <f>_xlfn.XLOOKUP(A54,'[2]LX COMPUTED'!A:A,'[2]LX COMPUTED'!T:T,"-",0)</f>
        <v>2.77</v>
      </c>
      <c r="Q54" s="5">
        <f>_xlfn.XLOOKUP(A54,'[2]LX COMPUTED'!A:A,'[2]LX COMPUTED'!U:U,"-",0)</f>
        <v>0.09</v>
      </c>
      <c r="R54" s="5">
        <f>_xlfn.XLOOKUP(A54,'[2]LX COMPUTED'!A:A,'[2]LX COMPUTED'!V:V,"-",0)</f>
        <v>3.69</v>
      </c>
      <c r="S54" s="5">
        <f>_xlfn.XLOOKUP(A54,'[2]LX COMPUTED'!A:A,'[2]LX COMPUTED'!W:W,"-",0)</f>
        <v>0.18</v>
      </c>
      <c r="T54" s="5">
        <f>_xlfn.XLOOKUP(A54,'[2]LX COMPUTED'!A:A,'[2]LX COMPUTED'!AK:AK,"-",0)</f>
        <v>1.0741244525799563</v>
      </c>
      <c r="U54" s="5">
        <f>_xlfn.XLOOKUP(A54,'[2]LX COMPUTED'!A:A,'[2]LX COMPUTED'!AL:AL,"-",0)</f>
        <v>3.4899350444836122E-2</v>
      </c>
      <c r="V54" s="2">
        <f>_xlfn.XLOOKUP(A54,'[2]LX COMPUTED'!A:A,'[2]LX COMPUTED'!AE:AE,"-",0)</f>
        <v>0.53430353430353428</v>
      </c>
      <c r="W54" s="2">
        <f>_xlfn.XLOOKUP(A54,'[2]LX COMPUTED'!A:A,'[2]LX COMPUTED'!AF:AF,"-",0)</f>
        <v>1.1175970288911331E-2</v>
      </c>
    </row>
    <row r="55" spans="1:23" x14ac:dyDescent="0.2">
      <c r="A55" t="s">
        <v>172</v>
      </c>
      <c r="B55">
        <v>0.10299999999999999</v>
      </c>
      <c r="C55">
        <v>180.51759999999999</v>
      </c>
      <c r="D55">
        <v>58.033200000000001</v>
      </c>
      <c r="E55">
        <v>872</v>
      </c>
      <c r="F55">
        <v>3.55</v>
      </c>
      <c r="G55">
        <v>0.48</v>
      </c>
      <c r="H55">
        <v>0.32</v>
      </c>
      <c r="I55">
        <v>0.17</v>
      </c>
      <c r="J55" t="s">
        <v>740</v>
      </c>
      <c r="K55">
        <v>1139</v>
      </c>
      <c r="L55">
        <v>1022</v>
      </c>
      <c r="M55">
        <v>1.1000000000000001</v>
      </c>
      <c r="N55" s="5">
        <v>2.2199999999999998E-12</v>
      </c>
      <c r="O55" s="5">
        <v>6.2000000000000001E-14</v>
      </c>
      <c r="P55" s="5">
        <f>_xlfn.XLOOKUP(A55,'[2]LX COMPUTED'!A:A,'[2]LX COMPUTED'!T:T,"-",0)</f>
        <v>0.61964016824249379</v>
      </c>
      <c r="Q55" s="5">
        <f>_xlfn.XLOOKUP(A55,'[2]LX COMPUTED'!A:A,'[2]LX COMPUTED'!U:U,"-",0)</f>
        <v>1.7271982551262468E-2</v>
      </c>
      <c r="R55" s="5">
        <f>_xlfn.XLOOKUP(A55,'[2]LX COMPUTED'!A:A,'[2]LX COMPUTED'!V:V,"-",0)</f>
        <v>0.83382748566990683</v>
      </c>
      <c r="S55" s="5">
        <f>_xlfn.XLOOKUP(A55,'[2]LX COMPUTED'!A:A,'[2]LX COMPUTED'!W:W,"-",0)</f>
        <v>3.3355244493218215E-2</v>
      </c>
      <c r="T55" s="5">
        <f>_xlfn.XLOOKUP(A55,'[2]LX COMPUTED'!A:A,'[2]LX COMPUTED'!AK:AK,"-",0)</f>
        <v>0.30801331896621975</v>
      </c>
      <c r="U55" s="5">
        <f>_xlfn.XLOOKUP(A55,'[2]LX COMPUTED'!A:A,'[2]LX COMPUTED'!AL:AL,"-",0)</f>
        <v>8.5856291173477105E-3</v>
      </c>
      <c r="V55" s="2">
        <f>_xlfn.XLOOKUP(A55,'[2]LX COMPUTED'!A:A,'[2]LX COMPUTED'!AE:AE,"-",0)</f>
        <v>0.35450043693562483</v>
      </c>
      <c r="W55" s="2">
        <f>_xlfn.XLOOKUP(A55,'[2]LX COMPUTED'!A:A,'[2]LX COMPUTED'!AF:AF,"-",0)</f>
        <v>9.4142105705136165E-3</v>
      </c>
    </row>
    <row r="56" spans="1:23" x14ac:dyDescent="0.2">
      <c r="A56" t="s">
        <v>548</v>
      </c>
      <c r="B56">
        <v>0.16500000000000001</v>
      </c>
      <c r="C56">
        <v>187.697</v>
      </c>
      <c r="D56">
        <v>10.554</v>
      </c>
      <c r="E56">
        <v>1287</v>
      </c>
      <c r="F56">
        <v>7.8</v>
      </c>
      <c r="G56">
        <v>0.79</v>
      </c>
      <c r="H56">
        <v>0.6</v>
      </c>
      <c r="I56">
        <v>0.14000000000000001</v>
      </c>
      <c r="J56" t="s">
        <v>739</v>
      </c>
      <c r="K56">
        <v>1131</v>
      </c>
      <c r="L56">
        <v>1022</v>
      </c>
      <c r="M56">
        <v>1.1000000000000001</v>
      </c>
      <c r="N56" s="5">
        <v>4.56E-12</v>
      </c>
      <c r="O56" s="5">
        <v>1.7000000000000001E-13</v>
      </c>
      <c r="P56" s="5">
        <f>_xlfn.XLOOKUP(A56,'[2]LX COMPUTED'!A:A,'[2]LX COMPUTED'!T:T,"-",0)</f>
        <v>3.3351680068639622</v>
      </c>
      <c r="Q56" s="5">
        <f>_xlfn.XLOOKUP(A56,'[2]LX COMPUTED'!A:A,'[2]LX COMPUTED'!U:U,"-",0)</f>
        <v>0.12185264987387501</v>
      </c>
      <c r="R56" s="5">
        <f>_xlfn.XLOOKUP(A56,'[2]LX COMPUTED'!A:A,'[2]LX COMPUTED'!V:V,"-",0)</f>
        <v>5.3320928701827972</v>
      </c>
      <c r="S56" s="5">
        <f>_xlfn.XLOOKUP(A56,'[2]LX COMPUTED'!A:A,'[2]LX COMPUTED'!W:W,"-",0)</f>
        <v>0.31885433534978347</v>
      </c>
      <c r="T56" s="5">
        <f>_xlfn.XLOOKUP(A56,'[2]LX COMPUTED'!A:A,'[2]LX COMPUTED'!AK:AK,"-",0)</f>
        <v>1.2510808445650941</v>
      </c>
      <c r="U56" s="5">
        <f>_xlfn.XLOOKUP(A56,'[2]LX COMPUTED'!A:A,'[2]LX COMPUTED'!AL:AL,"-",0)</f>
        <v>4.5709096454198628E-2</v>
      </c>
      <c r="V56" s="2">
        <f>_xlfn.XLOOKUP(A56,'[2]LX COMPUTED'!A:A,'[2]LX COMPUTED'!AE:AE,"-",0)</f>
        <v>0.43912347654807338</v>
      </c>
      <c r="W56" s="2">
        <f>_xlfn.XLOOKUP(A56,'[2]LX COMPUTED'!A:A,'[2]LX COMPUTED'!AF:AF,"-",0)</f>
        <v>1.2930573877566865E-2</v>
      </c>
    </row>
    <row r="57" spans="1:23" x14ac:dyDescent="0.2">
      <c r="A57" t="s">
        <v>181</v>
      </c>
      <c r="B57">
        <v>7.2999999999999995E-2</v>
      </c>
      <c r="C57">
        <v>189.1027</v>
      </c>
      <c r="D57">
        <v>16.5398</v>
      </c>
      <c r="E57">
        <v>695</v>
      </c>
      <c r="F57">
        <v>2.35</v>
      </c>
      <c r="G57">
        <v>0.3</v>
      </c>
      <c r="H57">
        <v>0.35</v>
      </c>
      <c r="I57">
        <v>7.0000000000000007E-2</v>
      </c>
      <c r="J57" t="s">
        <v>740</v>
      </c>
      <c r="K57">
        <v>1553</v>
      </c>
      <c r="L57">
        <v>1022</v>
      </c>
      <c r="M57">
        <v>1.5</v>
      </c>
      <c r="N57" s="5">
        <v>1.6299999999999999E-12</v>
      </c>
      <c r="O57" s="5">
        <v>1.1E-13</v>
      </c>
      <c r="P57" s="5">
        <f>_xlfn.XLOOKUP(A57,'[2]LX COMPUTED'!A:A,'[2]LX COMPUTED'!T:T,"-",0)</f>
        <v>0.23088510661893089</v>
      </c>
      <c r="Q57" s="5">
        <f>_xlfn.XLOOKUP(A57,'[2]LX COMPUTED'!A:A,'[2]LX COMPUTED'!U:U,"-",0)</f>
        <v>1.5538510478482958E-2</v>
      </c>
      <c r="R57" s="5">
        <f>_xlfn.XLOOKUP(A57,'[2]LX COMPUTED'!A:A,'[2]LX COMPUTED'!V:V,"-",0)</f>
        <v>0.30796818500138096</v>
      </c>
      <c r="S57" s="5">
        <f>_xlfn.XLOOKUP(A57,'[2]LX COMPUTED'!A:A,'[2]LX COMPUTED'!W:W,"-",0)</f>
        <v>2.1473816974766771E-2</v>
      </c>
      <c r="T57" s="5">
        <f>_xlfn.XLOOKUP(A57,'[2]LX COMPUTED'!A:A,'[2]LX COMPUTED'!AK:AK,"-",0)</f>
        <v>0.13722838111397737</v>
      </c>
      <c r="U57" s="5">
        <f>_xlfn.XLOOKUP(A57,'[2]LX COMPUTED'!A:A,'[2]LX COMPUTED'!AL:AL,"-",0)</f>
        <v>9.2354360535005404E-3</v>
      </c>
      <c r="V57" s="2">
        <f>_xlfn.XLOOKUP(A57,'[2]LX COMPUTED'!A:A,'[2]LX COMPUTED'!AE:AE,"-",0)</f>
        <v>0.34064155980745114</v>
      </c>
      <c r="W57" s="2">
        <f>_xlfn.XLOOKUP(A57,'[2]LX COMPUTED'!A:A,'[2]LX COMPUTED'!AF:AF,"-",0)</f>
        <v>2.0568077124228829E-2</v>
      </c>
    </row>
    <row r="58" spans="1:23" x14ac:dyDescent="0.2">
      <c r="A58" t="s">
        <v>551</v>
      </c>
      <c r="B58">
        <v>0.27900000000000003</v>
      </c>
      <c r="C58">
        <v>189.24359999999999</v>
      </c>
      <c r="D58">
        <v>63.186799999999998</v>
      </c>
      <c r="E58">
        <v>1233</v>
      </c>
      <c r="F58">
        <v>7.66</v>
      </c>
      <c r="G58">
        <v>0.78</v>
      </c>
      <c r="H58">
        <v>0.09</v>
      </c>
      <c r="I58">
        <v>0.08</v>
      </c>
      <c r="J58" t="s">
        <v>739</v>
      </c>
      <c r="K58">
        <v>2454</v>
      </c>
      <c r="L58">
        <v>2047</v>
      </c>
      <c r="M58">
        <v>1.2</v>
      </c>
      <c r="N58" s="5">
        <v>1.0300000000000001E-12</v>
      </c>
      <c r="O58" s="5">
        <v>4.1999999999999998E-14</v>
      </c>
      <c r="P58" s="5">
        <f>_xlfn.XLOOKUP(A58,'[2]LX COMPUTED'!A:A,'[2]LX COMPUTED'!T:T,"-",0)</f>
        <v>2.422824515009399</v>
      </c>
      <c r="Q58" s="5">
        <f>_xlfn.XLOOKUP(A58,'[2]LX COMPUTED'!A:A,'[2]LX COMPUTED'!U:U,"-",0)</f>
        <v>9.8014696177565655E-2</v>
      </c>
      <c r="R58" s="5">
        <f>_xlfn.XLOOKUP(A58,'[2]LX COMPUTED'!A:A,'[2]LX COMPUTED'!V:V,"-",0)</f>
        <v>3.8657545073724964</v>
      </c>
      <c r="S58" s="5">
        <f>_xlfn.XLOOKUP(A58,'[2]LX COMPUTED'!A:A,'[2]LX COMPUTED'!W:W,"-",0)</f>
        <v>0.23984339369443564</v>
      </c>
      <c r="T58" s="5">
        <f>_xlfn.XLOOKUP(A58,'[2]LX COMPUTED'!A:A,'[2]LX COMPUTED'!AK:AK,"-",0)</f>
        <v>0.95191222643921947</v>
      </c>
      <c r="U58" s="5">
        <f>_xlfn.XLOOKUP(A58,'[2]LX COMPUTED'!A:A,'[2]LX COMPUTED'!AL:AL,"-",0)</f>
        <v>3.8509346048031148E-2</v>
      </c>
      <c r="V58" s="2">
        <f>_xlfn.XLOOKUP(A58,'[2]LX COMPUTED'!A:A,'[2]LX COMPUTED'!AE:AE,"-",0)</f>
        <v>0.45880748859405313</v>
      </c>
      <c r="W58" s="2">
        <f>_xlfn.XLOOKUP(A58,'[2]LX COMPUTED'!A:A,'[2]LX COMPUTED'!AF:AF,"-",0)</f>
        <v>1.4673517363140886E-2</v>
      </c>
    </row>
    <row r="59" spans="1:23" x14ac:dyDescent="0.2">
      <c r="A59" t="s">
        <v>184</v>
      </c>
      <c r="B59">
        <v>8.4000000000000005E-2</v>
      </c>
      <c r="C59">
        <v>194.6728</v>
      </c>
      <c r="D59">
        <v>-1.762</v>
      </c>
      <c r="E59">
        <v>1156</v>
      </c>
      <c r="F59">
        <v>5.74</v>
      </c>
      <c r="G59">
        <v>0.54</v>
      </c>
      <c r="H59">
        <v>0.28000000000000003</v>
      </c>
      <c r="I59">
        <v>0.11</v>
      </c>
      <c r="J59" t="s">
        <v>740</v>
      </c>
      <c r="K59">
        <v>6358</v>
      </c>
      <c r="L59">
        <v>4097</v>
      </c>
      <c r="M59">
        <v>1.6</v>
      </c>
      <c r="N59" s="5">
        <v>1.1300000000000001E-11</v>
      </c>
      <c r="O59" s="5">
        <v>9.2999999999999995E-14</v>
      </c>
      <c r="P59" s="5">
        <f>_xlfn.XLOOKUP(A59,'[2]LX COMPUTED'!A:A,'[2]LX COMPUTED'!T:T,"-",0)</f>
        <v>1.9625051343882791</v>
      </c>
      <c r="Q59" s="5">
        <f>_xlfn.XLOOKUP(A59,'[2]LX COMPUTED'!A:A,'[2]LX COMPUTED'!U:U,"-",0)</f>
        <v>1.6203247519821176E-2</v>
      </c>
      <c r="R59" s="5">
        <f>_xlfn.XLOOKUP(A59,'[2]LX COMPUTED'!A:A,'[2]LX COMPUTED'!V:V,"-",0)</f>
        <v>2.866475122895495</v>
      </c>
      <c r="S59" s="5">
        <f>_xlfn.XLOOKUP(A59,'[2]LX COMPUTED'!A:A,'[2]LX COMPUTED'!W:W,"-",0)</f>
        <v>9.6053328182283348E-2</v>
      </c>
      <c r="T59" s="5">
        <f>_xlfn.XLOOKUP(A59,'[2]LX COMPUTED'!A:A,'[2]LX COMPUTED'!AK:AK,"-",0)</f>
        <v>0.82238251995824341</v>
      </c>
      <c r="U59" s="5">
        <f>_xlfn.XLOOKUP(A59,'[2]LX COMPUTED'!A:A,'[2]LX COMPUTED'!AL:AL,"-",0)</f>
        <v>6.7899274724757533E-3</v>
      </c>
      <c r="V59" s="2">
        <f>_xlfn.XLOOKUP(A59,'[2]LX COMPUTED'!A:A,'[2]LX COMPUTED'!AE:AE,"-",0)</f>
        <v>0.61231510147918811</v>
      </c>
      <c r="W59" s="2">
        <f>_xlfn.XLOOKUP(A59,'[2]LX COMPUTED'!A:A,'[2]LX COMPUTED'!AF:AF,"-",0)</f>
        <v>2.4494887648763676E-3</v>
      </c>
    </row>
    <row r="60" spans="1:23" x14ac:dyDescent="0.2">
      <c r="A60" t="s">
        <v>185</v>
      </c>
      <c r="B60">
        <v>8.5000000000000006E-2</v>
      </c>
      <c r="C60">
        <v>194.84270000000001</v>
      </c>
      <c r="D60">
        <v>-4.1966000000000001</v>
      </c>
      <c r="E60">
        <v>1263</v>
      </c>
      <c r="F60">
        <v>6.72</v>
      </c>
      <c r="G60">
        <v>0.38</v>
      </c>
      <c r="H60">
        <v>0.38</v>
      </c>
      <c r="I60">
        <v>0.09</v>
      </c>
      <c r="J60" t="s">
        <v>739</v>
      </c>
      <c r="K60">
        <v>2329</v>
      </c>
      <c r="L60">
        <v>1022</v>
      </c>
      <c r="M60">
        <v>2.2999999999999998</v>
      </c>
      <c r="N60" s="5">
        <v>1.37E-11</v>
      </c>
      <c r="O60" s="5">
        <v>3.2E-13</v>
      </c>
      <c r="P60" s="5">
        <f>_xlfn.XLOOKUP(A60,'[2]LX COMPUTED'!A:A,'[2]LX COMPUTED'!T:T,"-",0)</f>
        <v>2.4162481492461709</v>
      </c>
      <c r="Q60" s="5">
        <f>_xlfn.XLOOKUP(A60,'[2]LX COMPUTED'!A:A,'[2]LX COMPUTED'!U:U,"-",0)</f>
        <v>5.6963363103990035E-2</v>
      </c>
      <c r="R60" s="5">
        <f>_xlfn.XLOOKUP(A60,'[2]LX COMPUTED'!A:A,'[2]LX COMPUTED'!V:V,"-",0)</f>
        <v>3.6861259459104976</v>
      </c>
      <c r="S60" s="5">
        <f>_xlfn.XLOOKUP(A60,'[2]LX COMPUTED'!A:A,'[2]LX COMPUTED'!W:W,"-",0)</f>
        <v>0.1215096254574651</v>
      </c>
      <c r="T60" s="5">
        <f>_xlfn.XLOOKUP(A60,'[2]LX COMPUTED'!A:A,'[2]LX COMPUTED'!AK:AK,"-",0)</f>
        <v>0.96020273511158338</v>
      </c>
      <c r="U60" s="5">
        <f>_xlfn.XLOOKUP(A60,'[2]LX COMPUTED'!A:A,'[2]LX COMPUTED'!AL:AL,"-",0)</f>
        <v>2.2636903858848208E-2</v>
      </c>
      <c r="V60" s="2">
        <f>_xlfn.XLOOKUP(A60,'[2]LX COMPUTED'!A:A,'[2]LX COMPUTED'!AE:AE,"-",0)</f>
        <v>0.53428863868986698</v>
      </c>
      <c r="W60" s="2">
        <f>_xlfn.XLOOKUP(A60,'[2]LX COMPUTED'!A:A,'[2]LX COMPUTED'!AF:AF,"-",0)</f>
        <v>7.6509611970369956E-3</v>
      </c>
    </row>
    <row r="61" spans="1:23" x14ac:dyDescent="0.2">
      <c r="A61" t="s">
        <v>188</v>
      </c>
      <c r="B61">
        <v>0.128</v>
      </c>
      <c r="C61">
        <v>195.9271</v>
      </c>
      <c r="D61">
        <v>-24.245200000000001</v>
      </c>
      <c r="E61">
        <v>1056</v>
      </c>
      <c r="F61">
        <v>4.63</v>
      </c>
      <c r="G61">
        <v>0.42</v>
      </c>
      <c r="H61">
        <v>0.23</v>
      </c>
      <c r="I61">
        <v>0.04</v>
      </c>
      <c r="J61" t="s">
        <v>740</v>
      </c>
      <c r="K61">
        <v>2286</v>
      </c>
      <c r="L61">
        <v>2047</v>
      </c>
      <c r="M61">
        <v>1.1000000000000001</v>
      </c>
      <c r="N61" s="5">
        <v>3.7899999999999998E-12</v>
      </c>
      <c r="O61" s="5">
        <v>8.8999999999999999E-14</v>
      </c>
      <c r="P61" s="5">
        <f>_xlfn.XLOOKUP(A61,'[2]LX COMPUTED'!A:A,'[2]LX COMPUTED'!T:T,"-",0)</f>
        <v>1.7868115682764185</v>
      </c>
      <c r="Q61" s="5">
        <f>_xlfn.XLOOKUP(A61,'[2]LX COMPUTED'!A:A,'[2]LX COMPUTED'!U:U,"-",0)</f>
        <v>4.1820870388900262E-2</v>
      </c>
      <c r="R61" s="5">
        <f>_xlfn.XLOOKUP(A61,'[2]LX COMPUTED'!A:A,'[2]LX COMPUTED'!V:V,"-",0)</f>
        <v>2.4932938150206292</v>
      </c>
      <c r="S61" s="5">
        <f>_xlfn.XLOOKUP(A61,'[2]LX COMPUTED'!A:A,'[2]LX COMPUTED'!W:W,"-",0)</f>
        <v>8.5835945143489772E-2</v>
      </c>
      <c r="T61" s="5">
        <f>_xlfn.XLOOKUP(A61,'[2]LX COMPUTED'!A:A,'[2]LX COMPUTED'!AK:AK,"-",0)</f>
        <v>0.80673341433925871</v>
      </c>
      <c r="U61" s="5">
        <f>_xlfn.XLOOKUP(A61,'[2]LX COMPUTED'!A:A,'[2]LX COMPUTED'!AL:AL,"-",0)</f>
        <v>1.8881841912419175E-2</v>
      </c>
      <c r="V61" s="2">
        <f>_xlfn.XLOOKUP(A61,'[2]LX COMPUTED'!A:A,'[2]LX COMPUTED'!AE:AE,"-",0)</f>
        <v>0.64575163398692803</v>
      </c>
      <c r="W61" s="2">
        <f>_xlfn.XLOOKUP(A61,'[2]LX COMPUTED'!A:A,'[2]LX COMPUTED'!AF:AF,"-",0)</f>
        <v>6.6571744124099309E-3</v>
      </c>
    </row>
    <row r="62" spans="1:23" x14ac:dyDescent="0.2">
      <c r="A62" t="s">
        <v>568</v>
      </c>
      <c r="B62">
        <v>0.23400000000000001</v>
      </c>
      <c r="C62">
        <v>196.708</v>
      </c>
      <c r="D62">
        <v>46.559199999999997</v>
      </c>
      <c r="E62">
        <v>1224</v>
      </c>
      <c r="F62">
        <v>7.21</v>
      </c>
      <c r="G62">
        <v>0.62</v>
      </c>
      <c r="H62">
        <v>0.11</v>
      </c>
      <c r="I62">
        <v>0.1</v>
      </c>
      <c r="J62" t="s">
        <v>739</v>
      </c>
      <c r="K62">
        <v>2222</v>
      </c>
      <c r="L62">
        <v>2047</v>
      </c>
      <c r="M62">
        <v>1.1000000000000001</v>
      </c>
      <c r="N62" s="5">
        <v>1.98E-12</v>
      </c>
      <c r="O62" s="5">
        <v>5.6000000000000001E-14</v>
      </c>
      <c r="P62" s="5">
        <f>_xlfn.XLOOKUP(A62,'[2]LX COMPUTED'!A:A,'[2]LX COMPUTED'!T:T,"-",0)</f>
        <v>3.0624914912307108</v>
      </c>
      <c r="Q62" s="5">
        <f>_xlfn.XLOOKUP(A62,'[2]LX COMPUTED'!A:A,'[2]LX COMPUTED'!U:U,"-",0)</f>
        <v>8.6685047796474499E-2</v>
      </c>
      <c r="R62" s="5">
        <f>_xlfn.XLOOKUP(A62,'[2]LX COMPUTED'!A:A,'[2]LX COMPUTED'!V:V,"-",0)</f>
        <v>4.7910808904419104</v>
      </c>
      <c r="S62" s="5">
        <f>_xlfn.XLOOKUP(A62,'[2]LX COMPUTED'!A:A,'[2]LX COMPUTED'!W:W,"-",0)</f>
        <v>0.22418487271444865</v>
      </c>
      <c r="T62" s="5">
        <f>_xlfn.XLOOKUP(A62,'[2]LX COMPUTED'!A:A,'[2]LX COMPUTED'!AK:AK,"-",0)</f>
        <v>1.2213611453751492</v>
      </c>
      <c r="U62" s="5">
        <f>_xlfn.XLOOKUP(A62,'[2]LX COMPUTED'!A:A,'[2]LX COMPUTED'!AL:AL,"-",0)</f>
        <v>3.4571116219184857E-2</v>
      </c>
      <c r="V62" s="2">
        <f>_xlfn.XLOOKUP(A62,'[2]LX COMPUTED'!A:A,'[2]LX COMPUTED'!AE:AE,"-",0)</f>
        <v>0.37704918032786888</v>
      </c>
      <c r="W62" s="2">
        <f>_xlfn.XLOOKUP(A62,'[2]LX COMPUTED'!A:A,'[2]LX COMPUTED'!AF:AF,"-",0)</f>
        <v>1.1471489809701963E-2</v>
      </c>
    </row>
    <row r="63" spans="1:23" x14ac:dyDescent="0.2">
      <c r="A63" t="s">
        <v>190</v>
      </c>
      <c r="B63">
        <v>0.183</v>
      </c>
      <c r="C63">
        <v>197.87299999999999</v>
      </c>
      <c r="D63">
        <v>-1.3411999999999999</v>
      </c>
      <c r="E63">
        <v>1502</v>
      </c>
      <c r="F63">
        <v>10.02</v>
      </c>
      <c r="G63">
        <v>0.85</v>
      </c>
      <c r="H63">
        <v>0.3</v>
      </c>
      <c r="I63">
        <v>0.11</v>
      </c>
      <c r="J63" t="s">
        <v>740</v>
      </c>
      <c r="K63">
        <v>4228</v>
      </c>
      <c r="L63">
        <v>3072</v>
      </c>
      <c r="M63">
        <v>1.4</v>
      </c>
      <c r="N63" s="5">
        <v>8.1300000000000003E-12</v>
      </c>
      <c r="O63" s="5">
        <v>1E-13</v>
      </c>
      <c r="P63" s="5">
        <f>_xlfn.XLOOKUP(A63,'[2]LX COMPUTED'!A:A,'[2]LX COMPUTED'!T:T,"-",0)</f>
        <v>7.2819157404904526</v>
      </c>
      <c r="Q63" s="5">
        <f>_xlfn.XLOOKUP(A63,'[2]LX COMPUTED'!A:A,'[2]LX COMPUTED'!U:U,"-",0)</f>
        <v>9.0664476707713659E-2</v>
      </c>
      <c r="R63" s="5">
        <f>_xlfn.XLOOKUP(A63,'[2]LX COMPUTED'!A:A,'[2]LX COMPUTED'!V:V,"-",0)</f>
        <v>12.850872466407319</v>
      </c>
      <c r="S63" s="5">
        <f>_xlfn.XLOOKUP(A63,'[2]LX COMPUTED'!A:A,'[2]LX COMPUTED'!W:W,"-",0)</f>
        <v>0.6721609757599909</v>
      </c>
      <c r="T63" s="5">
        <f>_xlfn.XLOOKUP(A63,'[2]LX COMPUTED'!A:A,'[2]LX COMPUTED'!AK:AK,"-",0)</f>
        <v>2.6477786990601784</v>
      </c>
      <c r="U63" s="5">
        <f>_xlfn.XLOOKUP(A63,'[2]LX COMPUTED'!A:A,'[2]LX COMPUTED'!AL:AL,"-",0)</f>
        <v>3.2966526768950691E-2</v>
      </c>
      <c r="V63" s="2">
        <f>_xlfn.XLOOKUP(A63,'[2]LX COMPUTED'!A:A,'[2]LX COMPUTED'!AE:AE,"-",0)</f>
        <v>0.67456189485476514</v>
      </c>
      <c r="W63" s="2">
        <f>_xlfn.XLOOKUP(A63,'[2]LX COMPUTED'!A:A,'[2]LX COMPUTED'!AF:AF,"-",0)</f>
        <v>3.1402242653969579E-3</v>
      </c>
    </row>
    <row r="64" spans="1:23" x14ac:dyDescent="0.2">
      <c r="A64" t="s">
        <v>192</v>
      </c>
      <c r="B64">
        <v>4.5999999999999999E-2</v>
      </c>
      <c r="C64">
        <v>201.72040000000001</v>
      </c>
      <c r="D64">
        <v>-27.170999999999999</v>
      </c>
      <c r="E64">
        <v>886</v>
      </c>
      <c r="F64">
        <v>3.15</v>
      </c>
      <c r="G64">
        <v>0.27</v>
      </c>
      <c r="H64">
        <v>0.35</v>
      </c>
      <c r="I64">
        <v>0.17</v>
      </c>
      <c r="J64" t="s">
        <v>740</v>
      </c>
      <c r="K64">
        <v>2856</v>
      </c>
      <c r="L64">
        <v>1022</v>
      </c>
      <c r="M64">
        <v>2.8</v>
      </c>
      <c r="N64" s="5">
        <v>1.1100000000000001E-11</v>
      </c>
      <c r="O64" s="5">
        <v>2.3999999999999999E-13</v>
      </c>
      <c r="P64" s="5">
        <f>_xlfn.XLOOKUP(A64,'[2]LX COMPUTED'!A:A,'[2]LX COMPUTED'!T:T,"-",0)</f>
        <v>0.58035867709146982</v>
      </c>
      <c r="Q64" s="5">
        <f>_xlfn.XLOOKUP(A64,'[2]LX COMPUTED'!A:A,'[2]LX COMPUTED'!U:U,"-",0)</f>
        <v>1.2645324997304289E-2</v>
      </c>
      <c r="R64" s="5">
        <f>_xlfn.XLOOKUP(A64,'[2]LX COMPUTED'!A:A,'[2]LX COMPUTED'!V:V,"-",0)</f>
        <v>0.77446521526012246</v>
      </c>
      <c r="S64" s="5">
        <f>_xlfn.XLOOKUP(A64,'[2]LX COMPUTED'!A:A,'[2]LX COMPUTED'!W:W,"-",0)</f>
        <v>2.1039606191739973E-2</v>
      </c>
      <c r="T64" s="5">
        <f>_xlfn.XLOOKUP(A64,'[2]LX COMPUTED'!A:A,'[2]LX COMPUTED'!AK:AK,"-",0)</f>
        <v>0.30304132549406887</v>
      </c>
      <c r="U64" s="5">
        <f>_xlfn.XLOOKUP(A64,'[2]LX COMPUTED'!A:A,'[2]LX COMPUTED'!AL:AL,"-",0)</f>
        <v>6.6029098896067812E-3</v>
      </c>
      <c r="V64" s="2">
        <f>_xlfn.XLOOKUP(A64,'[2]LX COMPUTED'!A:A,'[2]LX COMPUTED'!AE:AE,"-",0)</f>
        <v>0.23850179014045716</v>
      </c>
      <c r="W64" s="2">
        <f>_xlfn.XLOOKUP(A64,'[2]LX COMPUTED'!A:A,'[2]LX COMPUTED'!AF:AF,"-",0)</f>
        <v>9.3619944806714005E-3</v>
      </c>
    </row>
    <row r="65" spans="1:23" x14ac:dyDescent="0.2">
      <c r="A65" t="s">
        <v>194</v>
      </c>
      <c r="B65">
        <v>6.8000000000000005E-2</v>
      </c>
      <c r="C65">
        <v>202.7107</v>
      </c>
      <c r="D65">
        <v>-1.8617999999999999</v>
      </c>
      <c r="E65">
        <v>1014</v>
      </c>
      <c r="F65">
        <v>4.6399999999999997</v>
      </c>
      <c r="G65">
        <v>0.34</v>
      </c>
      <c r="H65">
        <v>0.41</v>
      </c>
      <c r="I65">
        <v>0.11</v>
      </c>
      <c r="J65" t="s">
        <v>739</v>
      </c>
      <c r="K65">
        <v>1261</v>
      </c>
      <c r="L65">
        <v>1022</v>
      </c>
      <c r="M65">
        <v>1.2</v>
      </c>
      <c r="N65" s="5">
        <v>3.2800000000000002E-12</v>
      </c>
      <c r="O65" s="5">
        <v>1.1E-13</v>
      </c>
      <c r="P65" s="5">
        <f>_xlfn.XLOOKUP(A65,'[2]LX COMPUTED'!A:A,'[2]LX COMPUTED'!T:T,"-",0)</f>
        <v>0.37277655019985206</v>
      </c>
      <c r="Q65" s="5">
        <f>_xlfn.XLOOKUP(A65,'[2]LX COMPUTED'!A:A,'[2]LX COMPUTED'!U:U,"-",0)</f>
        <v>1.2794416284893266E-2</v>
      </c>
      <c r="R65" s="5">
        <f>_xlfn.XLOOKUP(A65,'[2]LX COMPUTED'!A:A,'[2]LX COMPUTED'!V:V,"-",0)</f>
        <v>0.51791743995196449</v>
      </c>
      <c r="S65" s="5">
        <f>_xlfn.XLOOKUP(A65,'[2]LX COMPUTED'!A:A,'[2]LX COMPUTED'!W:W,"-",0)</f>
        <v>2.0742612960897737E-2</v>
      </c>
      <c r="T65" s="5">
        <f>_xlfn.XLOOKUP(A65,'[2]LX COMPUTED'!A:A,'[2]LX COMPUTED'!AK:AK,"-",0)</f>
        <v>0.16592436004997163</v>
      </c>
      <c r="U65" s="5">
        <f>_xlfn.XLOOKUP(A65,'[2]LX COMPUTED'!A:A,'[2]LX COMPUTED'!AL:AL,"-",0)</f>
        <v>5.694846773880287E-3</v>
      </c>
      <c r="V65" s="2">
        <f>_xlfn.XLOOKUP(A65,'[2]LX COMPUTED'!A:A,'[2]LX COMPUTED'!AE:AE,"-",0)</f>
        <v>0.49854539886694227</v>
      </c>
      <c r="W65" s="2">
        <f>_xlfn.XLOOKUP(A65,'[2]LX COMPUTED'!A:A,'[2]LX COMPUTED'!AF:AF,"-",0)</f>
        <v>1.1917484360793729E-2</v>
      </c>
    </row>
    <row r="66" spans="1:23" x14ac:dyDescent="0.2">
      <c r="A66" t="s">
        <v>582</v>
      </c>
      <c r="B66">
        <v>8.4000000000000005E-2</v>
      </c>
      <c r="C66">
        <v>202.79560000000001</v>
      </c>
      <c r="D66">
        <v>-1.7282</v>
      </c>
      <c r="E66">
        <v>939</v>
      </c>
      <c r="F66">
        <v>3.55</v>
      </c>
      <c r="G66">
        <v>0.31</v>
      </c>
      <c r="H66">
        <v>0.11</v>
      </c>
      <c r="I66">
        <v>0.08</v>
      </c>
      <c r="J66" t="s">
        <v>739</v>
      </c>
      <c r="K66">
        <v>1328</v>
      </c>
      <c r="L66">
        <v>1022</v>
      </c>
      <c r="M66">
        <v>1.3</v>
      </c>
      <c r="N66" s="5">
        <v>2.18E-12</v>
      </c>
      <c r="O66" s="5">
        <v>1.3E-13</v>
      </c>
      <c r="P66" s="5">
        <f>_xlfn.XLOOKUP(A66,'[2]LX COMPUTED'!A:A,'[2]LX COMPUTED'!T:T,"-",0)</f>
        <v>0.39549648960285888</v>
      </c>
      <c r="Q66" s="5">
        <f>_xlfn.XLOOKUP(A66,'[2]LX COMPUTED'!A:A,'[2]LX COMPUTED'!U:U,"-",0)</f>
        <v>2.3167069538615789E-2</v>
      </c>
      <c r="R66" s="5">
        <f>_xlfn.XLOOKUP(A66,'[2]LX COMPUTED'!A:A,'[2]LX COMPUTED'!V:V,"-",0)</f>
        <v>0.53728987493989722</v>
      </c>
      <c r="S66" s="5">
        <f>_xlfn.XLOOKUP(A66,'[2]LX COMPUTED'!A:A,'[2]LX COMPUTED'!W:W,"-",0)</f>
        <v>3.3060715891352295E-2</v>
      </c>
      <c r="T66" s="5">
        <f>_xlfn.XLOOKUP(A66,'[2]LX COMPUTED'!A:A,'[2]LX COMPUTED'!AK:AK,"-",0)</f>
        <v>0.19901316197604957</v>
      </c>
      <c r="U66" s="5">
        <f>_xlfn.XLOOKUP(A66,'[2]LX COMPUTED'!A:A,'[2]LX COMPUTED'!AL:AL,"-",0)</f>
        <v>1.1657630051858797E-2</v>
      </c>
      <c r="V66" s="2">
        <f>_xlfn.XLOOKUP(A66,'[2]LX COMPUTED'!A:A,'[2]LX COMPUTED'!AE:AE,"-",0)</f>
        <v>0.38638920134983123</v>
      </c>
      <c r="W66" s="2">
        <f>_xlfn.XLOOKUP(A66,'[2]LX COMPUTED'!A:A,'[2]LX COMPUTED'!AF:AF,"-",0)</f>
        <v>2.1436452400376581E-2</v>
      </c>
    </row>
    <row r="67" spans="1:23" x14ac:dyDescent="0.2">
      <c r="A67" t="s">
        <v>198</v>
      </c>
      <c r="B67">
        <v>0.223</v>
      </c>
      <c r="C67">
        <v>203.83330000000001</v>
      </c>
      <c r="D67">
        <v>41.000500000000002</v>
      </c>
      <c r="E67">
        <v>1233</v>
      </c>
      <c r="F67">
        <v>7.33</v>
      </c>
      <c r="G67">
        <v>0.6</v>
      </c>
      <c r="H67">
        <v>0.34</v>
      </c>
      <c r="I67">
        <v>0.09</v>
      </c>
      <c r="J67" t="s">
        <v>739</v>
      </c>
      <c r="K67">
        <v>1255</v>
      </c>
      <c r="L67">
        <v>1022</v>
      </c>
      <c r="M67">
        <v>1.2</v>
      </c>
      <c r="N67" s="5">
        <v>4.1399999999999997E-12</v>
      </c>
      <c r="O67" s="5">
        <v>1.1999999999999999E-13</v>
      </c>
      <c r="P67" s="5">
        <f>_xlfn.XLOOKUP(A67,'[2]LX COMPUTED'!A:A,'[2]LX COMPUTED'!T:T,"-",0)</f>
        <v>5.8146464468485544</v>
      </c>
      <c r="Q67" s="5">
        <f>_xlfn.XLOOKUP(A67,'[2]LX COMPUTED'!A:A,'[2]LX COMPUTED'!U:U,"-",0)</f>
        <v>0.1620969834946932</v>
      </c>
      <c r="R67" s="5">
        <f>_xlfn.XLOOKUP(A67,'[2]LX COMPUTED'!A:A,'[2]LX COMPUTED'!V:V,"-",0)</f>
        <v>9.1204266283292004</v>
      </c>
      <c r="S67" s="5">
        <f>_xlfn.XLOOKUP(A67,'[2]LX COMPUTED'!A:A,'[2]LX COMPUTED'!W:W,"-",0)</f>
        <v>0.41397289105991875</v>
      </c>
      <c r="T67" s="5">
        <f>_xlfn.XLOOKUP(A67,'[2]LX COMPUTED'!A:A,'[2]LX COMPUTED'!AK:AK,"-",0)</f>
        <v>2.2611957438796364</v>
      </c>
      <c r="U67" s="5">
        <f>_xlfn.XLOOKUP(A67,'[2]LX COMPUTED'!A:A,'[2]LX COMPUTED'!AL:AL,"-",0)</f>
        <v>6.3036164369474776E-2</v>
      </c>
      <c r="V67" s="2">
        <f>_xlfn.XLOOKUP(A67,'[2]LX COMPUTED'!A:A,'[2]LX COMPUTED'!AE:AE,"-",0)</f>
        <v>0.39702667249672063</v>
      </c>
      <c r="W67" s="2">
        <f>_xlfn.XLOOKUP(A67,'[2]LX COMPUTED'!A:A,'[2]LX COMPUTED'!AF:AF,"-",0)</f>
        <v>9.967612246242057E-3</v>
      </c>
    </row>
    <row r="68" spans="1:23" x14ac:dyDescent="0.2">
      <c r="A68" t="s">
        <v>586</v>
      </c>
      <c r="B68">
        <v>7.0000000000000007E-2</v>
      </c>
      <c r="C68">
        <v>204.0343</v>
      </c>
      <c r="D68">
        <v>59.205500000000001</v>
      </c>
      <c r="E68">
        <v>1113</v>
      </c>
      <c r="F68">
        <v>5.28</v>
      </c>
      <c r="G68">
        <v>0.32</v>
      </c>
      <c r="H68">
        <v>0.32</v>
      </c>
      <c r="I68">
        <v>0.09</v>
      </c>
      <c r="J68" t="s">
        <v>739</v>
      </c>
      <c r="K68">
        <v>1364</v>
      </c>
      <c r="L68">
        <v>1022</v>
      </c>
      <c r="M68">
        <v>1.3</v>
      </c>
      <c r="N68" s="5">
        <v>8.2500000000000006E-12</v>
      </c>
      <c r="O68" s="5">
        <v>2.4999999999999999E-13</v>
      </c>
      <c r="P68" s="5">
        <f>_xlfn.XLOOKUP(A68,'[2]LX COMPUTED'!A:A,'[2]LX COMPUTED'!T:T,"-",0)</f>
        <v>1.0070464248563515</v>
      </c>
      <c r="Q68" s="5">
        <f>_xlfn.XLOOKUP(A68,'[2]LX COMPUTED'!A:A,'[2]LX COMPUTED'!U:U,"-",0)</f>
        <v>3.0589452132276297E-2</v>
      </c>
      <c r="R68" s="5">
        <f>_xlfn.XLOOKUP(A68,'[2]LX COMPUTED'!A:A,'[2]LX COMPUTED'!V:V,"-",0)</f>
        <v>1.4418826413561101</v>
      </c>
      <c r="S68" s="5">
        <f>_xlfn.XLOOKUP(A68,'[2]LX COMPUTED'!A:A,'[2]LX COMPUTED'!W:W,"-",0)</f>
        <v>5.1583858403825025E-2</v>
      </c>
      <c r="T68" s="5">
        <f>_xlfn.XLOOKUP(A68,'[2]LX COMPUTED'!A:A,'[2]LX COMPUTED'!AK:AK,"-",0)</f>
        <v>0.432722731493492</v>
      </c>
      <c r="U68" s="5">
        <f>_xlfn.XLOOKUP(A68,'[2]LX COMPUTED'!A:A,'[2]LX COMPUTED'!AL:AL,"-",0)</f>
        <v>1.3144132142126574E-2</v>
      </c>
      <c r="V68" s="2">
        <f>_xlfn.XLOOKUP(A68,'[2]LX COMPUTED'!A:A,'[2]LX COMPUTED'!AE:AE,"-",0)</f>
        <v>0.31436404419705904</v>
      </c>
      <c r="W68" s="2">
        <f>_xlfn.XLOOKUP(A68,'[2]LX COMPUTED'!A:A,'[2]LX COMPUTED'!AF:AF,"-",0)</f>
        <v>1.3078255308620956E-2</v>
      </c>
    </row>
    <row r="69" spans="1:23" x14ac:dyDescent="0.2">
      <c r="A69" t="s">
        <v>202</v>
      </c>
      <c r="B69">
        <v>6.0999999999999999E-2</v>
      </c>
      <c r="C69">
        <v>209.81559999999999</v>
      </c>
      <c r="D69">
        <v>27.975300000000001</v>
      </c>
      <c r="E69">
        <v>927</v>
      </c>
      <c r="F69">
        <v>3.6</v>
      </c>
      <c r="G69">
        <v>0.18</v>
      </c>
      <c r="H69">
        <v>0.53</v>
      </c>
      <c r="I69">
        <v>0.09</v>
      </c>
      <c r="J69" t="s">
        <v>739</v>
      </c>
      <c r="K69">
        <v>1353</v>
      </c>
      <c r="L69">
        <v>1022</v>
      </c>
      <c r="M69">
        <v>1.3</v>
      </c>
      <c r="N69" s="5">
        <v>4.9900000000000003E-12</v>
      </c>
      <c r="O69" s="5">
        <v>1.9E-13</v>
      </c>
      <c r="P69" s="5">
        <f>_xlfn.XLOOKUP(A69,'[2]LX COMPUTED'!A:A,'[2]LX COMPUTED'!T:T,"-",0)</f>
        <v>0.44772093658924073</v>
      </c>
      <c r="Q69" s="5">
        <f>_xlfn.XLOOKUP(A69,'[2]LX COMPUTED'!A:A,'[2]LX COMPUTED'!U:U,"-",0)</f>
        <v>1.7368784971963935E-2</v>
      </c>
      <c r="R69" s="5">
        <f>_xlfn.XLOOKUP(A69,'[2]LX COMPUTED'!A:A,'[2]LX COMPUTED'!V:V,"-",0)</f>
        <v>0.59819491717985396</v>
      </c>
      <c r="S69" s="5">
        <f>_xlfn.XLOOKUP(A69,'[2]LX COMPUTED'!A:A,'[2]LX COMPUTED'!W:W,"-",0)</f>
        <v>2.4098395840553712E-2</v>
      </c>
      <c r="T69" s="5">
        <f>_xlfn.XLOOKUP(A69,'[2]LX COMPUTED'!A:A,'[2]LX COMPUTED'!AK:AK,"-",0)</f>
        <v>0.2187956673664542</v>
      </c>
      <c r="U69" s="5">
        <f>_xlfn.XLOOKUP(A69,'[2]LX COMPUTED'!A:A,'[2]LX COMPUTED'!AL:AL,"-",0)</f>
        <v>8.4879097418036932E-3</v>
      </c>
      <c r="V69" s="2">
        <f>_xlfn.XLOOKUP(A69,'[2]LX COMPUTED'!A:A,'[2]LX COMPUTED'!AE:AE,"-",0)</f>
        <v>0.44145658263305315</v>
      </c>
      <c r="W69" s="2">
        <f>_xlfn.XLOOKUP(A69,'[2]LX COMPUTED'!A:A,'[2]LX COMPUTED'!AF:AF,"-",0)</f>
        <v>1.5224772029281101E-2</v>
      </c>
    </row>
    <row r="70" spans="1:23" x14ac:dyDescent="0.2">
      <c r="A70" t="s">
        <v>203</v>
      </c>
      <c r="B70">
        <v>0.253</v>
      </c>
      <c r="C70">
        <v>210.25810000000001</v>
      </c>
      <c r="D70">
        <v>2.8788999999999998</v>
      </c>
      <c r="E70">
        <v>1462</v>
      </c>
      <c r="F70">
        <v>10.220000000000001</v>
      </c>
      <c r="G70">
        <v>1.1399999999999999</v>
      </c>
      <c r="H70">
        <v>0.37</v>
      </c>
      <c r="I70">
        <v>0.21</v>
      </c>
      <c r="J70" t="s">
        <v>740</v>
      </c>
      <c r="K70">
        <v>2558</v>
      </c>
      <c r="L70">
        <v>2047</v>
      </c>
      <c r="M70">
        <v>1.3</v>
      </c>
      <c r="N70" s="5">
        <v>5.4800000000000001E-12</v>
      </c>
      <c r="O70" s="5">
        <v>8.5000000000000004E-14</v>
      </c>
      <c r="P70" s="5">
        <f>_xlfn.XLOOKUP(A70,'[2]LX COMPUTED'!A:A,'[2]LX COMPUTED'!T:T,"-",0)</f>
        <v>9.9719489008671651</v>
      </c>
      <c r="Q70" s="5">
        <f>_xlfn.XLOOKUP(A70,'[2]LX COMPUTED'!A:A,'[2]LX COMPUTED'!U:U,"-",0)</f>
        <v>0.15466407997803885</v>
      </c>
      <c r="R70" s="5">
        <f>_xlfn.XLOOKUP(A70,'[2]LX COMPUTED'!A:A,'[2]LX COMPUTED'!V:V,"-",0)</f>
        <v>17.738517732492486</v>
      </c>
      <c r="S70" s="5">
        <f>_xlfn.XLOOKUP(A70,'[2]LX COMPUTED'!A:A,'[2]LX COMPUTED'!W:W,"-",0)</f>
        <v>1.2433576979787178</v>
      </c>
      <c r="T70" s="5">
        <f>_xlfn.XLOOKUP(A70,'[2]LX COMPUTED'!A:A,'[2]LX COMPUTED'!AK:AK,"-",0)</f>
        <v>3.5950573682126334</v>
      </c>
      <c r="U70" s="5">
        <f>_xlfn.XLOOKUP(A70,'[2]LX COMPUTED'!A:A,'[2]LX COMPUTED'!AL:AL,"-",0)</f>
        <v>5.5759034252023124E-2</v>
      </c>
      <c r="V70" s="2">
        <f>_xlfn.XLOOKUP(A70,'[2]LX COMPUTED'!A:A,'[2]LX COMPUTED'!AE:AE,"-",0)</f>
        <v>0.72172808132147404</v>
      </c>
      <c r="W70" s="2">
        <f>_xlfn.XLOOKUP(A70,'[2]LX COMPUTED'!A:A,'[2]LX COMPUTED'!AF:AF,"-",0)</f>
        <v>3.6313184609622078E-3</v>
      </c>
    </row>
    <row r="71" spans="1:23" x14ac:dyDescent="0.2">
      <c r="A71" t="s">
        <v>208</v>
      </c>
      <c r="B71">
        <v>0.17100000000000001</v>
      </c>
      <c r="C71">
        <v>216.51320000000001</v>
      </c>
      <c r="D71">
        <v>37.823799999999999</v>
      </c>
      <c r="E71">
        <v>1388</v>
      </c>
      <c r="F71">
        <v>8.42</v>
      </c>
      <c r="G71">
        <v>1.04</v>
      </c>
      <c r="H71">
        <v>0.21</v>
      </c>
      <c r="I71">
        <v>0.05</v>
      </c>
      <c r="J71" t="s">
        <v>740</v>
      </c>
      <c r="K71">
        <v>1281</v>
      </c>
      <c r="L71">
        <v>1022</v>
      </c>
      <c r="M71">
        <v>1.3</v>
      </c>
      <c r="N71" s="5">
        <v>1.0099999999999999E-11</v>
      </c>
      <c r="O71" s="5">
        <v>1.7000000000000001E-13</v>
      </c>
      <c r="P71" s="5">
        <f>_xlfn.XLOOKUP(A71,'[2]LX COMPUTED'!A:A,'[2]LX COMPUTED'!T:T,"-",0)</f>
        <v>7.8606613716950475</v>
      </c>
      <c r="Q71" s="5">
        <f>_xlfn.XLOOKUP(A71,'[2]LX COMPUTED'!A:A,'[2]LX COMPUTED'!U:U,"-",0)</f>
        <v>0.13327627976182635</v>
      </c>
      <c r="R71" s="5">
        <f>_xlfn.XLOOKUP(A71,'[2]LX COMPUTED'!A:A,'[2]LX COMPUTED'!V:V,"-",0)</f>
        <v>12.968042363333677</v>
      </c>
      <c r="S71" s="5">
        <f>_xlfn.XLOOKUP(A71,'[2]LX COMPUTED'!A:A,'[2]LX COMPUTED'!W:W,"-",0)</f>
        <v>0.84175331719455304</v>
      </c>
      <c r="T71" s="5">
        <f>_xlfn.XLOOKUP(A71,'[2]LX COMPUTED'!A:A,'[2]LX COMPUTED'!AK:AK,"-",0)</f>
        <v>2.9926872668334146</v>
      </c>
      <c r="U71" s="5">
        <f>_xlfn.XLOOKUP(A71,'[2]LX COMPUTED'!A:A,'[2]LX COMPUTED'!AL:AL,"-",0)</f>
        <v>5.0740542882352656E-2</v>
      </c>
      <c r="V71" s="2">
        <f>_xlfn.XLOOKUP(A71,'[2]LX COMPUTED'!A:A,'[2]LX COMPUTED'!AE:AE,"-",0)</f>
        <v>0.57527333894028598</v>
      </c>
      <c r="W71" s="2">
        <f>_xlfn.XLOOKUP(A71,'[2]LX COMPUTED'!A:A,'[2]LX COMPUTED'!AF:AF,"-",0)</f>
        <v>5.430352979916825E-3</v>
      </c>
    </row>
    <row r="72" spans="1:23" x14ac:dyDescent="0.2">
      <c r="A72" t="s">
        <v>211</v>
      </c>
      <c r="B72">
        <v>0.13100000000000001</v>
      </c>
      <c r="C72">
        <v>218.15819999999999</v>
      </c>
      <c r="D72">
        <v>31.647099999999998</v>
      </c>
      <c r="E72">
        <v>1001</v>
      </c>
      <c r="F72">
        <v>4.37</v>
      </c>
      <c r="G72">
        <v>0.63</v>
      </c>
      <c r="H72">
        <v>0.59</v>
      </c>
      <c r="I72">
        <v>0.03</v>
      </c>
      <c r="J72" t="s">
        <v>740</v>
      </c>
      <c r="K72">
        <v>1193</v>
      </c>
      <c r="L72">
        <v>1022</v>
      </c>
      <c r="M72">
        <v>1.2</v>
      </c>
      <c r="N72" s="5">
        <v>1.7699999999999999E-12</v>
      </c>
      <c r="O72" s="5">
        <v>7.7E-14</v>
      </c>
      <c r="P72" s="5">
        <f>_xlfn.XLOOKUP(A72,'[2]LX COMPUTED'!A:A,'[2]LX COMPUTED'!T:T,"-",0)</f>
        <v>0.80008913042408913</v>
      </c>
      <c r="Q72" s="5">
        <f>_xlfn.XLOOKUP(A72,'[2]LX COMPUTED'!A:A,'[2]LX COMPUTED'!U:U,"-",0)</f>
        <v>3.4858491438880972E-2</v>
      </c>
      <c r="R72" s="5">
        <f>_xlfn.XLOOKUP(A72,'[2]LX COMPUTED'!A:A,'[2]LX COMPUTED'!V:V,"-",0)</f>
        <v>1.0965001958988616</v>
      </c>
      <c r="S72" s="5">
        <f>_xlfn.XLOOKUP(A72,'[2]LX COMPUTED'!A:A,'[2]LX COMPUTED'!W:W,"-",0)</f>
        <v>6.3215687000729714E-2</v>
      </c>
      <c r="T72" s="5">
        <f>_xlfn.XLOOKUP(A72,'[2]LX COMPUTED'!A:A,'[2]LX COMPUTED'!AK:AK,"-",0)</f>
        <v>0.36083004738563751</v>
      </c>
      <c r="U72" s="5">
        <f>_xlfn.XLOOKUP(A72,'[2]LX COMPUTED'!A:A,'[2]LX COMPUTED'!AL:AL,"-",0)</f>
        <v>1.5720737402114521E-2</v>
      </c>
      <c r="V72" s="2">
        <f>_xlfn.XLOOKUP(A72,'[2]LX COMPUTED'!A:A,'[2]LX COMPUTED'!AE:AE,"-",0)</f>
        <v>0.59196861297022851</v>
      </c>
      <c r="W72" s="2">
        <f>_xlfn.XLOOKUP(A72,'[2]LX COMPUTED'!A:A,'[2]LX COMPUTED'!AF:AF,"-",0)</f>
        <v>1.2746138072641133E-2</v>
      </c>
    </row>
    <row r="73" spans="1:23" x14ac:dyDescent="0.2">
      <c r="A73" t="s">
        <v>212</v>
      </c>
      <c r="B73">
        <v>0.224</v>
      </c>
      <c r="C73">
        <v>219.5915</v>
      </c>
      <c r="D73">
        <v>3.6701999999999999</v>
      </c>
      <c r="E73">
        <v>1032</v>
      </c>
      <c r="F73">
        <v>5.28</v>
      </c>
      <c r="G73">
        <v>0.39</v>
      </c>
      <c r="H73">
        <v>0.32</v>
      </c>
      <c r="I73">
        <v>0.1</v>
      </c>
      <c r="J73" t="s">
        <v>739</v>
      </c>
      <c r="K73">
        <v>1228</v>
      </c>
      <c r="L73">
        <v>1022</v>
      </c>
      <c r="M73">
        <v>1.2</v>
      </c>
      <c r="N73" s="5">
        <v>8.1699999999999995E-13</v>
      </c>
      <c r="O73" s="5">
        <v>2.9000000000000003E-14</v>
      </c>
      <c r="P73" s="5">
        <f>_xlfn.XLOOKUP(A73,'[2]LX COMPUTED'!A:A,'[2]LX COMPUTED'!T:T,"-",0)</f>
        <v>1.2015033271737103</v>
      </c>
      <c r="Q73" s="5">
        <f>_xlfn.XLOOKUP(A73,'[2]LX COMPUTED'!A:A,'[2]LX COMPUTED'!U:U,"-",0)</f>
        <v>4.3316659430925157E-2</v>
      </c>
      <c r="R73" s="5">
        <f>_xlfn.XLOOKUP(A73,'[2]LX COMPUTED'!A:A,'[2]LX COMPUTED'!V:V,"-",0)</f>
        <v>1.7203050239505953</v>
      </c>
      <c r="S73" s="5">
        <f>_xlfn.XLOOKUP(A73,'[2]LX COMPUTED'!A:A,'[2]LX COMPUTED'!W:W,"-",0)</f>
        <v>7.4108352281858178E-2</v>
      </c>
      <c r="T73" s="5">
        <f>_xlfn.XLOOKUP(A73,'[2]LX COMPUTED'!A:A,'[2]LX COMPUTED'!AK:AK,"-",0)</f>
        <v>0.51629126937429204</v>
      </c>
      <c r="U73" s="5">
        <f>_xlfn.XLOOKUP(A73,'[2]LX COMPUTED'!A:A,'[2]LX COMPUTED'!AL:AL,"-",0)</f>
        <v>1.8613359261561924E-2</v>
      </c>
      <c r="V73" s="2">
        <f>_xlfn.XLOOKUP(A73,'[2]LX COMPUTED'!A:A,'[2]LX COMPUTED'!AE:AE,"-",0)</f>
        <v>0.40745305589791925</v>
      </c>
      <c r="W73" s="2">
        <f>_xlfn.XLOOKUP(A73,'[2]LX COMPUTED'!A:A,'[2]LX COMPUTED'!AF:AF,"-",0)</f>
        <v>1.413018278781049E-2</v>
      </c>
    </row>
    <row r="74" spans="1:23" x14ac:dyDescent="0.2">
      <c r="A74" t="s">
        <v>613</v>
      </c>
      <c r="B74">
        <v>0.153</v>
      </c>
      <c r="C74">
        <v>225.08160000000001</v>
      </c>
      <c r="D74">
        <v>21.369900000000001</v>
      </c>
      <c r="E74">
        <v>1223</v>
      </c>
      <c r="F74">
        <v>6.77</v>
      </c>
      <c r="G74">
        <v>0.45</v>
      </c>
      <c r="H74">
        <v>0.46</v>
      </c>
      <c r="I74">
        <v>0.1</v>
      </c>
      <c r="J74" t="s">
        <v>739</v>
      </c>
      <c r="K74">
        <v>1425</v>
      </c>
      <c r="L74">
        <v>1022</v>
      </c>
      <c r="M74">
        <v>1.4</v>
      </c>
      <c r="N74" s="5">
        <v>4.7700000000000001E-12</v>
      </c>
      <c r="O74" s="5">
        <v>1.3E-13</v>
      </c>
      <c r="P74" s="5">
        <f>_xlfn.XLOOKUP(A74,'[2]LX COMPUTED'!A:A,'[2]LX COMPUTED'!T:T,"-",0)</f>
        <v>3.023194972042154</v>
      </c>
      <c r="Q74" s="5">
        <f>_xlfn.XLOOKUP(A74,'[2]LX COMPUTED'!A:A,'[2]LX COMPUTED'!U:U,"-",0)</f>
        <v>8.4327503989028357E-2</v>
      </c>
      <c r="R74" s="5">
        <f>_xlfn.XLOOKUP(A74,'[2]LX COMPUTED'!A:A,'[2]LX COMPUTED'!V:V,"-",0)</f>
        <v>4.6181448074161846</v>
      </c>
      <c r="S74" s="5">
        <f>_xlfn.XLOOKUP(A74,'[2]LX COMPUTED'!A:A,'[2]LX COMPUTED'!W:W,"-",0)</f>
        <v>0.17947249295378997</v>
      </c>
      <c r="T74" s="5">
        <f>_xlfn.XLOOKUP(A74,'[2]LX COMPUTED'!A:A,'[2]LX COMPUTED'!AK:AK,"-",0)</f>
        <v>1.1911723088785307</v>
      </c>
      <c r="U74" s="5">
        <f>_xlfn.XLOOKUP(A74,'[2]LX COMPUTED'!A:A,'[2]LX COMPUTED'!AL:AL,"-",0)</f>
        <v>3.3225970722199856E-2</v>
      </c>
      <c r="V74" s="2">
        <f>_xlfn.XLOOKUP(A74,'[2]LX COMPUTED'!A:A,'[2]LX COMPUTED'!AE:AE,"-",0)</f>
        <v>0.672686075254051</v>
      </c>
      <c r="W74" s="2">
        <f>_xlfn.XLOOKUP(A74,'[2]LX COMPUTED'!A:A,'[2]LX COMPUTED'!AF:AF,"-",0)</f>
        <v>7.4449667944075943E-3</v>
      </c>
    </row>
    <row r="75" spans="1:23" x14ac:dyDescent="0.2">
      <c r="A75" t="s">
        <v>217</v>
      </c>
      <c r="B75">
        <v>0.113</v>
      </c>
      <c r="C75">
        <v>227.55600000000001</v>
      </c>
      <c r="D75">
        <v>33.5124</v>
      </c>
      <c r="E75">
        <v>1316</v>
      </c>
      <c r="F75">
        <v>7.49</v>
      </c>
      <c r="G75">
        <v>0.81</v>
      </c>
      <c r="H75">
        <v>0.3</v>
      </c>
      <c r="I75">
        <v>0.11</v>
      </c>
      <c r="J75" t="s">
        <v>740</v>
      </c>
      <c r="K75">
        <v>4671</v>
      </c>
      <c r="L75">
        <v>3072</v>
      </c>
      <c r="M75">
        <v>1.5</v>
      </c>
      <c r="N75" s="5">
        <v>7.8400000000000005E-12</v>
      </c>
      <c r="O75" s="5">
        <v>8.3999999999999995E-14</v>
      </c>
      <c r="P75" s="5">
        <f>_xlfn.XLOOKUP(A75,'[2]LX COMPUTED'!A:A,'[2]LX COMPUTED'!T:T,"-",0)</f>
        <v>2.5264690629191855</v>
      </c>
      <c r="Q75" s="5">
        <f>_xlfn.XLOOKUP(A75,'[2]LX COMPUTED'!A:A,'[2]LX COMPUTED'!U:U,"-",0)</f>
        <v>2.7063638807107528E-2</v>
      </c>
      <c r="R75" s="5">
        <f>_xlfn.XLOOKUP(A75,'[2]LX COMPUTED'!A:A,'[2]LX COMPUTED'!V:V,"-",0)</f>
        <v>3.9918094712262819</v>
      </c>
      <c r="S75" s="5">
        <f>_xlfn.XLOOKUP(A75,'[2]LX COMPUTED'!A:A,'[2]LX COMPUTED'!W:W,"-",0)</f>
        <v>0.19933071820885792</v>
      </c>
      <c r="T75" s="5">
        <f>_xlfn.XLOOKUP(A75,'[2]LX COMPUTED'!A:A,'[2]LX COMPUTED'!AK:AK,"-",0)</f>
        <v>0.97939549947718008</v>
      </c>
      <c r="U75" s="5">
        <f>_xlfn.XLOOKUP(A75,'[2]LX COMPUTED'!A:A,'[2]LX COMPUTED'!AL:AL,"-",0)</f>
        <v>1.049132421060836E-2</v>
      </c>
      <c r="V75" s="2">
        <f>_xlfn.XLOOKUP(A75,'[2]LX COMPUTED'!A:A,'[2]LX COMPUTED'!AE:AE,"-",0)</f>
        <v>0.39558914250462679</v>
      </c>
      <c r="W75" s="2">
        <f>_xlfn.XLOOKUP(A75,'[2]LX COMPUTED'!A:A,'[2]LX COMPUTED'!AF:AF,"-",0)</f>
        <v>3.7531528548768352E-3</v>
      </c>
    </row>
    <row r="76" spans="1:23" x14ac:dyDescent="0.2">
      <c r="A76" t="s">
        <v>621</v>
      </c>
      <c r="B76">
        <v>7.8E-2</v>
      </c>
      <c r="C76">
        <v>230.2929</v>
      </c>
      <c r="D76">
        <v>30.611499999999999</v>
      </c>
      <c r="E76">
        <v>1032</v>
      </c>
      <c r="F76">
        <v>4.25</v>
      </c>
      <c r="G76">
        <v>0.48</v>
      </c>
      <c r="H76">
        <v>0.23</v>
      </c>
      <c r="I76">
        <v>0.08</v>
      </c>
      <c r="J76" t="s">
        <v>740</v>
      </c>
      <c r="K76">
        <v>1074</v>
      </c>
      <c r="L76">
        <v>1022</v>
      </c>
      <c r="M76">
        <v>1.1000000000000001</v>
      </c>
      <c r="N76" s="5">
        <v>6.6299999999999998E-12</v>
      </c>
      <c r="O76" s="5">
        <v>1.4999999999999999E-13</v>
      </c>
      <c r="P76" s="5">
        <f>_xlfn.XLOOKUP(A76,'[2]LX COMPUTED'!A:A,'[2]LX COMPUTED'!T:T,"-",0)</f>
        <v>1.0319178891422338</v>
      </c>
      <c r="Q76" s="5">
        <f>_xlfn.XLOOKUP(A76,'[2]LX COMPUTED'!A:A,'[2]LX COMPUTED'!U:U,"-",0)</f>
        <v>2.3052078763851451E-2</v>
      </c>
      <c r="R76" s="5">
        <f>_xlfn.XLOOKUP(A76,'[2]LX COMPUTED'!A:A,'[2]LX COMPUTED'!V:V,"-",0)</f>
        <v>1.4229504828362369</v>
      </c>
      <c r="S76" s="5">
        <f>_xlfn.XLOOKUP(A76,'[2]LX COMPUTED'!A:A,'[2]LX COMPUTED'!W:W,"-",0)</f>
        <v>5.1916431712225097E-2</v>
      </c>
      <c r="T76" s="5">
        <f>_xlfn.XLOOKUP(A76,'[2]LX COMPUTED'!A:A,'[2]LX COMPUTED'!AK:AK,"-",0)</f>
        <v>0.48163507574753889</v>
      </c>
      <c r="U76" s="5">
        <f>_xlfn.XLOOKUP(A76,'[2]LX COMPUTED'!A:A,'[2]LX COMPUTED'!AL:AL,"-",0)</f>
        <v>1.0759276312958166E-2</v>
      </c>
      <c r="V76" s="2">
        <f>_xlfn.XLOOKUP(A76,'[2]LX COMPUTED'!A:A,'[2]LX COMPUTED'!AE:AE,"-",0)</f>
        <v>0.25056535504296701</v>
      </c>
      <c r="W76" s="2">
        <f>_xlfn.XLOOKUP(A76,'[2]LX COMPUTED'!A:A,'[2]LX COMPUTED'!AF:AF,"-",0)</f>
        <v>7.1168893536137767E-3</v>
      </c>
    </row>
    <row r="77" spans="1:23" x14ac:dyDescent="0.2">
      <c r="A77" t="s">
        <v>220</v>
      </c>
      <c r="B77">
        <v>0.11600000000000001</v>
      </c>
      <c r="C77">
        <v>231.03559999999999</v>
      </c>
      <c r="D77">
        <v>29.881799999999998</v>
      </c>
      <c r="E77">
        <v>1178</v>
      </c>
      <c r="F77">
        <v>5.65</v>
      </c>
      <c r="G77">
        <v>0.4</v>
      </c>
      <c r="H77">
        <v>0.26</v>
      </c>
      <c r="I77">
        <v>0.1</v>
      </c>
      <c r="J77" t="s">
        <v>740</v>
      </c>
      <c r="K77">
        <v>1572</v>
      </c>
      <c r="L77">
        <v>1022</v>
      </c>
      <c r="M77">
        <v>1.5</v>
      </c>
      <c r="N77" s="5">
        <v>4.1399999999999997E-12</v>
      </c>
      <c r="O77" s="5">
        <v>8.3E-14</v>
      </c>
      <c r="P77" s="5">
        <f>_xlfn.XLOOKUP(A77,'[2]LX COMPUTED'!A:A,'[2]LX COMPUTED'!T:T,"-",0)</f>
        <v>1.446124873020036</v>
      </c>
      <c r="Q77" s="5">
        <f>_xlfn.XLOOKUP(A77,'[2]LX COMPUTED'!A:A,'[2]LX COMPUTED'!U:U,"-",0)</f>
        <v>2.8964474960343246E-2</v>
      </c>
      <c r="R77" s="5">
        <f>_xlfn.XLOOKUP(A77,'[2]LX COMPUTED'!A:A,'[2]LX COMPUTED'!V:V,"-",0)</f>
        <v>2.1053519608780076</v>
      </c>
      <c r="S77" s="5">
        <f>_xlfn.XLOOKUP(A77,'[2]LX COMPUTED'!A:A,'[2]LX COMPUTED'!W:W,"-",0)</f>
        <v>6.5457664607091653E-2</v>
      </c>
      <c r="T77" s="5">
        <f>_xlfn.XLOOKUP(A77,'[2]LX COMPUTED'!A:A,'[2]LX COMPUTED'!AK:AK,"-",0)</f>
        <v>0.61038240241566311</v>
      </c>
      <c r="U77" s="5">
        <f>_xlfn.XLOOKUP(A77,'[2]LX COMPUTED'!A:A,'[2]LX COMPUTED'!AL:AL,"-",0)</f>
        <v>1.2225365970008926E-2</v>
      </c>
      <c r="V77" s="2">
        <f>_xlfn.XLOOKUP(A77,'[2]LX COMPUTED'!A:A,'[2]LX COMPUTED'!AE:AE,"-",0)</f>
        <v>0.32019704433497537</v>
      </c>
      <c r="W77" s="2">
        <f>_xlfn.XLOOKUP(A77,'[2]LX COMPUTED'!A:A,'[2]LX COMPUTED'!AF:AF,"-",0)</f>
        <v>7.4052667887871525E-3</v>
      </c>
    </row>
    <row r="78" spans="1:23" x14ac:dyDescent="0.2">
      <c r="A78" t="s">
        <v>223</v>
      </c>
      <c r="B78">
        <v>6.7000000000000004E-2</v>
      </c>
      <c r="C78">
        <v>233.30680000000001</v>
      </c>
      <c r="D78">
        <v>31.150200000000002</v>
      </c>
      <c r="E78">
        <v>705</v>
      </c>
      <c r="F78">
        <v>2.84</v>
      </c>
      <c r="G78">
        <v>0.46</v>
      </c>
      <c r="H78">
        <v>0.59</v>
      </c>
      <c r="I78">
        <v>0.26</v>
      </c>
      <c r="J78" t="s">
        <v>739</v>
      </c>
      <c r="K78">
        <v>1484</v>
      </c>
      <c r="L78">
        <v>1022</v>
      </c>
      <c r="M78">
        <v>1.5</v>
      </c>
      <c r="N78" s="5">
        <v>9.3699999999999995E-13</v>
      </c>
      <c r="O78" s="5">
        <v>1.4999999999999999E-13</v>
      </c>
      <c r="P78" s="5">
        <f>_xlfn.XLOOKUP(A78,'[2]LX COMPUTED'!A:A,'[2]LX COMPUTED'!T:T,"-",0)</f>
        <v>0.10350003780021089</v>
      </c>
      <c r="Q78" s="5">
        <f>_xlfn.XLOOKUP(A78,'[2]LX COMPUTED'!A:A,'[2]LX COMPUTED'!U:U,"-",0)</f>
        <v>1.6275207286301625E-2</v>
      </c>
      <c r="R78" s="5">
        <f>_xlfn.XLOOKUP(A78,'[2]LX COMPUTED'!A:A,'[2]LX COMPUTED'!V:V,"-",0)</f>
        <v>0.13579343273039177</v>
      </c>
      <c r="S78" s="5">
        <f>_xlfn.XLOOKUP(A78,'[2]LX COMPUTED'!A:A,'[2]LX COMPUTED'!W:W,"-",0)</f>
        <v>2.1679707460246417E-2</v>
      </c>
      <c r="T78" s="5">
        <f>_xlfn.XLOOKUP(A78,'[2]LX COMPUTED'!A:A,'[2]LX COMPUTED'!AK:AK,"-",0)</f>
        <v>5.6071143620759455E-2</v>
      </c>
      <c r="U78" s="5">
        <f>_xlfn.XLOOKUP(A78,'[2]LX COMPUTED'!A:A,'[2]LX COMPUTED'!AL:AL,"-",0)</f>
        <v>8.8170932552643928E-3</v>
      </c>
      <c r="V78" s="2">
        <f>_xlfn.XLOOKUP(A78,'[2]LX COMPUTED'!A:A,'[2]LX COMPUTED'!AE:AE,"-",0)</f>
        <v>0.40510346578646694</v>
      </c>
      <c r="W78" s="2">
        <f>_xlfn.XLOOKUP(A78,'[2]LX COMPUTED'!A:A,'[2]LX COMPUTED'!AF:AF,"-",0)</f>
        <v>7.244551963727458E-2</v>
      </c>
    </row>
    <row r="79" spans="1:23" x14ac:dyDescent="0.2">
      <c r="A79" t="s">
        <v>226</v>
      </c>
      <c r="B79">
        <v>0.153</v>
      </c>
      <c r="C79">
        <v>235.03399999999999</v>
      </c>
      <c r="D79">
        <v>-3.3037999999999998</v>
      </c>
      <c r="E79">
        <v>1268</v>
      </c>
      <c r="F79">
        <v>7.06</v>
      </c>
      <c r="G79">
        <v>0.92</v>
      </c>
      <c r="H79">
        <v>0.26</v>
      </c>
      <c r="I79">
        <v>0.16</v>
      </c>
      <c r="J79" t="s">
        <v>740</v>
      </c>
      <c r="K79">
        <v>1351</v>
      </c>
      <c r="L79">
        <v>1022</v>
      </c>
      <c r="M79">
        <v>1.3</v>
      </c>
      <c r="N79" s="5">
        <v>5.1499999999999997E-12</v>
      </c>
      <c r="O79" s="5">
        <v>7.3000000000000004E-14</v>
      </c>
      <c r="P79" s="5">
        <f>_xlfn.XLOOKUP(A79,'[2]LX COMPUTED'!A:A,'[2]LX COMPUTED'!T:T,"-",0)</f>
        <v>3.531657337876732</v>
      </c>
      <c r="Q79" s="5">
        <f>_xlfn.XLOOKUP(A79,'[2]LX COMPUTED'!A:A,'[2]LX COMPUTED'!U:U,"-",0)</f>
        <v>5.0067465949139016E-2</v>
      </c>
      <c r="R79" s="5">
        <f>_xlfn.XLOOKUP(A79,'[2]LX COMPUTED'!A:A,'[2]LX COMPUTED'!V:V,"-",0)</f>
        <v>5.4792183020882206</v>
      </c>
      <c r="S79" s="5">
        <f>_xlfn.XLOOKUP(A79,'[2]LX COMPUTED'!A:A,'[2]LX COMPUTED'!W:W,"-",0)</f>
        <v>0.31204439796412414</v>
      </c>
      <c r="T79" s="5">
        <f>_xlfn.XLOOKUP(A79,'[2]LX COMPUTED'!A:A,'[2]LX COMPUTED'!AK:AK,"-",0)</f>
        <v>1.3981314069068971</v>
      </c>
      <c r="U79" s="5">
        <f>_xlfn.XLOOKUP(A79,'[2]LX COMPUTED'!A:A,'[2]LX COMPUTED'!AL:AL,"-",0)</f>
        <v>1.9820976360582634E-2</v>
      </c>
      <c r="V79" s="2">
        <f>_xlfn.XLOOKUP(A79,'[2]LX COMPUTED'!A:A,'[2]LX COMPUTED'!AE:AE,"-",0)</f>
        <v>0.49494850416871017</v>
      </c>
      <c r="W79" s="2">
        <f>_xlfn.XLOOKUP(A79,'[2]LX COMPUTED'!A:A,'[2]LX COMPUTED'!AF:AF,"-",0)</f>
        <v>4.7250634811774623E-3</v>
      </c>
    </row>
    <row r="80" spans="1:23" x14ac:dyDescent="0.2">
      <c r="A80" t="s">
        <v>224</v>
      </c>
      <c r="B80">
        <v>4.1000000000000002E-2</v>
      </c>
      <c r="C80">
        <v>234.9126</v>
      </c>
      <c r="D80">
        <v>21.782699999999998</v>
      </c>
      <c r="E80">
        <v>963</v>
      </c>
      <c r="F80">
        <v>3.76</v>
      </c>
      <c r="G80">
        <v>0.5</v>
      </c>
      <c r="H80">
        <v>0.27</v>
      </c>
      <c r="I80">
        <v>0.12</v>
      </c>
      <c r="J80" t="s">
        <v>740</v>
      </c>
      <c r="K80">
        <v>3004</v>
      </c>
      <c r="L80">
        <v>1022</v>
      </c>
      <c r="M80">
        <v>2.9</v>
      </c>
      <c r="N80" s="5">
        <v>9.4700000000000006E-12</v>
      </c>
      <c r="O80" s="5">
        <v>2.0999999999999999E-13</v>
      </c>
      <c r="P80" s="5">
        <f>_xlfn.XLOOKUP(A80,'[2]LX COMPUTED'!A:A,'[2]LX COMPUTED'!T:T,"-",0)</f>
        <v>0.38968602639365235</v>
      </c>
      <c r="Q80" s="5">
        <f>_xlfn.XLOOKUP(A80,'[2]LX COMPUTED'!A:A,'[2]LX COMPUTED'!U:U,"-",0)</f>
        <v>8.8093222959443312E-3</v>
      </c>
      <c r="R80" s="5">
        <f>_xlfn.XLOOKUP(A80,'[2]LX COMPUTED'!A:A,'[2]LX COMPUTED'!V:V,"-",0)</f>
        <v>0.52765734484215543</v>
      </c>
      <c r="S80" s="5">
        <f>_xlfn.XLOOKUP(A80,'[2]LX COMPUTED'!A:A,'[2]LX COMPUTED'!W:W,"-",0)</f>
        <v>1.9862702013165371E-2</v>
      </c>
      <c r="T80" s="5">
        <f>_xlfn.XLOOKUP(A80,'[2]LX COMPUTED'!A:A,'[2]LX COMPUTED'!AK:AK,"-",0)</f>
        <v>0.18961783764022666</v>
      </c>
      <c r="U80" s="5">
        <f>_xlfn.XLOOKUP(A80,'[2]LX COMPUTED'!A:A,'[2]LX COMPUTED'!AL:AL,"-",0)</f>
        <v>4.2865397568692763E-3</v>
      </c>
      <c r="V80" s="2">
        <f>_xlfn.XLOOKUP(A80,'[2]LX COMPUTED'!A:A,'[2]LX COMPUTED'!AE:AE,"-",0)</f>
        <v>0.50439514441188782</v>
      </c>
      <c r="W80" s="2">
        <f>_xlfn.XLOOKUP(A80,'[2]LX COMPUTED'!A:A,'[2]LX COMPUTED'!AF:AF,"-",0)</f>
        <v>7.264534506537368E-3</v>
      </c>
    </row>
    <row r="81" spans="1:23" x14ac:dyDescent="0.2">
      <c r="A81" t="s">
        <v>225</v>
      </c>
      <c r="B81">
        <v>0.22900000000000001</v>
      </c>
      <c r="C81">
        <v>234.92439999999999</v>
      </c>
      <c r="D81">
        <v>34.416200000000003</v>
      </c>
      <c r="E81">
        <v>1287</v>
      </c>
      <c r="F81">
        <v>7.93</v>
      </c>
      <c r="G81">
        <v>0.64</v>
      </c>
      <c r="H81">
        <v>0.18</v>
      </c>
      <c r="I81">
        <v>0.09</v>
      </c>
      <c r="J81" t="s">
        <v>739</v>
      </c>
      <c r="K81">
        <v>2322</v>
      </c>
      <c r="L81">
        <v>2047</v>
      </c>
      <c r="M81">
        <v>1.1000000000000001</v>
      </c>
      <c r="N81" s="5">
        <v>2.1400000000000002E-12</v>
      </c>
      <c r="O81" s="5">
        <v>4.4000000000000002E-14</v>
      </c>
      <c r="P81" s="5">
        <f>_xlfn.XLOOKUP(A81,'[2]LX COMPUTED'!A:A,'[2]LX COMPUTED'!T:T,"-",0)</f>
        <v>3.1566387727585954</v>
      </c>
      <c r="Q81" s="5">
        <f>_xlfn.XLOOKUP(A81,'[2]LX COMPUTED'!A:A,'[2]LX COMPUTED'!U:U,"-",0)</f>
        <v>6.5046810514688663E-2</v>
      </c>
      <c r="R81" s="5">
        <f>_xlfn.XLOOKUP(A81,'[2]LX COMPUTED'!A:A,'[2]LX COMPUTED'!V:V,"-",0)</f>
        <v>5.0952945960133853</v>
      </c>
      <c r="S81" s="5">
        <f>_xlfn.XLOOKUP(A81,'[2]LX COMPUTED'!A:A,'[2]LX COMPUTED'!W:W,"-",0)</f>
        <v>0.22232034204124088</v>
      </c>
      <c r="T81" s="5">
        <f>_xlfn.XLOOKUP(A81,'[2]LX COMPUTED'!A:A,'[2]LX COMPUTED'!AK:AK,"-",0)</f>
        <v>1.2210243703270334</v>
      </c>
      <c r="U81" s="5">
        <f>_xlfn.XLOOKUP(A81,'[2]LX COMPUTED'!A:A,'[2]LX COMPUTED'!AL:AL,"-",0)</f>
        <v>2.5160858295189395E-2</v>
      </c>
      <c r="V81" s="2">
        <f>_xlfn.XLOOKUP(A81,'[2]LX COMPUTED'!A:A,'[2]LX COMPUTED'!AE:AE,"-",0)</f>
        <v>0.42197624190064797</v>
      </c>
      <c r="W81" s="2">
        <f>_xlfn.XLOOKUP(A81,'[2]LX COMPUTED'!A:A,'[2]LX COMPUTED'!AF:AF,"-",0)</f>
        <v>9.1170215629481858E-3</v>
      </c>
    </row>
    <row r="82" spans="1:23" x14ac:dyDescent="0.2">
      <c r="A82" t="s">
        <v>227</v>
      </c>
      <c r="B82">
        <v>0.246</v>
      </c>
      <c r="C82">
        <v>235.31059999999999</v>
      </c>
      <c r="D82">
        <v>66.265900000000002</v>
      </c>
      <c r="E82">
        <v>777</v>
      </c>
      <c r="F82">
        <v>3.04</v>
      </c>
      <c r="G82">
        <v>0.24</v>
      </c>
      <c r="H82">
        <v>0.19</v>
      </c>
      <c r="I82">
        <v>0.1</v>
      </c>
      <c r="J82" t="s">
        <v>739</v>
      </c>
      <c r="K82">
        <v>1127</v>
      </c>
      <c r="L82">
        <v>1022</v>
      </c>
      <c r="M82">
        <v>1.1000000000000001</v>
      </c>
      <c r="N82" s="5">
        <v>2.73E-13</v>
      </c>
      <c r="O82" s="5">
        <v>1.7999999999999999E-14</v>
      </c>
      <c r="P82" s="5">
        <f>_xlfn.XLOOKUP(A82,'[2]LX COMPUTED'!A:A,'[2]LX COMPUTED'!T:T,"-",0)</f>
        <v>0.53319721123346098</v>
      </c>
      <c r="Q82" s="5">
        <f>_xlfn.XLOOKUP(A82,'[2]LX COMPUTED'!A:A,'[2]LX COMPUTED'!U:U,"-",0)</f>
        <v>3.4607708594929378E-2</v>
      </c>
      <c r="R82" s="5">
        <f>_xlfn.XLOOKUP(A82,'[2]LX COMPUTED'!A:A,'[2]LX COMPUTED'!V:V,"-",0)</f>
        <v>0.71661279303540748</v>
      </c>
      <c r="S82" s="5">
        <f>_xlfn.XLOOKUP(A82,'[2]LX COMPUTED'!A:A,'[2]LX COMPUTED'!W:W,"-",0)</f>
        <v>4.7615669986134881E-2</v>
      </c>
      <c r="T82" s="5">
        <f>_xlfn.XLOOKUP(A82,'[2]LX COMPUTED'!A:A,'[2]LX COMPUTED'!AK:AK,"-",0)</f>
        <v>0.2844121984627106</v>
      </c>
      <c r="U82" s="5">
        <f>_xlfn.XLOOKUP(A82,'[2]LX COMPUTED'!A:A,'[2]LX COMPUTED'!AL:AL,"-",0)</f>
        <v>1.8460063702266823E-2</v>
      </c>
      <c r="V82" s="2">
        <f>_xlfn.XLOOKUP(A82,'[2]LX COMPUTED'!A:A,'[2]LX COMPUTED'!AE:AE,"-",0)</f>
        <v>0.305852417302799</v>
      </c>
      <c r="W82" s="2">
        <f>_xlfn.XLOOKUP(A82,'[2]LX COMPUTED'!A:A,'[2]LX COMPUTED'!AF:AF,"-",0)</f>
        <v>2.6104757978456489E-2</v>
      </c>
    </row>
    <row r="83" spans="1:23" x14ac:dyDescent="0.2">
      <c r="A83" t="s">
        <v>229</v>
      </c>
      <c r="B83">
        <v>9.0999999999999998E-2</v>
      </c>
      <c r="C83">
        <v>239.5847</v>
      </c>
      <c r="D83">
        <v>27.231000000000002</v>
      </c>
      <c r="E83">
        <v>1398</v>
      </c>
      <c r="F83">
        <v>7.64</v>
      </c>
      <c r="G83">
        <v>0.59</v>
      </c>
      <c r="H83">
        <v>0.27</v>
      </c>
      <c r="I83">
        <v>0.08</v>
      </c>
      <c r="J83" t="s">
        <v>740</v>
      </c>
      <c r="K83">
        <v>8600</v>
      </c>
      <c r="L83">
        <v>3072</v>
      </c>
      <c r="M83">
        <v>2.8</v>
      </c>
      <c r="N83" s="5">
        <v>1.97E-11</v>
      </c>
      <c r="O83" s="5">
        <v>1.9E-13</v>
      </c>
      <c r="P83" s="5">
        <f>_xlfn.XLOOKUP(A83,'[2]LX COMPUTED'!A:A,'[2]LX COMPUTED'!T:T,"-",0)</f>
        <v>4.1263616209278506</v>
      </c>
      <c r="Q83" s="5">
        <f>_xlfn.XLOOKUP(A83,'[2]LX COMPUTED'!A:A,'[2]LX COMPUTED'!U:U,"-",0)</f>
        <v>4.0142322290548101E-2</v>
      </c>
      <c r="R83" s="5">
        <f>_xlfn.XLOOKUP(A83,'[2]LX COMPUTED'!A:A,'[2]LX COMPUTED'!V:V,"-",0)</f>
        <v>6.5661500246558928</v>
      </c>
      <c r="S83" s="5">
        <f>_xlfn.XLOOKUP(A83,'[2]LX COMPUTED'!A:A,'[2]LX COMPUTED'!W:W,"-",0)</f>
        <v>0.24027823087174008</v>
      </c>
      <c r="T83" s="5">
        <f>_xlfn.XLOOKUP(A83,'[2]LX COMPUTED'!A:A,'[2]LX COMPUTED'!AK:AK,"-",0)</f>
        <v>1.5961604921706649</v>
      </c>
      <c r="U83" s="5">
        <f>_xlfn.XLOOKUP(A83,'[2]LX COMPUTED'!A:A,'[2]LX COMPUTED'!AL:AL,"-",0)</f>
        <v>1.5527865657529833E-2</v>
      </c>
      <c r="V83" s="2">
        <f>_xlfn.XLOOKUP(A83,'[2]LX COMPUTED'!A:A,'[2]LX COMPUTED'!AE:AE,"-",0)</f>
        <v>0.69604816301327566</v>
      </c>
      <c r="W83" s="2">
        <f>_xlfn.XLOOKUP(A83,'[2]LX COMPUTED'!A:A,'[2]LX COMPUTED'!AF:AF,"-",0)</f>
        <v>2.4353908864089341E-3</v>
      </c>
    </row>
    <row r="84" spans="1:23" x14ac:dyDescent="0.2">
      <c r="A84" t="s">
        <v>228</v>
      </c>
      <c r="B84">
        <v>0.23430000000000001</v>
      </c>
      <c r="C84">
        <v>239.05119999999999</v>
      </c>
      <c r="D84">
        <v>66.351600000000005</v>
      </c>
      <c r="E84">
        <v>1311</v>
      </c>
      <c r="F84">
        <v>8.11</v>
      </c>
      <c r="G84">
        <v>1.03</v>
      </c>
      <c r="H84">
        <v>0.28000000000000003</v>
      </c>
      <c r="I84">
        <v>0.12</v>
      </c>
      <c r="J84" t="s">
        <v>740</v>
      </c>
      <c r="K84">
        <v>4404</v>
      </c>
      <c r="L84">
        <v>4097</v>
      </c>
      <c r="M84">
        <v>1.1000000000000001</v>
      </c>
      <c r="N84" s="5">
        <v>2.76E-12</v>
      </c>
      <c r="O84" s="5">
        <v>3.2000000000000002E-14</v>
      </c>
      <c r="P84" s="5">
        <f>_xlfn.XLOOKUP(A84,'[2]LX COMPUTED'!A:A,'[2]LX COMPUTED'!T:T,"-",0)</f>
        <v>4.3496069269433031</v>
      </c>
      <c r="Q84" s="5">
        <f>_xlfn.XLOOKUP(A84,'[2]LX COMPUTED'!A:A,'[2]LX COMPUTED'!U:U,"-",0)</f>
        <v>5.0328295185757245E-2</v>
      </c>
      <c r="R84" s="5">
        <f>_xlfn.XLOOKUP(A84,'[2]LX COMPUTED'!A:A,'[2]LX COMPUTED'!V:V,"-",0)</f>
        <v>7.0725353171200265</v>
      </c>
      <c r="S84" s="5">
        <f>_xlfn.XLOOKUP(A84,'[2]LX COMPUTED'!A:A,'[2]LX COMPUTED'!W:W,"-",0)</f>
        <v>0.44319546233460155</v>
      </c>
      <c r="T84" s="5">
        <f>_xlfn.XLOOKUP(A84,'[2]LX COMPUTED'!A:A,'[2]LX COMPUTED'!AK:AK,"-",0)</f>
        <v>1.6600403640782793</v>
      </c>
      <c r="U84" s="5">
        <f>_xlfn.XLOOKUP(A84,'[2]LX COMPUTED'!A:A,'[2]LX COMPUTED'!AL:AL,"-",0)</f>
        <v>1.9207942893891893E-2</v>
      </c>
      <c r="V84" s="2">
        <f>_xlfn.XLOOKUP(A84,'[2]LX COMPUTED'!A:A,'[2]LX COMPUTED'!AE:AE,"-",0)</f>
        <v>0.59377764671188438</v>
      </c>
      <c r="W84" s="2">
        <f>_xlfn.XLOOKUP(A84,'[2]LX COMPUTED'!A:A,'[2]LX COMPUTED'!AF:AF,"-",0)</f>
        <v>4.2416745810751871E-3</v>
      </c>
    </row>
    <row r="85" spans="1:23" x14ac:dyDescent="0.2">
      <c r="A85" t="s">
        <v>231</v>
      </c>
      <c r="B85">
        <v>3.6999999999999998E-2</v>
      </c>
      <c r="C85">
        <v>241.14940000000001</v>
      </c>
      <c r="D85">
        <v>17.721499999999999</v>
      </c>
      <c r="E85">
        <v>806</v>
      </c>
      <c r="F85">
        <v>2.71</v>
      </c>
      <c r="G85">
        <v>0.31</v>
      </c>
      <c r="H85">
        <v>0.25</v>
      </c>
      <c r="I85">
        <v>0.12</v>
      </c>
      <c r="J85" t="s">
        <v>740</v>
      </c>
      <c r="K85">
        <v>2749</v>
      </c>
      <c r="L85">
        <v>1022</v>
      </c>
      <c r="M85">
        <v>2.7</v>
      </c>
      <c r="N85" s="5">
        <v>5.0300000000000002E-12</v>
      </c>
      <c r="O85" s="5">
        <v>5.4999999999999998E-13</v>
      </c>
      <c r="P85" s="5">
        <f>_xlfn.XLOOKUP(A85,'[2]LX COMPUTED'!A:A,'[2]LX COMPUTED'!T:T,"-",0)</f>
        <v>0.1650094665101039</v>
      </c>
      <c r="Q85" s="5">
        <f>_xlfn.XLOOKUP(A85,'[2]LX COMPUTED'!A:A,'[2]LX COMPUTED'!U:U,"-",0)</f>
        <v>1.8001032710193154E-2</v>
      </c>
      <c r="R85" s="5">
        <f>_xlfn.XLOOKUP(A85,'[2]LX COMPUTED'!A:A,'[2]LX COMPUTED'!V:V,"-",0)</f>
        <v>0.22112124056320423</v>
      </c>
      <c r="S85" s="5">
        <f>_xlfn.XLOOKUP(A85,'[2]LX COMPUTED'!A:A,'[2]LX COMPUTED'!W:W,"-",0)</f>
        <v>2.4479917979293768E-2</v>
      </c>
      <c r="T85" s="5">
        <f>_xlfn.XLOOKUP(A85,'[2]LX COMPUTED'!A:A,'[2]LX COMPUTED'!AK:AK,"-",0)</f>
        <v>9.2326580125210042E-2</v>
      </c>
      <c r="U85" s="5">
        <f>_xlfn.XLOOKUP(A85,'[2]LX COMPUTED'!A:A,'[2]LX COMPUTED'!AL:AL,"-",0)</f>
        <v>1.0071990559113824E-2</v>
      </c>
      <c r="V85" s="2">
        <f>_xlfn.XLOOKUP(A85,'[2]LX COMPUTED'!A:A,'[2]LX COMPUTED'!AE:AE,"-",0)</f>
        <v>0.61588999236058062</v>
      </c>
      <c r="W85" s="2">
        <f>_xlfn.XLOOKUP(A85,'[2]LX COMPUTED'!A:A,'[2]LX COMPUTED'!AF:AF,"-",0)</f>
        <v>2.6770099108813523E-2</v>
      </c>
    </row>
    <row r="86" spans="1:23" x14ac:dyDescent="0.2">
      <c r="A86" t="s">
        <v>233</v>
      </c>
      <c r="B86">
        <v>0.20300000000000001</v>
      </c>
      <c r="C86">
        <v>243.94120000000001</v>
      </c>
      <c r="D86">
        <v>-6.1490999999999998</v>
      </c>
      <c r="E86">
        <v>1751</v>
      </c>
      <c r="F86">
        <v>13.18</v>
      </c>
      <c r="G86">
        <v>1.35</v>
      </c>
      <c r="H86">
        <v>0.24</v>
      </c>
      <c r="I86">
        <v>0.04</v>
      </c>
      <c r="J86" t="s">
        <v>740</v>
      </c>
      <c r="K86">
        <v>1547</v>
      </c>
      <c r="L86">
        <v>1022</v>
      </c>
      <c r="M86">
        <v>1.5</v>
      </c>
      <c r="N86" s="5">
        <v>1.54E-11</v>
      </c>
      <c r="O86" s="5">
        <v>1.1999999999999999E-13</v>
      </c>
      <c r="P86" s="5">
        <f>_xlfn.XLOOKUP(A86,'[2]LX COMPUTED'!A:A,'[2]LX COMPUTED'!T:T,"-",0)</f>
        <v>18.884232001588437</v>
      </c>
      <c r="Q86" s="5">
        <f>_xlfn.XLOOKUP(A86,'[2]LX COMPUTED'!A:A,'[2]LX COMPUTED'!U:U,"-",0)</f>
        <v>0.14135619187959439</v>
      </c>
      <c r="R86" s="5">
        <f>_xlfn.XLOOKUP(A86,'[2]LX COMPUTED'!A:A,'[2]LX COMPUTED'!V:V,"-",0)</f>
        <v>37.564740177538042</v>
      </c>
      <c r="S86" s="5">
        <f>_xlfn.XLOOKUP(A86,'[2]LX COMPUTED'!A:A,'[2]LX COMPUTED'!W:W,"-",0)</f>
        <v>3.0497742177048557</v>
      </c>
      <c r="T86" s="5">
        <f>_xlfn.XLOOKUP(A86,'[2]LX COMPUTED'!A:A,'[2]LX COMPUTED'!AK:AK,"-",0)</f>
        <v>6.5612751720830627</v>
      </c>
      <c r="U86" s="5">
        <f>_xlfn.XLOOKUP(A86,'[2]LX COMPUTED'!A:A,'[2]LX COMPUTED'!AL:AL,"-",0)</f>
        <v>4.911382533966846E-2</v>
      </c>
      <c r="V86" s="2">
        <f>_xlfn.XLOOKUP(A86,'[2]LX COMPUTED'!A:A,'[2]LX COMPUTED'!AE:AE,"-",0)</f>
        <v>0.49391647484380136</v>
      </c>
      <c r="W86" s="2">
        <f>_xlfn.XLOOKUP(A86,'[2]LX COMPUTED'!A:A,'[2]LX COMPUTED'!AF:AF,"-",0)</f>
        <v>2.6353767453224717E-3</v>
      </c>
    </row>
    <row r="87" spans="1:23" x14ac:dyDescent="0.2">
      <c r="A87" t="s">
        <v>235</v>
      </c>
      <c r="B87">
        <v>0.184</v>
      </c>
      <c r="C87">
        <v>246.05850000000001</v>
      </c>
      <c r="D87">
        <v>41.24</v>
      </c>
      <c r="E87">
        <v>1242</v>
      </c>
      <c r="F87">
        <v>7.11</v>
      </c>
      <c r="G87">
        <v>0.9</v>
      </c>
      <c r="H87">
        <v>0.32</v>
      </c>
      <c r="I87">
        <v>0.15</v>
      </c>
      <c r="J87" t="s">
        <v>739</v>
      </c>
      <c r="K87">
        <v>1357</v>
      </c>
      <c r="L87">
        <v>1022</v>
      </c>
      <c r="M87">
        <v>1.3</v>
      </c>
      <c r="N87" s="5">
        <v>2.28E-12</v>
      </c>
      <c r="O87" s="5">
        <v>1.1E-13</v>
      </c>
      <c r="P87" s="5">
        <f>_xlfn.XLOOKUP(A87,'[2]LX COMPUTED'!A:A,'[2]LX COMPUTED'!T:T,"-",0)</f>
        <v>2.0990077905449511</v>
      </c>
      <c r="Q87" s="5">
        <f>_xlfn.XLOOKUP(A87,'[2]LX COMPUTED'!A:A,'[2]LX COMPUTED'!U:U,"-",0)</f>
        <v>9.8377476792125329E-2</v>
      </c>
      <c r="R87" s="5">
        <f>_xlfn.XLOOKUP(A87,'[2]LX COMPUTED'!A:A,'[2]LX COMPUTED'!V:V,"-",0)</f>
        <v>3.2614430023043348</v>
      </c>
      <c r="S87" s="5">
        <f>_xlfn.XLOOKUP(A87,'[2]LX COMPUTED'!A:A,'[2]LX COMPUTED'!W:W,"-",0)</f>
        <v>0.23364624627273994</v>
      </c>
      <c r="T87" s="5">
        <f>_xlfn.XLOOKUP(A87,'[2]LX COMPUTED'!A:A,'[2]LX COMPUTED'!AK:AK,"-",0)</f>
        <v>0.8249790675524773</v>
      </c>
      <c r="U87" s="5">
        <f>_xlfn.XLOOKUP(A87,'[2]LX COMPUTED'!A:A,'[2]LX COMPUTED'!AL:AL,"-",0)</f>
        <v>3.8665582585123315E-2</v>
      </c>
      <c r="V87" s="2">
        <f>_xlfn.XLOOKUP(A87,'[2]LX COMPUTED'!A:A,'[2]LX COMPUTED'!AE:AE,"-",0)</f>
        <v>0.48000000000000004</v>
      </c>
      <c r="W87" s="2">
        <f>_xlfn.XLOOKUP(A87,'[2]LX COMPUTED'!A:A,'[2]LX COMPUTED'!AF:AF,"-",0)</f>
        <v>1.5914409069097683E-2</v>
      </c>
    </row>
    <row r="88" spans="1:23" x14ac:dyDescent="0.2">
      <c r="A88" t="s">
        <v>236</v>
      </c>
      <c r="B88">
        <v>0.152</v>
      </c>
      <c r="C88">
        <v>248.19560000000001</v>
      </c>
      <c r="D88">
        <v>5.5754999999999999</v>
      </c>
      <c r="E88">
        <v>1469</v>
      </c>
      <c r="F88">
        <v>8.68</v>
      </c>
      <c r="G88">
        <v>0.85</v>
      </c>
      <c r="H88">
        <v>0.34</v>
      </c>
      <c r="I88">
        <v>0.13</v>
      </c>
      <c r="J88" t="s">
        <v>740</v>
      </c>
      <c r="K88">
        <v>1452</v>
      </c>
      <c r="L88">
        <v>1022</v>
      </c>
      <c r="M88">
        <v>1.4</v>
      </c>
      <c r="N88" s="5">
        <v>8.2300000000000003E-12</v>
      </c>
      <c r="O88" s="5">
        <v>7.1999999999999996E-14</v>
      </c>
      <c r="P88" s="5">
        <f>_xlfn.XLOOKUP(A88,'[2]LX COMPUTED'!A:A,'[2]LX COMPUTED'!T:T,"-",0)</f>
        <v>5.2190278676388093</v>
      </c>
      <c r="Q88" s="5">
        <f>_xlfn.XLOOKUP(A88,'[2]LX COMPUTED'!A:A,'[2]LX COMPUTED'!U:U,"-",0)</f>
        <v>4.5715774480551453E-2</v>
      </c>
      <c r="R88" s="5">
        <f>_xlfn.XLOOKUP(A88,'[2]LX COMPUTED'!A:A,'[2]LX COMPUTED'!V:V,"-",0)</f>
        <v>8.7008570503452027</v>
      </c>
      <c r="S88" s="5">
        <f>_xlfn.XLOOKUP(A88,'[2]LX COMPUTED'!A:A,'[2]LX COMPUTED'!W:W,"-",0)</f>
        <v>0.44995456138739404</v>
      </c>
      <c r="T88" s="5">
        <f>_xlfn.XLOOKUP(A88,'[2]LX COMPUTED'!A:A,'[2]LX COMPUTED'!AK:AK,"-",0)</f>
        <v>1.9521394702456591</v>
      </c>
      <c r="U88" s="5">
        <f>_xlfn.XLOOKUP(A88,'[2]LX COMPUTED'!A:A,'[2]LX COMPUTED'!AL:AL,"-",0)</f>
        <v>1.7099653429654759E-2</v>
      </c>
      <c r="V88" s="2">
        <f>_xlfn.XLOOKUP(A88,'[2]LX COMPUTED'!A:A,'[2]LX COMPUTED'!AE:AE,"-",0)</f>
        <v>0.79357119574756163</v>
      </c>
      <c r="W88" s="2">
        <f>_xlfn.XLOOKUP(A88,'[2]LX COMPUTED'!A:A,'[2]LX COMPUTED'!AF:AF,"-",0)</f>
        <v>1.6547091129317593E-3</v>
      </c>
    </row>
    <row r="89" spans="1:23" x14ac:dyDescent="0.2">
      <c r="A89" t="s">
        <v>633</v>
      </c>
      <c r="B89">
        <v>0.17599999999999999</v>
      </c>
      <c r="C89">
        <v>248.9614</v>
      </c>
      <c r="D89">
        <v>66.210099999999997</v>
      </c>
      <c r="E89">
        <v>1171</v>
      </c>
      <c r="F89">
        <v>6.32</v>
      </c>
      <c r="G89">
        <v>0.55000000000000004</v>
      </c>
      <c r="H89">
        <v>0.2</v>
      </c>
      <c r="I89">
        <v>0.08</v>
      </c>
      <c r="J89" t="s">
        <v>740</v>
      </c>
      <c r="K89">
        <v>2557</v>
      </c>
      <c r="L89">
        <v>2047</v>
      </c>
      <c r="M89">
        <v>1.2</v>
      </c>
      <c r="N89" s="5">
        <v>4.3800000000000003E-12</v>
      </c>
      <c r="O89" s="5">
        <v>9.2999999999999995E-14</v>
      </c>
      <c r="P89" s="5">
        <f>_xlfn.XLOOKUP(A89,'[2]LX COMPUTED'!A:A,'[2]LX COMPUTED'!T:T,"-",0)</f>
        <v>3.7767857856618483</v>
      </c>
      <c r="Q89" s="5">
        <f>_xlfn.XLOOKUP(A89,'[2]LX COMPUTED'!A:A,'[2]LX COMPUTED'!U:U,"-",0)</f>
        <v>7.9880205887173747E-2</v>
      </c>
      <c r="R89" s="5">
        <f>_xlfn.XLOOKUP(A89,'[2]LX COMPUTED'!A:A,'[2]LX COMPUTED'!V:V,"-",0)</f>
        <v>5.6696975569128085</v>
      </c>
      <c r="S89" s="5">
        <f>_xlfn.XLOOKUP(A89,'[2]LX COMPUTED'!A:A,'[2]LX COMPUTED'!W:W,"-",0)</f>
        <v>0.22216312529557991</v>
      </c>
      <c r="T89" s="5">
        <f>_xlfn.XLOOKUP(A89,'[2]LX COMPUTED'!A:A,'[2]LX COMPUTED'!AK:AK,"-",0)</f>
        <v>1.5495947795388205</v>
      </c>
      <c r="U89" s="5">
        <f>_xlfn.XLOOKUP(A89,'[2]LX COMPUTED'!A:A,'[2]LX COMPUTED'!AL:AL,"-",0)</f>
        <v>3.2774416410158914E-2</v>
      </c>
      <c r="V89" s="2">
        <f>_xlfn.XLOOKUP(A89,'[2]LX COMPUTED'!A:A,'[2]LX COMPUTED'!AE:AE,"-",0)</f>
        <v>0.46207744314689608</v>
      </c>
      <c r="W89" s="2">
        <f>_xlfn.XLOOKUP(A89,'[2]LX COMPUTED'!A:A,'[2]LX COMPUTED'!AF:AF,"-",0)</f>
        <v>7.3758678239741107E-3</v>
      </c>
    </row>
    <row r="90" spans="1:23" x14ac:dyDescent="0.2">
      <c r="A90" t="s">
        <v>237</v>
      </c>
      <c r="B90">
        <v>0.22600000000000001</v>
      </c>
      <c r="C90">
        <v>250.0829</v>
      </c>
      <c r="D90">
        <v>46.7119</v>
      </c>
      <c r="E90">
        <v>1547</v>
      </c>
      <c r="F90">
        <v>10.89</v>
      </c>
      <c r="G90">
        <v>0.8</v>
      </c>
      <c r="H90">
        <v>0.28000000000000003</v>
      </c>
      <c r="I90">
        <v>0.1</v>
      </c>
      <c r="J90" t="s">
        <v>740</v>
      </c>
      <c r="K90">
        <v>4872</v>
      </c>
      <c r="L90">
        <v>4097</v>
      </c>
      <c r="M90">
        <v>1.2</v>
      </c>
      <c r="N90" s="5">
        <v>9.1600000000000006E-12</v>
      </c>
      <c r="O90" s="5">
        <v>6.1000000000000005E-14</v>
      </c>
      <c r="P90" s="5">
        <f>_xlfn.XLOOKUP(A90,'[2]LX COMPUTED'!A:A,'[2]LX COMPUTED'!T:T,"-",0)</f>
        <v>12.878456025745827</v>
      </c>
      <c r="Q90" s="5">
        <f>_xlfn.XLOOKUP(A90,'[2]LX COMPUTED'!A:A,'[2]LX COMPUTED'!U:U,"-",0)</f>
        <v>8.650202855150628E-2</v>
      </c>
      <c r="R90" s="5">
        <f>_xlfn.XLOOKUP(A90,'[2]LX COMPUTED'!A:A,'[2]LX COMPUTED'!V:V,"-",0)</f>
        <v>23.542782470125413</v>
      </c>
      <c r="S90" s="5">
        <f>_xlfn.XLOOKUP(A90,'[2]LX COMPUTED'!A:A,'[2]LX COMPUTED'!W:W,"-",0)</f>
        <v>1.1352597060886971</v>
      </c>
      <c r="T90" s="5">
        <f>_xlfn.XLOOKUP(A90,'[2]LX COMPUTED'!A:A,'[2]LX COMPUTED'!AK:AK,"-",0)</f>
        <v>4.6183831493605378</v>
      </c>
      <c r="U90" s="5">
        <f>_xlfn.XLOOKUP(A90,'[2]LX COMPUTED'!A:A,'[2]LX COMPUTED'!AL:AL,"-",0)</f>
        <v>3.102076135905776E-2</v>
      </c>
      <c r="V90" s="2">
        <f>_xlfn.XLOOKUP(A90,'[2]LX COMPUTED'!A:A,'[2]LX COMPUTED'!AE:AE,"-",0)</f>
        <v>0.44319425860600897</v>
      </c>
      <c r="W90" s="2">
        <f>_xlfn.XLOOKUP(A90,'[2]LX COMPUTED'!A:A,'[2]LX COMPUTED'!AF:AF,"-",0)</f>
        <v>2.6548535498975637E-3</v>
      </c>
    </row>
    <row r="91" spans="1:23" x14ac:dyDescent="0.2">
      <c r="A91" t="s">
        <v>241</v>
      </c>
      <c r="B91">
        <v>8.2000000000000003E-2</v>
      </c>
      <c r="C91">
        <v>257.43810000000002</v>
      </c>
      <c r="D91">
        <v>34.455199999999998</v>
      </c>
      <c r="E91">
        <v>1089</v>
      </c>
      <c r="F91">
        <v>5.39</v>
      </c>
      <c r="G91">
        <v>0.39</v>
      </c>
      <c r="H91">
        <v>0.21</v>
      </c>
      <c r="I91">
        <v>0.11</v>
      </c>
      <c r="J91" t="s">
        <v>739</v>
      </c>
      <c r="K91">
        <v>1196</v>
      </c>
      <c r="L91">
        <v>1022</v>
      </c>
      <c r="M91">
        <v>1.2</v>
      </c>
      <c r="N91" s="5">
        <v>6.5199999999999997E-12</v>
      </c>
      <c r="O91" s="5">
        <v>2.6E-13</v>
      </c>
      <c r="P91" s="5">
        <f>_xlfn.XLOOKUP(A91,'[2]LX COMPUTED'!A:A,'[2]LX COMPUTED'!T:T,"-",0)</f>
        <v>1.1162379875315041</v>
      </c>
      <c r="Q91" s="5">
        <f>_xlfn.XLOOKUP(A91,'[2]LX COMPUTED'!A:A,'[2]LX COMPUTED'!U:U,"-",0)</f>
        <v>4.4821354166828441E-2</v>
      </c>
      <c r="R91" s="5">
        <f>_xlfn.XLOOKUP(A91,'[2]LX COMPUTED'!A:A,'[2]LX COMPUTED'!V:V,"-",0)</f>
        <v>1.6094513062245603</v>
      </c>
      <c r="S91" s="5">
        <f>_xlfn.XLOOKUP(A91,'[2]LX COMPUTED'!A:A,'[2]LX COMPUTED'!W:W,"-",0)</f>
        <v>7.4896216756617687E-2</v>
      </c>
      <c r="T91" s="5">
        <f>_xlfn.XLOOKUP(A91,'[2]LX COMPUTED'!A:A,'[2]LX COMPUTED'!AK:AK,"-",0)</f>
        <v>0.4807366391963</v>
      </c>
      <c r="U91" s="5">
        <f>_xlfn.XLOOKUP(A91,'[2]LX COMPUTED'!A:A,'[2]LX COMPUTED'!AL:AL,"-",0)</f>
        <v>1.9303470592358821E-2</v>
      </c>
      <c r="V91" s="2">
        <f>_xlfn.XLOOKUP(A91,'[2]LX COMPUTED'!A:A,'[2]LX COMPUTED'!AE:AE,"-",0)</f>
        <v>0.27188476998660116</v>
      </c>
      <c r="W91" s="2">
        <f>_xlfn.XLOOKUP(A91,'[2]LX COMPUTED'!A:A,'[2]LX COMPUTED'!AF:AF,"-",0)</f>
        <v>1.0940128258253492E-2</v>
      </c>
    </row>
    <row r="92" spans="1:23" x14ac:dyDescent="0.2">
      <c r="A92" t="s">
        <v>642</v>
      </c>
      <c r="B92">
        <v>8.1000000000000003E-2</v>
      </c>
      <c r="C92">
        <v>258.17250000000001</v>
      </c>
      <c r="D92">
        <v>64.072800000000001</v>
      </c>
      <c r="E92">
        <v>1181</v>
      </c>
      <c r="F92">
        <v>5.97</v>
      </c>
      <c r="G92">
        <v>0.37</v>
      </c>
      <c r="H92">
        <v>0.33</v>
      </c>
      <c r="I92">
        <v>0.12</v>
      </c>
      <c r="J92" t="s">
        <v>740</v>
      </c>
      <c r="K92">
        <v>1642</v>
      </c>
      <c r="L92">
        <v>1022</v>
      </c>
      <c r="M92">
        <v>1.6</v>
      </c>
      <c r="N92" s="5">
        <v>1.1000000000000001E-11</v>
      </c>
      <c r="O92" s="5">
        <v>1.7000000000000001E-13</v>
      </c>
      <c r="P92" s="5">
        <f>_xlfn.XLOOKUP(A92,'[2]LX COMPUTED'!A:A,'[2]LX COMPUTED'!T:T,"-",0)</f>
        <v>1.7998585999816019</v>
      </c>
      <c r="Q92" s="5">
        <f>_xlfn.XLOOKUP(A92,'[2]LX COMPUTED'!A:A,'[2]LX COMPUTED'!U:U,"-",0)</f>
        <v>2.6932012664403475E-2</v>
      </c>
      <c r="R92" s="5">
        <f>_xlfn.XLOOKUP(A92,'[2]LX COMPUTED'!A:A,'[2]LX COMPUTED'!V:V,"-",0)</f>
        <v>2.6512460605914372</v>
      </c>
      <c r="S92" s="5">
        <f>_xlfn.XLOOKUP(A92,'[2]LX COMPUTED'!A:A,'[2]LX COMPUTED'!W:W,"-",0)</f>
        <v>7.0885403780066733E-2</v>
      </c>
      <c r="T92" s="5">
        <f>_xlfn.XLOOKUP(A92,'[2]LX COMPUTED'!A:A,'[2]LX COMPUTED'!AK:AK,"-",0)</f>
        <v>0.74081150207504942</v>
      </c>
      <c r="U92" s="5">
        <f>_xlfn.XLOOKUP(A92,'[2]LX COMPUTED'!A:A,'[2]LX COMPUTED'!AL:AL,"-",0)</f>
        <v>1.1085062324354222E-2</v>
      </c>
      <c r="V92" s="2">
        <f>_xlfn.XLOOKUP(A92,'[2]LX COMPUTED'!A:A,'[2]LX COMPUTED'!AE:AE,"-",0)</f>
        <v>0.21851773200254831</v>
      </c>
      <c r="W92" s="2">
        <f>_xlfn.XLOOKUP(A92,'[2]LX COMPUTED'!A:A,'[2]LX COMPUTED'!AF:AF,"-",0)</f>
        <v>4.6097191033248582E-3</v>
      </c>
    </row>
    <row r="93" spans="1:23" x14ac:dyDescent="0.2">
      <c r="A93" t="s">
        <v>644</v>
      </c>
      <c r="B93">
        <v>0.16400000000000001</v>
      </c>
      <c r="C93">
        <v>260.0317</v>
      </c>
      <c r="D93">
        <v>27.670500000000001</v>
      </c>
      <c r="E93">
        <v>1156</v>
      </c>
      <c r="F93">
        <v>5.88</v>
      </c>
      <c r="G93">
        <v>0.6</v>
      </c>
      <c r="H93">
        <v>0.41</v>
      </c>
      <c r="I93">
        <v>0.14000000000000001</v>
      </c>
      <c r="J93" t="s">
        <v>739</v>
      </c>
      <c r="K93">
        <v>1239</v>
      </c>
      <c r="L93">
        <v>1022</v>
      </c>
      <c r="M93">
        <v>1.2</v>
      </c>
      <c r="N93" s="5">
        <v>3.7600000000000001E-12</v>
      </c>
      <c r="O93" s="5">
        <v>1.7000000000000001E-13</v>
      </c>
      <c r="P93" s="5">
        <f>_xlfn.XLOOKUP(A93,'[2]LX COMPUTED'!A:A,'[2]LX COMPUTED'!T:T,"-",0)</f>
        <v>2.7790359397662887</v>
      </c>
      <c r="Q93" s="5">
        <f>_xlfn.XLOOKUP(A93,'[2]LX COMPUTED'!A:A,'[2]LX COMPUTED'!U:U,"-",0)</f>
        <v>0.12684410399831328</v>
      </c>
      <c r="R93" s="5">
        <f>_xlfn.XLOOKUP(A93,'[2]LX COMPUTED'!A:A,'[2]LX COMPUTED'!V:V,"-",0)</f>
        <v>4.0731779497483238</v>
      </c>
      <c r="S93" s="5">
        <f>_xlfn.XLOOKUP(A93,'[2]LX COMPUTED'!A:A,'[2]LX COMPUTED'!W:W,"-",0)</f>
        <v>0.23678102193227574</v>
      </c>
      <c r="T93" s="5">
        <f>_xlfn.XLOOKUP(A93,'[2]LX COMPUTED'!A:A,'[2]LX COMPUTED'!AK:AK,"-",0)</f>
        <v>1.1422763494834491</v>
      </c>
      <c r="U93" s="5">
        <f>_xlfn.XLOOKUP(A93,'[2]LX COMPUTED'!A:A,'[2]LX COMPUTED'!AL:AL,"-",0)</f>
        <v>5.213715231076764E-2</v>
      </c>
      <c r="V93" s="2">
        <f>_xlfn.XLOOKUP(A93,'[2]LX COMPUTED'!A:A,'[2]LX COMPUTED'!AE:AE,"-",0)</f>
        <v>0.48366282262493132</v>
      </c>
      <c r="W93" s="2">
        <f>_xlfn.XLOOKUP(A93,'[2]LX COMPUTED'!A:A,'[2]LX COMPUTED'!AF:AF,"-",0)</f>
        <v>1.5285471845614485E-2</v>
      </c>
    </row>
    <row r="94" spans="1:23" x14ac:dyDescent="0.2">
      <c r="A94" t="s">
        <v>244</v>
      </c>
      <c r="B94">
        <v>0.224</v>
      </c>
      <c r="C94">
        <v>260.61329999999998</v>
      </c>
      <c r="D94">
        <v>32.132800000000003</v>
      </c>
      <c r="E94">
        <v>1341</v>
      </c>
      <c r="F94">
        <v>8.1999999999999993</v>
      </c>
      <c r="G94">
        <v>0.66</v>
      </c>
      <c r="H94">
        <v>0.32</v>
      </c>
      <c r="I94">
        <v>0.08</v>
      </c>
      <c r="J94" t="s">
        <v>739</v>
      </c>
      <c r="K94">
        <v>1209</v>
      </c>
      <c r="L94">
        <v>1022</v>
      </c>
      <c r="M94">
        <v>1.2</v>
      </c>
      <c r="N94" s="5">
        <v>4.2200000000000002E-12</v>
      </c>
      <c r="O94" s="5">
        <v>1E-13</v>
      </c>
      <c r="P94" s="5">
        <f>_xlfn.XLOOKUP(A94,'[2]LX COMPUTED'!A:A,'[2]LX COMPUTED'!T:T,"-",0)</f>
        <v>6.0592867891167135</v>
      </c>
      <c r="Q94" s="5">
        <f>_xlfn.XLOOKUP(A94,'[2]LX COMPUTED'!A:A,'[2]LX COMPUTED'!U:U,"-",0)</f>
        <v>0.14306555280731689</v>
      </c>
      <c r="R94" s="5">
        <f>_xlfn.XLOOKUP(A94,'[2]LX COMPUTED'!A:A,'[2]LX COMPUTED'!V:V,"-",0)</f>
        <v>9.8895017382910417</v>
      </c>
      <c r="S94" s="5">
        <f>_xlfn.XLOOKUP(A94,'[2]LX COMPUTED'!A:A,'[2]LX COMPUTED'!W:W,"-",0)</f>
        <v>0.45646160986696749</v>
      </c>
      <c r="T94" s="5">
        <f>_xlfn.XLOOKUP(A94,'[2]LX COMPUTED'!A:A,'[2]LX COMPUTED'!AK:AK,"-",0)</f>
        <v>2.2993738164895325</v>
      </c>
      <c r="U94" s="5">
        <f>_xlfn.XLOOKUP(A94,'[2]LX COMPUTED'!A:A,'[2]LX COMPUTED'!AL:AL,"-",0)</f>
        <v>5.4290413643665644E-2</v>
      </c>
      <c r="V94" s="2">
        <f>_xlfn.XLOOKUP(A94,'[2]LX COMPUTED'!A:A,'[2]LX COMPUTED'!AE:AE,"-",0)</f>
        <v>0.62559829817408263</v>
      </c>
      <c r="W94" s="2">
        <f>_xlfn.XLOOKUP(A94,'[2]LX COMPUTED'!A:A,'[2]LX COMPUTED'!AF:AF,"-",0)</f>
        <v>6.9521864762325395E-3</v>
      </c>
    </row>
    <row r="95" spans="1:23" x14ac:dyDescent="0.2">
      <c r="A95" t="s">
        <v>647</v>
      </c>
      <c r="B95">
        <v>0.16900000000000001</v>
      </c>
      <c r="C95">
        <v>261.04950000000002</v>
      </c>
      <c r="D95">
        <v>85.886300000000006</v>
      </c>
      <c r="E95">
        <v>1269</v>
      </c>
      <c r="F95">
        <v>7.2</v>
      </c>
      <c r="G95">
        <v>0.76</v>
      </c>
      <c r="H95">
        <v>0.33</v>
      </c>
      <c r="I95">
        <v>0.12</v>
      </c>
      <c r="J95" t="s">
        <v>739</v>
      </c>
      <c r="K95">
        <v>1368</v>
      </c>
      <c r="L95">
        <v>1022</v>
      </c>
      <c r="M95">
        <v>1.3</v>
      </c>
      <c r="N95" s="5">
        <v>5.0900000000000003E-12</v>
      </c>
      <c r="O95" s="5">
        <v>2.0999999999999999E-13</v>
      </c>
      <c r="P95" s="5">
        <f>_xlfn.XLOOKUP(A95,'[2]LX COMPUTED'!A:A,'[2]LX COMPUTED'!T:T,"-",0)</f>
        <v>4.2528619026326817</v>
      </c>
      <c r="Q95" s="5">
        <f>_xlfn.XLOOKUP(A95,'[2]LX COMPUTED'!A:A,'[2]LX COMPUTED'!U:U,"-",0)</f>
        <v>0.17682037763478525</v>
      </c>
      <c r="R95" s="5">
        <f>_xlfn.XLOOKUP(A95,'[2]LX COMPUTED'!A:A,'[2]LX COMPUTED'!V:V,"-",0)</f>
        <v>6.6336342650963651</v>
      </c>
      <c r="S95" s="5">
        <f>_xlfn.XLOOKUP(A95,'[2]LX COMPUTED'!A:A,'[2]LX COMPUTED'!W:W,"-",0)</f>
        <v>0.40935436711325135</v>
      </c>
      <c r="T95" s="5">
        <f>_xlfn.XLOOKUP(A95,'[2]LX COMPUTED'!A:A,'[2]LX COMPUTED'!AK:AK,"-",0)</f>
        <v>1.6640530831020237</v>
      </c>
      <c r="U95" s="5">
        <f>_xlfn.XLOOKUP(A95,'[2]LX COMPUTED'!A:A,'[2]LX COMPUTED'!AL:AL,"-",0)</f>
        <v>6.9185997875050628E-2</v>
      </c>
      <c r="V95" s="2">
        <f>_xlfn.XLOOKUP(A95,'[2]LX COMPUTED'!A:A,'[2]LX COMPUTED'!AE:AE,"-",0)</f>
        <v>0.46589000839630557</v>
      </c>
      <c r="W95" s="2">
        <f>_xlfn.XLOOKUP(A95,'[2]LX COMPUTED'!A:A,'[2]LX COMPUTED'!AF:AF,"-",0)</f>
        <v>1.4436889829561594E-2</v>
      </c>
    </row>
    <row r="96" spans="1:23" x14ac:dyDescent="0.2">
      <c r="A96" t="s">
        <v>652</v>
      </c>
      <c r="B96">
        <v>0.17899999999999999</v>
      </c>
      <c r="C96">
        <v>274.99180000000001</v>
      </c>
      <c r="D96">
        <v>57.156100000000002</v>
      </c>
      <c r="E96">
        <v>984</v>
      </c>
      <c r="F96">
        <v>4.91</v>
      </c>
      <c r="G96">
        <v>0.46</v>
      </c>
      <c r="H96">
        <v>0.19</v>
      </c>
      <c r="I96">
        <v>0.1</v>
      </c>
      <c r="J96" t="s">
        <v>739</v>
      </c>
      <c r="K96">
        <v>2331</v>
      </c>
      <c r="L96">
        <v>2047</v>
      </c>
      <c r="M96">
        <v>1.1000000000000001</v>
      </c>
      <c r="N96" s="5">
        <v>1.23E-12</v>
      </c>
      <c r="O96" s="5">
        <v>5.9999999999999997E-14</v>
      </c>
      <c r="P96" s="5">
        <f>_xlfn.XLOOKUP(A96,'[2]LX COMPUTED'!A:A,'[2]LX COMPUTED'!T:T,"-",0)</f>
        <v>1.179986046782223</v>
      </c>
      <c r="Q96" s="5">
        <f>_xlfn.XLOOKUP(A96,'[2]LX COMPUTED'!A:A,'[2]LX COMPUTED'!U:U,"-",0)</f>
        <v>5.7798118938195107E-2</v>
      </c>
      <c r="R96" s="5">
        <f>_xlfn.XLOOKUP(A96,'[2]LX COMPUTED'!A:A,'[2]LX COMPUTED'!V:V,"-",0)</f>
        <v>1.6674060360644525</v>
      </c>
      <c r="S96" s="5">
        <f>_xlfn.XLOOKUP(A96,'[2]LX COMPUTED'!A:A,'[2]LX COMPUTED'!W:W,"-",0)</f>
        <v>9.3746185724069245E-2</v>
      </c>
      <c r="T96" s="5">
        <f>_xlfn.XLOOKUP(A96,'[2]LX COMPUTED'!A:A,'[2]LX COMPUTED'!AK:AK,"-",0)</f>
        <v>0.52433170482631819</v>
      </c>
      <c r="U96" s="5">
        <f>_xlfn.XLOOKUP(A96,'[2]LX COMPUTED'!A:A,'[2]LX COMPUTED'!AL:AL,"-",0)</f>
        <v>2.5682834404067559E-2</v>
      </c>
      <c r="V96" s="2">
        <f>_xlfn.XLOOKUP(A96,'[2]LX COMPUTED'!A:A,'[2]LX COMPUTED'!AE:AE,"-",0)</f>
        <v>0.25856547223397186</v>
      </c>
      <c r="W96" s="2">
        <f>_xlfn.XLOOKUP(A96,'[2]LX COMPUTED'!A:A,'[2]LX COMPUTED'!AF:AF,"-",0)</f>
        <v>2.0531109238388173E-2</v>
      </c>
    </row>
    <row r="97" spans="1:23" x14ac:dyDescent="0.2">
      <c r="A97" t="s">
        <v>658</v>
      </c>
      <c r="B97">
        <v>5.6000000000000001E-2</v>
      </c>
      <c r="C97">
        <v>290.29450000000003</v>
      </c>
      <c r="D97">
        <v>43.951599999999999</v>
      </c>
      <c r="E97">
        <v>1548</v>
      </c>
      <c r="F97">
        <v>8.58</v>
      </c>
      <c r="G97">
        <v>1.52</v>
      </c>
      <c r="H97">
        <v>0.32</v>
      </c>
      <c r="I97">
        <v>0.14000000000000001</v>
      </c>
      <c r="J97" t="s">
        <v>740</v>
      </c>
      <c r="K97">
        <v>3293</v>
      </c>
      <c r="L97">
        <v>1022</v>
      </c>
      <c r="M97">
        <v>3.2</v>
      </c>
      <c r="N97" s="5">
        <v>6.9799999999999994E-11</v>
      </c>
      <c r="O97" s="5">
        <v>5.9000000000000001E-13</v>
      </c>
      <c r="P97" s="5">
        <f>_xlfn.XLOOKUP(A97,'[2]LX COMPUTED'!A:A,'[2]LX COMPUTED'!T:T,"-",0)</f>
        <v>5.5236728243294335</v>
      </c>
      <c r="Q97" s="5">
        <f>_xlfn.XLOOKUP(A97,'[2]LX COMPUTED'!A:A,'[2]LX COMPUTED'!U:U,"-",0)</f>
        <v>4.6321373042263046E-2</v>
      </c>
      <c r="R97" s="5">
        <f>_xlfn.XLOOKUP(A97,'[2]LX COMPUTED'!A:A,'[2]LX COMPUTED'!V:V,"-",0)</f>
        <v>9.1696229309201982</v>
      </c>
      <c r="S97" s="5">
        <f>_xlfn.XLOOKUP(A97,'[2]LX COMPUTED'!A:A,'[2]LX COMPUTED'!W:W,"-",0)</f>
        <v>0.837462079850119</v>
      </c>
      <c r="T97" s="5">
        <f>_xlfn.XLOOKUP(A97,'[2]LX COMPUTED'!A:A,'[2]LX COMPUTED'!AK:AK,"-",0)</f>
        <v>2.075038360749045</v>
      </c>
      <c r="U97" s="5">
        <f>_xlfn.XLOOKUP(A97,'[2]LX COMPUTED'!A:A,'[2]LX COMPUTED'!AL:AL,"-",0)</f>
        <v>1.7401216372175555E-2</v>
      </c>
      <c r="V97" s="2">
        <f>_xlfn.XLOOKUP(A97,'[2]LX COMPUTED'!A:A,'[2]LX COMPUTED'!AE:AE,"-",0)</f>
        <v>0.42640052571053061</v>
      </c>
      <c r="W97" s="2">
        <f>_xlfn.XLOOKUP(A97,'[2]LX COMPUTED'!A:A,'[2]LX COMPUTED'!AF:AF,"-",0)</f>
        <v>3.1400308000873703E-3</v>
      </c>
    </row>
    <row r="98" spans="1:23" x14ac:dyDescent="0.2">
      <c r="A98" t="s">
        <v>264</v>
      </c>
      <c r="B98">
        <v>0.17649999999999999</v>
      </c>
      <c r="C98">
        <v>321.78969999999998</v>
      </c>
      <c r="D98">
        <v>-12.174799999999999</v>
      </c>
      <c r="E98">
        <v>1117</v>
      </c>
      <c r="F98">
        <v>6.23</v>
      </c>
      <c r="G98">
        <v>0.75</v>
      </c>
      <c r="H98">
        <v>0.32</v>
      </c>
      <c r="I98">
        <v>0.16</v>
      </c>
      <c r="J98" t="s">
        <v>739</v>
      </c>
      <c r="K98">
        <v>1122</v>
      </c>
      <c r="L98">
        <v>1022</v>
      </c>
      <c r="M98">
        <v>1.1000000000000001</v>
      </c>
      <c r="N98" s="5">
        <v>2.0600000000000001E-12</v>
      </c>
      <c r="O98" s="5">
        <v>9.5999999999999995E-14</v>
      </c>
      <c r="P98" s="5">
        <f>_xlfn.XLOOKUP(A98,'[2]LX COMPUTED'!A:A,'[2]LX COMPUTED'!T:T,"-",0)</f>
        <v>1.8054579860008437</v>
      </c>
      <c r="Q98" s="5">
        <f>_xlfn.XLOOKUP(A98,'[2]LX COMPUTED'!A:A,'[2]LX COMPUTED'!U:U,"-",0)</f>
        <v>8.3880095876448763E-2</v>
      </c>
      <c r="R98" s="5">
        <f>_xlfn.XLOOKUP(A98,'[2]LX COMPUTED'!A:A,'[2]LX COMPUTED'!V:V,"-",0)</f>
        <v>2.6937874545848852</v>
      </c>
      <c r="S98" s="5">
        <f>_xlfn.XLOOKUP(A98,'[2]LX COMPUTED'!A:A,'[2]LX COMPUTED'!W:W,"-",0)</f>
        <v>0.17468360950224582</v>
      </c>
      <c r="T98" s="5">
        <f>_xlfn.XLOOKUP(A98,'[2]LX COMPUTED'!A:A,'[2]LX COMPUTED'!AK:AK,"-",0)</f>
        <v>0.7358171397615042</v>
      </c>
      <c r="U98" s="5">
        <f>_xlfn.XLOOKUP(A98,'[2]LX COMPUTED'!A:A,'[2]LX COMPUTED'!AL:AL,"-",0)</f>
        <v>3.4185460259555676E-2</v>
      </c>
      <c r="V98" s="2">
        <f>_xlfn.XLOOKUP(A98,'[2]LX COMPUTED'!A:A,'[2]LX COMPUTED'!AE:AE,"-",0)</f>
        <v>0.25725617450874344</v>
      </c>
      <c r="W98" s="2">
        <f>_xlfn.XLOOKUP(A98,'[2]LX COMPUTED'!A:A,'[2]LX COMPUTED'!AF:AF,"-",0)</f>
        <v>1.4617047837692274E-2</v>
      </c>
    </row>
    <row r="99" spans="1:23" x14ac:dyDescent="0.2">
      <c r="A99" t="s">
        <v>269</v>
      </c>
      <c r="B99">
        <v>9.4E-2</v>
      </c>
      <c r="C99">
        <v>328.08879999999999</v>
      </c>
      <c r="D99">
        <v>-19.5474</v>
      </c>
      <c r="E99">
        <v>1160</v>
      </c>
      <c r="F99">
        <v>5.52</v>
      </c>
      <c r="G99">
        <v>0.84</v>
      </c>
      <c r="H99">
        <v>0.43</v>
      </c>
      <c r="I99">
        <v>0.18</v>
      </c>
      <c r="J99" t="s">
        <v>740</v>
      </c>
      <c r="K99">
        <v>1824</v>
      </c>
      <c r="L99">
        <v>1022</v>
      </c>
      <c r="M99">
        <v>1.8</v>
      </c>
      <c r="N99" s="5">
        <v>3.9899999999999998E-12</v>
      </c>
      <c r="O99" s="5">
        <v>8.2000000000000004E-14</v>
      </c>
      <c r="P99" s="5">
        <f>_xlfn.XLOOKUP(A99,'[2]LX COMPUTED'!A:A,'[2]LX COMPUTED'!T:T,"-",0)</f>
        <v>0.88640578206223208</v>
      </c>
      <c r="Q99" s="5">
        <f>_xlfn.XLOOKUP(A99,'[2]LX COMPUTED'!A:A,'[2]LX COMPUTED'!U:U,"-",0)</f>
        <v>1.8282119255033532E-2</v>
      </c>
      <c r="R99" s="5">
        <f>_xlfn.XLOOKUP(A99,'[2]LX COMPUTED'!A:A,'[2]LX COMPUTED'!V:V,"-",0)</f>
        <v>1.279495624654851</v>
      </c>
      <c r="S99" s="5">
        <f>_xlfn.XLOOKUP(A99,'[2]LX COMPUTED'!A:A,'[2]LX COMPUTED'!W:W,"-",0)</f>
        <v>6.9540835796278247E-2</v>
      </c>
      <c r="T99" s="5">
        <f>_xlfn.XLOOKUP(A99,'[2]LX COMPUTED'!A:A,'[2]LX COMPUTED'!AK:AK,"-",0)</f>
        <v>0.37197719906461674</v>
      </c>
      <c r="U99" s="5">
        <f>_xlfn.XLOOKUP(A99,'[2]LX COMPUTED'!A:A,'[2]LX COMPUTED'!AL:AL,"-",0)</f>
        <v>7.6720297307077178E-3</v>
      </c>
      <c r="V99" s="2">
        <f>_xlfn.XLOOKUP(A99,'[2]LX COMPUTED'!A:A,'[2]LX COMPUTED'!AE:AE,"-",0)</f>
        <v>0.5674358141046475</v>
      </c>
      <c r="W99" s="2">
        <f>_xlfn.XLOOKUP(A99,'[2]LX COMPUTED'!A:A,'[2]LX COMPUTED'!AF:AF,"-",0)</f>
        <v>7.4589961626914617E-3</v>
      </c>
    </row>
    <row r="100" spans="1:23" x14ac:dyDescent="0.2">
      <c r="A100" t="s">
        <v>682</v>
      </c>
      <c r="B100">
        <v>0.22800000000000001</v>
      </c>
      <c r="C100">
        <v>328.40320000000003</v>
      </c>
      <c r="D100">
        <v>17.695399999999999</v>
      </c>
      <c r="E100">
        <v>1484</v>
      </c>
      <c r="F100">
        <v>9.99</v>
      </c>
      <c r="G100">
        <v>1.39</v>
      </c>
      <c r="H100">
        <v>0.28999999999999998</v>
      </c>
      <c r="I100">
        <v>0.1</v>
      </c>
      <c r="J100" t="s">
        <v>740</v>
      </c>
      <c r="K100">
        <v>1074</v>
      </c>
      <c r="L100">
        <v>1022</v>
      </c>
      <c r="M100">
        <v>1.1000000000000001</v>
      </c>
      <c r="N100" s="5">
        <v>8.1799999999999995E-12</v>
      </c>
      <c r="O100" s="5">
        <v>5.9000000000000001E-14</v>
      </c>
      <c r="P100" s="5">
        <f>_xlfn.XLOOKUP(A100,'[2]LX COMPUTED'!A:A,'[2]LX COMPUTED'!T:T,"-",0)</f>
        <v>12.503872004390635</v>
      </c>
      <c r="Q100" s="5">
        <f>_xlfn.XLOOKUP(A100,'[2]LX COMPUTED'!A:A,'[2]LX COMPUTED'!U:U,"-",0)</f>
        <v>9.057277701674632E-2</v>
      </c>
      <c r="R100" s="5">
        <f>_xlfn.XLOOKUP(A100,'[2]LX COMPUTED'!A:A,'[2]LX COMPUTED'!V:V,"-",0)</f>
        <v>22.039979010182844</v>
      </c>
      <c r="S100" s="5">
        <f>_xlfn.XLOOKUP(A100,'[2]LX COMPUTED'!A:A,'[2]LX COMPUTED'!W:W,"-",0)</f>
        <v>1.8400991465479912</v>
      </c>
      <c r="T100" s="5">
        <f>_xlfn.XLOOKUP(A100,'[2]LX COMPUTED'!A:A,'[2]LX COMPUTED'!AK:AK,"-",0)</f>
        <v>4.552220991947272</v>
      </c>
      <c r="U100" s="5">
        <f>_xlfn.XLOOKUP(A100,'[2]LX COMPUTED'!A:A,'[2]LX COMPUTED'!AL:AL,"-",0)</f>
        <v>3.2974369594459506E-2</v>
      </c>
      <c r="V100" s="2">
        <f>_xlfn.XLOOKUP(A100,'[2]LX COMPUTED'!A:A,'[2]LX COMPUTED'!AE:AE,"-",0)</f>
        <v>0.55597784775762837</v>
      </c>
      <c r="W100" s="2">
        <f>_xlfn.XLOOKUP(A100,'[2]LX COMPUTED'!A:A,'[2]LX COMPUTED'!AF:AF,"-",0)</f>
        <v>2.3689054435104551E-3</v>
      </c>
    </row>
    <row r="101" spans="1:23" x14ac:dyDescent="0.2">
      <c r="A101" t="s">
        <v>271</v>
      </c>
      <c r="B101">
        <v>0.14799999999999999</v>
      </c>
      <c r="C101">
        <v>330.21839999999997</v>
      </c>
      <c r="D101">
        <v>20.968699999999998</v>
      </c>
      <c r="E101">
        <v>1128</v>
      </c>
      <c r="F101">
        <v>5.73</v>
      </c>
      <c r="G101">
        <v>0.4</v>
      </c>
      <c r="H101">
        <v>0.35</v>
      </c>
      <c r="I101">
        <v>0.09</v>
      </c>
      <c r="J101" t="s">
        <v>739</v>
      </c>
      <c r="K101">
        <v>1267</v>
      </c>
      <c r="L101">
        <v>1022</v>
      </c>
      <c r="M101">
        <v>1.2</v>
      </c>
      <c r="N101" s="5">
        <v>6.2699999999999997E-12</v>
      </c>
      <c r="O101" s="5">
        <v>2.2E-13</v>
      </c>
      <c r="P101" s="5">
        <f>_xlfn.XLOOKUP(A101,'[2]LX COMPUTED'!A:A,'[2]LX COMPUTED'!T:T,"-",0)</f>
        <v>3.9095313582125115</v>
      </c>
      <c r="Q101" s="5">
        <f>_xlfn.XLOOKUP(A101,'[2]LX COMPUTED'!A:A,'[2]LX COMPUTED'!U:U,"-",0)</f>
        <v>0.13918552900151579</v>
      </c>
      <c r="R101" s="5">
        <f>_xlfn.XLOOKUP(A101,'[2]LX COMPUTED'!A:A,'[2]LX COMPUTED'!V:V,"-",0)</f>
        <v>5.7009587505169783</v>
      </c>
      <c r="S101" s="5">
        <f>_xlfn.XLOOKUP(A101,'[2]LX COMPUTED'!A:A,'[2]LX COMPUTED'!W:W,"-",0)</f>
        <v>0.2443928304888438</v>
      </c>
      <c r="T101" s="5">
        <f>_xlfn.XLOOKUP(A101,'[2]LX COMPUTED'!A:A,'[2]LX COMPUTED'!AK:AK,"-",0)</f>
        <v>1.6298491629036713</v>
      </c>
      <c r="U101" s="5">
        <f>_xlfn.XLOOKUP(A101,'[2]LX COMPUTED'!A:A,'[2]LX COMPUTED'!AL:AL,"-",0)</f>
        <v>5.8025220198040461E-2</v>
      </c>
      <c r="V101" s="2">
        <f>_xlfn.XLOOKUP(A101,'[2]LX COMPUTED'!A:A,'[2]LX COMPUTED'!AE:AE,"-",0)</f>
        <v>0.46676300578034685</v>
      </c>
      <c r="W101" s="2">
        <f>_xlfn.XLOOKUP(A101,'[2]LX COMPUTED'!A:A,'[2]LX COMPUTED'!AF:AF,"-",0)</f>
        <v>1.2171049215345063E-2</v>
      </c>
    </row>
    <row r="102" spans="1:23" x14ac:dyDescent="0.2">
      <c r="A102" t="s">
        <v>272</v>
      </c>
      <c r="B102">
        <v>5.8000000000000003E-2</v>
      </c>
      <c r="C102">
        <v>331.41050000000001</v>
      </c>
      <c r="D102">
        <v>-5.5925000000000002</v>
      </c>
      <c r="E102">
        <v>776</v>
      </c>
      <c r="F102">
        <v>2.85</v>
      </c>
      <c r="G102">
        <v>0.18</v>
      </c>
      <c r="H102">
        <v>0.41</v>
      </c>
      <c r="I102">
        <v>0.1</v>
      </c>
      <c r="J102" t="s">
        <v>740</v>
      </c>
      <c r="K102">
        <v>1234</v>
      </c>
      <c r="L102">
        <v>1022</v>
      </c>
      <c r="M102">
        <v>1.2</v>
      </c>
      <c r="N102" s="5">
        <v>4.1100000000000001E-12</v>
      </c>
      <c r="O102" s="5">
        <v>2.0000000000000001E-13</v>
      </c>
      <c r="P102" s="5">
        <f>_xlfn.XLOOKUP(A102,'[2]LX COMPUTED'!A:A,'[2]LX COMPUTED'!T:T,"-",0)</f>
        <v>0.35622951842327177</v>
      </c>
      <c r="Q102" s="5">
        <f>_xlfn.XLOOKUP(A102,'[2]LX COMPUTED'!A:A,'[2]LX COMPUTED'!U:U,"-",0)</f>
        <v>1.7097184299398226E-2</v>
      </c>
      <c r="R102" s="5">
        <f>_xlfn.XLOOKUP(A102,'[2]LX COMPUTED'!A:A,'[2]LX COMPUTED'!V:V,"-",0)</f>
        <v>0.47194425372530346</v>
      </c>
      <c r="S102" s="5">
        <f>_xlfn.XLOOKUP(A102,'[2]LX COMPUTED'!A:A,'[2]LX COMPUTED'!W:W,"-",0)</f>
        <v>2.3190289718691168E-2</v>
      </c>
      <c r="T102" s="5">
        <f>_xlfn.XLOOKUP(A102,'[2]LX COMPUTED'!A:A,'[2]LX COMPUTED'!AK:AK,"-",0)</f>
        <v>0.19367011506894144</v>
      </c>
      <c r="U102" s="5">
        <f>_xlfn.XLOOKUP(A102,'[2]LX COMPUTED'!A:A,'[2]LX COMPUTED'!AL:AL,"-",0)</f>
        <v>9.2951692079738628E-3</v>
      </c>
      <c r="V102" s="2">
        <f>_xlfn.XLOOKUP(A102,'[2]LX COMPUTED'!A:A,'[2]LX COMPUTED'!AE:AE,"-",0)</f>
        <v>0.53277942180742088</v>
      </c>
      <c r="W102" s="2">
        <f>_xlfn.XLOOKUP(A102,'[2]LX COMPUTED'!A:A,'[2]LX COMPUTED'!AF:AF,"-",0)</f>
        <v>2.0122994511619707E-2</v>
      </c>
    </row>
    <row r="103" spans="1:23" x14ac:dyDescent="0.2">
      <c r="A103" t="s">
        <v>686</v>
      </c>
      <c r="B103">
        <v>9.8000000000000004E-2</v>
      </c>
      <c r="C103">
        <v>333.63470000000001</v>
      </c>
      <c r="D103">
        <v>-10.3705</v>
      </c>
      <c r="E103">
        <v>1167</v>
      </c>
      <c r="F103">
        <v>6</v>
      </c>
      <c r="G103">
        <v>0.47</v>
      </c>
      <c r="H103">
        <v>0.22</v>
      </c>
      <c r="I103">
        <v>0.11</v>
      </c>
      <c r="J103" t="s">
        <v>739</v>
      </c>
      <c r="K103">
        <v>1287</v>
      </c>
      <c r="L103">
        <v>1022</v>
      </c>
      <c r="M103">
        <v>1.3</v>
      </c>
      <c r="N103" s="5">
        <v>5.8500000000000003E-12</v>
      </c>
      <c r="O103" s="5">
        <v>1.9E-13</v>
      </c>
      <c r="P103" s="5">
        <f>_xlfn.XLOOKUP(A103,'[2]LX COMPUTED'!A:A,'[2]LX COMPUTED'!T:T,"-",0)</f>
        <v>1.4603239159663994</v>
      </c>
      <c r="Q103" s="5">
        <f>_xlfn.XLOOKUP(A103,'[2]LX COMPUTED'!A:A,'[2]LX COMPUTED'!U:U,"-",0)</f>
        <v>4.6244908416283002E-2</v>
      </c>
      <c r="R103" s="5">
        <f>_xlfn.XLOOKUP(A103,'[2]LX COMPUTED'!A:A,'[2]LX COMPUTED'!V:V,"-",0)</f>
        <v>2.1581283696701212</v>
      </c>
      <c r="S103" s="5">
        <f>_xlfn.XLOOKUP(A103,'[2]LX COMPUTED'!A:A,'[2]LX COMPUTED'!W:W,"-",0)</f>
        <v>9.1254776489229097E-2</v>
      </c>
      <c r="T103" s="5">
        <f>_xlfn.XLOOKUP(A103,'[2]LX COMPUTED'!A:A,'[2]LX COMPUTED'!AK:AK,"-",0)</f>
        <v>0.60608395727423947</v>
      </c>
      <c r="U103" s="5">
        <f>_xlfn.XLOOKUP(A103,'[2]LX COMPUTED'!A:A,'[2]LX COMPUTED'!AL:AL,"-",0)</f>
        <v>1.9193205555479299E-2</v>
      </c>
      <c r="V103" s="2">
        <f>_xlfn.XLOOKUP(A103,'[2]LX COMPUTED'!A:A,'[2]LX COMPUTED'!AE:AE,"-",0)</f>
        <v>0.50562082664187302</v>
      </c>
      <c r="W103" s="2">
        <f>_xlfn.XLOOKUP(A103,'[2]LX COMPUTED'!A:A,'[2]LX COMPUTED'!AF:AF,"-",0)</f>
        <v>1.2287973206555959E-2</v>
      </c>
    </row>
    <row r="104" spans="1:23" x14ac:dyDescent="0.2">
      <c r="A104" t="s">
        <v>276</v>
      </c>
      <c r="B104">
        <v>0.108</v>
      </c>
      <c r="C104">
        <v>336.52589999999998</v>
      </c>
      <c r="D104">
        <v>17.366199999999999</v>
      </c>
      <c r="E104">
        <v>1124</v>
      </c>
      <c r="F104">
        <v>5.34</v>
      </c>
      <c r="G104">
        <v>0.38</v>
      </c>
      <c r="H104">
        <v>0.14000000000000001</v>
      </c>
      <c r="I104">
        <v>0.08</v>
      </c>
      <c r="J104" t="s">
        <v>739</v>
      </c>
      <c r="K104">
        <v>1509</v>
      </c>
      <c r="L104">
        <v>1022</v>
      </c>
      <c r="M104">
        <v>1.5</v>
      </c>
      <c r="N104" s="5">
        <v>5.02E-12</v>
      </c>
      <c r="O104" s="5">
        <v>1.6E-13</v>
      </c>
      <c r="P104" s="5">
        <f>_xlfn.XLOOKUP(A104,'[2]LX COMPUTED'!A:A,'[2]LX COMPUTED'!T:T,"-",0)</f>
        <v>1.5597709450345949</v>
      </c>
      <c r="Q104" s="5">
        <f>_xlfn.XLOOKUP(A104,'[2]LX COMPUTED'!A:A,'[2]LX COMPUTED'!U:U,"-",0)</f>
        <v>4.9330460657588442E-2</v>
      </c>
      <c r="R104" s="5">
        <f>_xlfn.XLOOKUP(A104,'[2]LX COMPUTED'!A:A,'[2]LX COMPUTED'!V:V,"-",0)</f>
        <v>2.2477939334697079</v>
      </c>
      <c r="S104" s="5">
        <f>_xlfn.XLOOKUP(A104,'[2]LX COMPUTED'!A:A,'[2]LX COMPUTED'!W:W,"-",0)</f>
        <v>8.7323363210643462E-2</v>
      </c>
      <c r="T104" s="5">
        <f>_xlfn.XLOOKUP(A104,'[2]LX COMPUTED'!A:A,'[2]LX COMPUTED'!AK:AK,"-",0)</f>
        <v>0.67788123639650666</v>
      </c>
      <c r="U104" s="5">
        <f>_xlfn.XLOOKUP(A104,'[2]LX COMPUTED'!A:A,'[2]LX COMPUTED'!AL:AL,"-",0)</f>
        <v>2.1439169494103891E-2</v>
      </c>
      <c r="V104" s="2">
        <f>_xlfn.XLOOKUP(A104,'[2]LX COMPUTED'!A:A,'[2]LX COMPUTED'!AE:AE,"-",0)</f>
        <v>0.51597027887677305</v>
      </c>
      <c r="W104" s="2">
        <f>_xlfn.XLOOKUP(A104,'[2]LX COMPUTED'!A:A,'[2]LX COMPUTED'!AF:AF,"-",0)</f>
        <v>1.0130791466817802E-2</v>
      </c>
    </row>
    <row r="105" spans="1:23" x14ac:dyDescent="0.2">
      <c r="A105" t="s">
        <v>277</v>
      </c>
      <c r="B105">
        <v>0.16600000000000001</v>
      </c>
      <c r="C105">
        <v>336.73360000000002</v>
      </c>
      <c r="D105">
        <v>25.835100000000001</v>
      </c>
      <c r="E105">
        <v>918</v>
      </c>
      <c r="F105">
        <v>4.0199999999999996</v>
      </c>
      <c r="G105">
        <v>0.23</v>
      </c>
      <c r="H105">
        <v>0.52</v>
      </c>
      <c r="I105">
        <v>0.09</v>
      </c>
      <c r="J105" t="s">
        <v>739</v>
      </c>
      <c r="K105">
        <v>1154</v>
      </c>
      <c r="L105">
        <v>1022</v>
      </c>
      <c r="M105">
        <v>1.1000000000000001</v>
      </c>
      <c r="N105" s="5">
        <v>1.9E-12</v>
      </c>
      <c r="O105" s="5">
        <v>7.1999999999999996E-14</v>
      </c>
      <c r="P105" s="5">
        <f>_xlfn.XLOOKUP(A105,'[2]LX COMPUTED'!A:A,'[2]LX COMPUTED'!T:T,"-",0)</f>
        <v>1.5530640460750809</v>
      </c>
      <c r="Q105" s="5">
        <f>_xlfn.XLOOKUP(A105,'[2]LX COMPUTED'!A:A,'[2]LX COMPUTED'!U:U,"-",0)</f>
        <v>5.86026950188967E-2</v>
      </c>
      <c r="R105" s="5">
        <f>_xlfn.XLOOKUP(A105,'[2]LX COMPUTED'!A:A,'[2]LX COMPUTED'!V:V,"-",0)</f>
        <v>2.1052558399064347</v>
      </c>
      <c r="S105" s="5">
        <f>_xlfn.XLOOKUP(A105,'[2]LX COMPUTED'!A:A,'[2]LX COMPUTED'!W:W,"-",0)</f>
        <v>8.4628248557267097E-2</v>
      </c>
      <c r="T105" s="5">
        <f>_xlfn.XLOOKUP(A105,'[2]LX COMPUTED'!A:A,'[2]LX COMPUTED'!AK:AK,"-",0)</f>
        <v>0.72677885620258598</v>
      </c>
      <c r="U105" s="5">
        <f>_xlfn.XLOOKUP(A105,'[2]LX COMPUTED'!A:A,'[2]LX COMPUTED'!AL:AL,"-",0)</f>
        <v>2.7423981492495194E-2</v>
      </c>
      <c r="V105" s="2">
        <f>_xlfn.XLOOKUP(A105,'[2]LX COMPUTED'!A:A,'[2]LX COMPUTED'!AE:AE,"-",0)</f>
        <v>0.54636711281070738</v>
      </c>
      <c r="W105" s="2">
        <f>_xlfn.XLOOKUP(A105,'[2]LX COMPUTED'!A:A,'[2]LX COMPUTED'!AF:AF,"-",0)</f>
        <v>1.2115082492144229E-2</v>
      </c>
    </row>
    <row r="106" spans="1:23" x14ac:dyDescent="0.2">
      <c r="A106" t="s">
        <v>280</v>
      </c>
      <c r="B106">
        <v>5.8999999999999997E-2</v>
      </c>
      <c r="C106">
        <v>338.9221</v>
      </c>
      <c r="D106">
        <v>1.4866999999999999</v>
      </c>
      <c r="E106">
        <v>874</v>
      </c>
      <c r="F106">
        <v>4</v>
      </c>
      <c r="G106">
        <v>0.26</v>
      </c>
      <c r="H106">
        <v>0.32</v>
      </c>
      <c r="I106">
        <v>0.09</v>
      </c>
      <c r="J106" t="s">
        <v>739</v>
      </c>
      <c r="K106">
        <v>1391</v>
      </c>
      <c r="L106">
        <v>1022</v>
      </c>
      <c r="M106">
        <v>1.4</v>
      </c>
      <c r="N106" s="5">
        <v>5.1999999999999997E-12</v>
      </c>
      <c r="O106" s="5">
        <v>2.4999999999999999E-13</v>
      </c>
      <c r="P106" s="5">
        <f>_xlfn.XLOOKUP(A106,'[2]LX COMPUTED'!A:A,'[2]LX COMPUTED'!T:T,"-",0)</f>
        <v>0.47637431680216041</v>
      </c>
      <c r="Q106" s="5">
        <f>_xlfn.XLOOKUP(A106,'[2]LX COMPUTED'!A:A,'[2]LX COMPUTED'!U:U,"-",0)</f>
        <v>2.308617378724356E-2</v>
      </c>
      <c r="R106" s="5">
        <f>_xlfn.XLOOKUP(A106,'[2]LX COMPUTED'!A:A,'[2]LX COMPUTED'!V:V,"-",0)</f>
        <v>0.64940637981219351</v>
      </c>
      <c r="S106" s="5">
        <f>_xlfn.XLOOKUP(A106,'[2]LX COMPUTED'!A:A,'[2]LX COMPUTED'!W:W,"-",0)</f>
        <v>3.3098062457789644E-2</v>
      </c>
      <c r="T106" s="5">
        <f>_xlfn.XLOOKUP(A106,'[2]LX COMPUTED'!A:A,'[2]LX COMPUTED'!AK:AK,"-",0)</f>
        <v>0.22602817850161622</v>
      </c>
      <c r="U106" s="5">
        <f>_xlfn.XLOOKUP(A106,'[2]LX COMPUTED'!A:A,'[2]LX COMPUTED'!AL:AL,"-",0)</f>
        <v>1.0953835304831353E-2</v>
      </c>
      <c r="V106" s="2">
        <f>_xlfn.XLOOKUP(A106,'[2]LX COMPUTED'!A:A,'[2]LX COMPUTED'!AE:AE,"-",0)</f>
        <v>0.36251072698295944</v>
      </c>
      <c r="W106" s="2">
        <f>_xlfn.XLOOKUP(A106,'[2]LX COMPUTED'!A:A,'[2]LX COMPUTED'!AF:AF,"-",0)</f>
        <v>2.0641927821712935E-2</v>
      </c>
    </row>
    <row r="107" spans="1:23" x14ac:dyDescent="0.2">
      <c r="A107" t="s">
        <v>699</v>
      </c>
      <c r="B107">
        <v>0.247</v>
      </c>
      <c r="C107">
        <v>342.12909999999999</v>
      </c>
      <c r="D107">
        <v>-16.107900000000001</v>
      </c>
      <c r="E107">
        <v>1161</v>
      </c>
      <c r="F107">
        <v>6.82</v>
      </c>
      <c r="G107">
        <v>0.75</v>
      </c>
      <c r="H107">
        <v>0.35</v>
      </c>
      <c r="I107">
        <v>0.14000000000000001</v>
      </c>
      <c r="J107" t="s">
        <v>739</v>
      </c>
      <c r="K107">
        <v>1245</v>
      </c>
      <c r="L107">
        <v>1022</v>
      </c>
      <c r="M107">
        <v>1.2</v>
      </c>
      <c r="N107" s="5">
        <v>1.3100000000000001E-12</v>
      </c>
      <c r="O107" s="5">
        <v>5.4999999999999999E-14</v>
      </c>
      <c r="P107" s="5">
        <f>_xlfn.XLOOKUP(A107,'[2]LX COMPUTED'!A:A,'[2]LX COMPUTED'!T:T,"-",0)</f>
        <v>2.359902851104752</v>
      </c>
      <c r="Q107" s="5">
        <f>_xlfn.XLOOKUP(A107,'[2]LX COMPUTED'!A:A,'[2]LX COMPUTED'!U:U,"-",0)</f>
        <v>9.9161302493536205E-2</v>
      </c>
      <c r="R107" s="5">
        <f>_xlfn.XLOOKUP(A107,'[2]LX COMPUTED'!A:A,'[2]LX COMPUTED'!V:V,"-",0)</f>
        <v>3.6180810877635596</v>
      </c>
      <c r="S107" s="5">
        <f>_xlfn.XLOOKUP(A107,'[2]LX COMPUTED'!A:A,'[2]LX COMPUTED'!W:W,"-",0)</f>
        <v>0.22339338700441441</v>
      </c>
      <c r="T107" s="5">
        <f>_xlfn.XLOOKUP(A107,'[2]LX COMPUTED'!A:A,'[2]LX COMPUTED'!AK:AK,"-",0)</f>
        <v>0.93631557777697916</v>
      </c>
      <c r="U107" s="5">
        <f>_xlfn.XLOOKUP(A107,'[2]LX COMPUTED'!A:A,'[2]LX COMPUTED'!AL:AL,"-",0)</f>
        <v>3.9343260335436524E-2</v>
      </c>
      <c r="V107" s="2">
        <f>_xlfn.XLOOKUP(A107,'[2]LX COMPUTED'!A:A,'[2]LX COMPUTED'!AE:AE,"-",0)</f>
        <v>0.51282051282051289</v>
      </c>
      <c r="W107" s="2">
        <f>_xlfn.XLOOKUP(A107,'[2]LX COMPUTED'!A:A,'[2]LX COMPUTED'!AF:AF,"-",0)</f>
        <v>1.6687020998694679E-2</v>
      </c>
    </row>
    <row r="108" spans="1:23" x14ac:dyDescent="0.2">
      <c r="A108" t="s">
        <v>288</v>
      </c>
      <c r="B108">
        <v>0.19600000000000001</v>
      </c>
      <c r="C108">
        <v>344.21940000000001</v>
      </c>
      <c r="D108">
        <v>5.5045999999999999</v>
      </c>
      <c r="E108">
        <v>1020</v>
      </c>
      <c r="F108">
        <v>4.29</v>
      </c>
      <c r="G108">
        <v>0.45</v>
      </c>
      <c r="H108">
        <v>0.43</v>
      </c>
      <c r="I108">
        <v>0.16</v>
      </c>
      <c r="J108" t="s">
        <v>739</v>
      </c>
      <c r="K108">
        <v>1094</v>
      </c>
      <c r="L108">
        <v>1022</v>
      </c>
      <c r="M108">
        <v>1.1000000000000001</v>
      </c>
      <c r="N108" s="5">
        <v>8.52E-13</v>
      </c>
      <c r="O108" s="5">
        <v>5.6999999999999997E-14</v>
      </c>
      <c r="P108" s="5">
        <f>_xlfn.XLOOKUP(A108,'[2]LX COMPUTED'!A:A,'[2]LX COMPUTED'!T:T,"-",0)</f>
        <v>1.0299300119413373</v>
      </c>
      <c r="Q108" s="5">
        <f>_xlfn.XLOOKUP(A108,'[2]LX COMPUTED'!A:A,'[2]LX COMPUTED'!U:U,"-",0)</f>
        <v>6.8538623763408663E-2</v>
      </c>
      <c r="R108" s="5">
        <f>_xlfn.XLOOKUP(A108,'[2]LX COMPUTED'!A:A,'[2]LX COMPUTED'!V:V,"-",0)</f>
        <v>1.4134825536474249</v>
      </c>
      <c r="S108" s="5">
        <f>_xlfn.XLOOKUP(A108,'[2]LX COMPUTED'!A:A,'[2]LX COMPUTED'!W:W,"-",0)</f>
        <v>0.10157404999124288</v>
      </c>
      <c r="T108" s="5">
        <f>_xlfn.XLOOKUP(A108,'[2]LX COMPUTED'!A:A,'[2]LX COMPUTED'!AK:AK,"-",0)</f>
        <v>0.47257647150540311</v>
      </c>
      <c r="U108" s="5">
        <f>_xlfn.XLOOKUP(A108,'[2]LX COMPUTED'!A:A,'[2]LX COMPUTED'!AL:AL,"-",0)</f>
        <v>3.1448487377211121E-2</v>
      </c>
      <c r="V108" s="2">
        <f>_xlfn.XLOOKUP(A108,'[2]LX COMPUTED'!A:A,'[2]LX COMPUTED'!AE:AE,"-",0)</f>
        <v>0.23536804308797127</v>
      </c>
      <c r="W108" s="2">
        <f>_xlfn.XLOOKUP(A108,'[2]LX COMPUTED'!A:A,'[2]LX COMPUTED'!AF:AF,"-",0)</f>
        <v>2.1272891213431889E-2</v>
      </c>
    </row>
    <row r="109" spans="1:23" x14ac:dyDescent="0.2">
      <c r="A109" t="s">
        <v>290</v>
      </c>
      <c r="B109">
        <v>0.29499999999999998</v>
      </c>
      <c r="C109">
        <v>347.09289999999999</v>
      </c>
      <c r="D109">
        <v>-2.1916000000000002</v>
      </c>
      <c r="E109">
        <v>1160</v>
      </c>
      <c r="F109">
        <v>6.63</v>
      </c>
      <c r="G109">
        <v>0.63</v>
      </c>
      <c r="H109">
        <v>0.22</v>
      </c>
      <c r="I109">
        <v>0.04</v>
      </c>
      <c r="J109" t="s">
        <v>740</v>
      </c>
      <c r="K109">
        <v>2320</v>
      </c>
      <c r="L109">
        <v>2047</v>
      </c>
      <c r="M109">
        <v>1.1000000000000001</v>
      </c>
      <c r="N109" s="5">
        <v>1.47E-12</v>
      </c>
      <c r="O109" s="5">
        <v>3.7E-14</v>
      </c>
      <c r="P109" s="5">
        <f>_xlfn.XLOOKUP(A109,'[2]LX COMPUTED'!A:A,'[2]LX COMPUTED'!T:T,"-",0)</f>
        <v>4.1121178748691767</v>
      </c>
      <c r="Q109" s="5">
        <f>_xlfn.XLOOKUP(A109,'[2]LX COMPUTED'!A:A,'[2]LX COMPUTED'!U:U,"-",0)</f>
        <v>0.10252340112904626</v>
      </c>
      <c r="R109" s="5">
        <f>_xlfn.XLOOKUP(A109,'[2]LX COMPUTED'!A:A,'[2]LX COMPUTED'!V:V,"-",0)</f>
        <v>6.2608496098378916</v>
      </c>
      <c r="S109" s="5">
        <f>_xlfn.XLOOKUP(A109,'[2]LX COMPUTED'!A:A,'[2]LX COMPUTED'!W:W,"-",0)</f>
        <v>0.2820563141455727</v>
      </c>
      <c r="T109" s="5">
        <f>_xlfn.XLOOKUP(A109,'[2]LX COMPUTED'!A:A,'[2]LX COMPUTED'!AK:AK,"-",0)</f>
        <v>1.6627746196867337</v>
      </c>
      <c r="U109" s="5">
        <f>_xlfn.XLOOKUP(A109,'[2]LX COMPUTED'!A:A,'[2]LX COMPUTED'!AL:AL,"-",0)</f>
        <v>4.1456328468396295E-2</v>
      </c>
      <c r="V109" s="2">
        <f>_xlfn.XLOOKUP(A109,'[2]LX COMPUTED'!A:A,'[2]LX COMPUTED'!AE:AE,"-",0)</f>
        <v>0.54227769110764434</v>
      </c>
      <c r="W109" s="2">
        <f>_xlfn.XLOOKUP(A109,'[2]LX COMPUTED'!A:A,'[2]LX COMPUTED'!AF:AF,"-",0)</f>
        <v>8.1582272935026064E-3</v>
      </c>
    </row>
    <row r="110" spans="1:23" x14ac:dyDescent="0.2">
      <c r="A110" t="s">
        <v>292</v>
      </c>
      <c r="B110">
        <v>0.123</v>
      </c>
      <c r="C110">
        <v>347.89929999999998</v>
      </c>
      <c r="D110">
        <v>-21.746200000000002</v>
      </c>
      <c r="E110">
        <v>604</v>
      </c>
      <c r="F110">
        <v>1.97</v>
      </c>
      <c r="G110">
        <v>0.15</v>
      </c>
      <c r="H110">
        <v>0.2</v>
      </c>
      <c r="I110">
        <v>0.11</v>
      </c>
      <c r="J110" t="s">
        <v>740</v>
      </c>
      <c r="K110">
        <v>1108</v>
      </c>
      <c r="L110">
        <v>1022</v>
      </c>
      <c r="M110">
        <v>1.1000000000000001</v>
      </c>
      <c r="N110" s="5">
        <v>4.4800000000000001E-13</v>
      </c>
      <c r="O110" s="5">
        <v>3.1E-14</v>
      </c>
      <c r="P110" s="5">
        <f>_xlfn.XLOOKUP(A110,'[2]LX COMPUTED'!A:A,'[2]LX COMPUTED'!T:T,"-",0)</f>
        <v>0.18833952604628126</v>
      </c>
      <c r="Q110" s="5">
        <f>_xlfn.XLOOKUP(A110,'[2]LX COMPUTED'!A:A,'[2]LX COMPUTED'!U:U,"-",0)</f>
        <v>1.2837685065612812E-2</v>
      </c>
      <c r="R110" s="5">
        <f>_xlfn.XLOOKUP(A110,'[2]LX COMPUTED'!A:A,'[2]LX COMPUTED'!V:V,"-",0)</f>
        <v>0.25932026173460249</v>
      </c>
      <c r="S110" s="5">
        <f>_xlfn.XLOOKUP(A110,'[2]LX COMPUTED'!A:A,'[2]LX COMPUTED'!W:W,"-",0)</f>
        <v>1.7830955235322049E-2</v>
      </c>
      <c r="T110" s="5">
        <f>_xlfn.XLOOKUP(A110,'[2]LX COMPUTED'!A:A,'[2]LX COMPUTED'!AK:AK,"-",0)</f>
        <v>0.12173222213830816</v>
      </c>
      <c r="U110" s="5">
        <f>_xlfn.XLOOKUP(A110,'[2]LX COMPUTED'!A:A,'[2]LX COMPUTED'!AL:AL,"-",0)</f>
        <v>8.297567499266181E-3</v>
      </c>
      <c r="V110" s="2">
        <f>_xlfn.XLOOKUP(A110,'[2]LX COMPUTED'!A:A,'[2]LX COMPUTED'!AE:AE,"-",0)</f>
        <v>0.6296081997024302</v>
      </c>
      <c r="W110" s="2">
        <f>_xlfn.XLOOKUP(A110,'[2]LX COMPUTED'!A:A,'[2]LX COMPUTED'!AF:AF,"-",0)</f>
        <v>1.8913735982689195E-2</v>
      </c>
    </row>
    <row r="111" spans="1:23" x14ac:dyDescent="0.2">
      <c r="A111" t="s">
        <v>293</v>
      </c>
      <c r="B111">
        <v>8.6999999999999994E-2</v>
      </c>
      <c r="C111">
        <v>348.25560000000002</v>
      </c>
      <c r="D111">
        <v>-21.634399999999999</v>
      </c>
      <c r="E111">
        <v>926</v>
      </c>
      <c r="F111">
        <v>3.72</v>
      </c>
      <c r="G111">
        <v>0.43</v>
      </c>
      <c r="H111">
        <v>0.38</v>
      </c>
      <c r="I111">
        <v>0.08</v>
      </c>
      <c r="J111" t="s">
        <v>740</v>
      </c>
      <c r="K111">
        <v>1160</v>
      </c>
      <c r="L111">
        <v>1022</v>
      </c>
      <c r="M111">
        <v>1.1000000000000001</v>
      </c>
      <c r="N111" s="5">
        <v>3.5800000000000001E-12</v>
      </c>
      <c r="O111" s="5">
        <v>7.7E-14</v>
      </c>
      <c r="P111" s="5">
        <f>_xlfn.XLOOKUP(A111,'[2]LX COMPUTED'!A:A,'[2]LX COMPUTED'!T:T,"-",0)</f>
        <v>0.67955139581668189</v>
      </c>
      <c r="Q111" s="5">
        <f>_xlfn.XLOOKUP(A111,'[2]LX COMPUTED'!A:A,'[2]LX COMPUTED'!U:U,"-",0)</f>
        <v>1.4593244003689176E-2</v>
      </c>
      <c r="R111" s="5">
        <f>_xlfn.XLOOKUP(A111,'[2]LX COMPUTED'!A:A,'[2]LX COMPUTED'!V:V,"-",0)</f>
        <v>0.91501865512859182</v>
      </c>
      <c r="S111" s="5">
        <f>_xlfn.XLOOKUP(A111,'[2]LX COMPUTED'!A:A,'[2]LX COMPUTED'!W:W,"-",0)</f>
        <v>3.0720240739386579E-2</v>
      </c>
      <c r="T111" s="5">
        <f>_xlfn.XLOOKUP(A111,'[2]LX COMPUTED'!A:A,'[2]LX COMPUTED'!AK:AK,"-",0)</f>
        <v>0.32973885252053803</v>
      </c>
      <c r="U111" s="5">
        <f>_xlfn.XLOOKUP(A111,'[2]LX COMPUTED'!A:A,'[2]LX COMPUTED'!AL:AL,"-",0)</f>
        <v>7.0810825523295396E-3</v>
      </c>
      <c r="V111" s="2">
        <f>_xlfn.XLOOKUP(A111,'[2]LX COMPUTED'!A:A,'[2]LX COMPUTED'!AE:AE,"-",0)</f>
        <v>0.67569035762788587</v>
      </c>
      <c r="W111" s="2">
        <f>_xlfn.XLOOKUP(A111,'[2]LX COMPUTED'!A:A,'[2]LX COMPUTED'!AF:AF,"-",0)</f>
        <v>6.5727071597357026E-3</v>
      </c>
    </row>
    <row r="112" spans="1:23" x14ac:dyDescent="0.2">
      <c r="A112" t="s">
        <v>296</v>
      </c>
      <c r="B112">
        <v>8.5000000000000006E-2</v>
      </c>
      <c r="C112">
        <v>351.33260000000001</v>
      </c>
      <c r="D112">
        <v>-12.1242</v>
      </c>
      <c r="E112">
        <v>1010</v>
      </c>
      <c r="F112">
        <v>4.2699999999999996</v>
      </c>
      <c r="G112">
        <v>0.28999999999999998</v>
      </c>
      <c r="H112">
        <v>0.27</v>
      </c>
      <c r="I112">
        <v>0.08</v>
      </c>
      <c r="J112" t="s">
        <v>740</v>
      </c>
      <c r="K112">
        <v>3979</v>
      </c>
      <c r="L112">
        <v>3072</v>
      </c>
      <c r="M112">
        <v>1.3</v>
      </c>
      <c r="N112" s="5">
        <v>3.9499999999999999E-12</v>
      </c>
      <c r="O112" s="5">
        <v>5.8000000000000005E-14</v>
      </c>
      <c r="P112" s="5">
        <f>_xlfn.XLOOKUP(A112,'[2]LX COMPUTED'!A:A,'[2]LX COMPUTED'!T:T,"-",0)</f>
        <v>0.71634205799152795</v>
      </c>
      <c r="Q112" s="5">
        <f>_xlfn.XLOOKUP(A112,'[2]LX COMPUTED'!A:A,'[2]LX COMPUTED'!U:U,"-",0)</f>
        <v>1.053554141198125E-2</v>
      </c>
      <c r="R112" s="5">
        <f>_xlfn.XLOOKUP(A112,'[2]LX COMPUTED'!A:A,'[2]LX COMPUTED'!V:V,"-",0)</f>
        <v>0.98716149708555223</v>
      </c>
      <c r="S112" s="5">
        <f>_xlfn.XLOOKUP(A112,'[2]LX COMPUTED'!A:A,'[2]LX COMPUTED'!W:W,"-",0)</f>
        <v>2.2370422572089613E-2</v>
      </c>
      <c r="T112" s="5">
        <f>_xlfn.XLOOKUP(A112,'[2]LX COMPUTED'!A:A,'[2]LX COMPUTED'!AK:AK,"-",0)</f>
        <v>0.33279275360898758</v>
      </c>
      <c r="U112" s="5">
        <f>_xlfn.XLOOKUP(A112,'[2]LX COMPUTED'!A:A,'[2]LX COMPUTED'!AL:AL,"-",0)</f>
        <v>4.8945218253487327E-3</v>
      </c>
      <c r="V112" s="2">
        <f>_xlfn.XLOOKUP(A112,'[2]LX COMPUTED'!A:A,'[2]LX COMPUTED'!AE:AE,"-",0)</f>
        <v>0.82285868198958512</v>
      </c>
      <c r="W112" s="2">
        <f>_xlfn.XLOOKUP(A112,'[2]LX COMPUTED'!A:A,'[2]LX COMPUTED'!AF:AF,"-",0)</f>
        <v>2.3161868182390742E-3</v>
      </c>
    </row>
    <row r="113" spans="1:23" x14ac:dyDescent="0.2">
      <c r="A113" t="s">
        <v>712</v>
      </c>
      <c r="B113">
        <v>0.27300000000000002</v>
      </c>
      <c r="C113">
        <v>354.40820000000002</v>
      </c>
      <c r="D113">
        <v>0.26719999999999999</v>
      </c>
      <c r="E113">
        <v>1268</v>
      </c>
      <c r="F113">
        <v>7.87</v>
      </c>
      <c r="G113">
        <v>1</v>
      </c>
      <c r="H113">
        <v>0.23</v>
      </c>
      <c r="I113">
        <v>0.11</v>
      </c>
      <c r="J113" t="s">
        <v>739</v>
      </c>
      <c r="K113">
        <v>1241</v>
      </c>
      <c r="L113">
        <v>1022</v>
      </c>
      <c r="M113">
        <v>1.2</v>
      </c>
      <c r="N113" s="5">
        <v>2.7299999999999999E-12</v>
      </c>
      <c r="O113" s="5">
        <v>1.1E-13</v>
      </c>
      <c r="P113" s="5">
        <f>_xlfn.XLOOKUP(A113,'[2]LX COMPUTED'!A:A,'[2]LX COMPUTED'!T:T,"-",0)</f>
        <v>6.138784015269712</v>
      </c>
      <c r="Q113" s="5">
        <f>_xlfn.XLOOKUP(A113,'[2]LX COMPUTED'!A:A,'[2]LX COMPUTED'!U:U,"-",0)</f>
        <v>0.23707747224503922</v>
      </c>
      <c r="R113" s="5">
        <f>_xlfn.XLOOKUP(A113,'[2]LX COMPUTED'!A:A,'[2]LX COMPUTED'!V:V,"-",0)</f>
        <v>9.8771202819382058</v>
      </c>
      <c r="S113" s="5">
        <f>_xlfn.XLOOKUP(A113,'[2]LX COMPUTED'!A:A,'[2]LX COMPUTED'!W:W,"-",0)</f>
        <v>0.70477766814790299</v>
      </c>
      <c r="T113" s="5">
        <f>_xlfn.XLOOKUP(A113,'[2]LX COMPUTED'!A:A,'[2]LX COMPUTED'!AK:AK,"-",0)</f>
        <v>2.3681313487959739</v>
      </c>
      <c r="U113" s="5">
        <f>_xlfn.XLOOKUP(A113,'[2]LX COMPUTED'!A:A,'[2]LX COMPUTED'!AL:AL,"-",0)</f>
        <v>9.1456319805400074E-2</v>
      </c>
      <c r="V113" s="2">
        <f>_xlfn.XLOOKUP(A113,'[2]LX COMPUTED'!A:A,'[2]LX COMPUTED'!AE:AE,"-",0)</f>
        <v>0.375</v>
      </c>
      <c r="W113" s="2">
        <f>_xlfn.XLOOKUP(A113,'[2]LX COMPUTED'!A:A,'[2]LX COMPUTED'!AF:AF,"-",0)</f>
        <v>1.4640834572130066E-2</v>
      </c>
    </row>
    <row r="114" spans="1:23" x14ac:dyDescent="0.2">
      <c r="A114" t="s">
        <v>716</v>
      </c>
      <c r="B114">
        <v>0.04</v>
      </c>
      <c r="C114">
        <v>356.2389</v>
      </c>
      <c r="D114">
        <v>9.1920999999999999</v>
      </c>
      <c r="E114">
        <v>902</v>
      </c>
      <c r="F114">
        <v>3.53</v>
      </c>
      <c r="G114">
        <v>0.33</v>
      </c>
      <c r="H114">
        <v>0.27</v>
      </c>
      <c r="I114">
        <v>0.13</v>
      </c>
      <c r="J114" t="s">
        <v>740</v>
      </c>
      <c r="K114">
        <v>2919</v>
      </c>
      <c r="L114">
        <v>1022</v>
      </c>
      <c r="M114">
        <v>2.9</v>
      </c>
      <c r="N114" s="5">
        <v>1.32E-11</v>
      </c>
      <c r="O114" s="5">
        <v>3.8E-13</v>
      </c>
      <c r="P114" s="5">
        <f>_xlfn.XLOOKUP(A114,'[2]LX COMPUTED'!A:A,'[2]LX COMPUTED'!T:T,"-",0)</f>
        <v>0.54916117053599434</v>
      </c>
      <c r="Q114" s="5">
        <f>_xlfn.XLOOKUP(A114,'[2]LX COMPUTED'!A:A,'[2]LX COMPUTED'!U:U,"-",0)</f>
        <v>1.5981780195165159E-2</v>
      </c>
      <c r="R114" s="5">
        <f>_xlfn.XLOOKUP(A114,'[2]LX COMPUTED'!A:A,'[2]LX COMPUTED'!V:V,"-",0)</f>
        <v>0.74034242662266203</v>
      </c>
      <c r="S114" s="5">
        <f>_xlfn.XLOOKUP(A114,'[2]LX COMPUTED'!A:A,'[2]LX COMPUTED'!W:W,"-",0)</f>
        <v>2.6170429157685898E-2</v>
      </c>
      <c r="T114" s="5">
        <f>_xlfn.XLOOKUP(A114,'[2]LX COMPUTED'!A:A,'[2]LX COMPUTED'!AK:AK,"-",0)</f>
        <v>0.27441196540989038</v>
      </c>
      <c r="U114" s="5">
        <f>_xlfn.XLOOKUP(A114,'[2]LX COMPUTED'!A:A,'[2]LX COMPUTED'!AL:AL,"-",0)</f>
        <v>7.9859828942816392E-3</v>
      </c>
      <c r="V114" s="2">
        <f>_xlfn.XLOOKUP(A114,'[2]LX COMPUTED'!A:A,'[2]LX COMPUTED'!AE:AE,"-",0)</f>
        <v>0.44612794612794615</v>
      </c>
      <c r="W114" s="2">
        <f>_xlfn.XLOOKUP(A114,'[2]LX COMPUTED'!A:A,'[2]LX COMPUTED'!AF:AF,"-",0)</f>
        <v>9.8775292298946167E-3</v>
      </c>
    </row>
    <row r="115" spans="1:23" x14ac:dyDescent="0.2">
      <c r="A115" t="s">
        <v>302</v>
      </c>
      <c r="B115">
        <v>5.6000000000000001E-2</v>
      </c>
      <c r="C115">
        <v>357.71089999999998</v>
      </c>
      <c r="D115">
        <v>6.1502999999999997</v>
      </c>
      <c r="E115">
        <v>1035</v>
      </c>
      <c r="F115">
        <v>4.16</v>
      </c>
      <c r="G115">
        <v>0.28999999999999998</v>
      </c>
      <c r="H115">
        <v>0.21</v>
      </c>
      <c r="I115">
        <v>0.09</v>
      </c>
      <c r="J115" t="s">
        <v>739</v>
      </c>
      <c r="K115">
        <v>1369</v>
      </c>
      <c r="L115">
        <v>1022</v>
      </c>
      <c r="M115">
        <v>1.3</v>
      </c>
      <c r="N115" s="5">
        <v>5.4099999999999998E-12</v>
      </c>
      <c r="O115" s="5">
        <v>1.6E-13</v>
      </c>
      <c r="P115" s="5">
        <f>_xlfn.XLOOKUP(A115,'[2]LX COMPUTED'!A:A,'[2]LX COMPUTED'!T:T,"-",0)</f>
        <v>0.43752270936640897</v>
      </c>
      <c r="Q115" s="5">
        <f>_xlfn.XLOOKUP(A115,'[2]LX COMPUTED'!A:A,'[2]LX COMPUTED'!U:U,"-",0)</f>
        <v>1.2827047145671754E-2</v>
      </c>
      <c r="R115" s="5">
        <f>_xlfn.XLOOKUP(A115,'[2]LX COMPUTED'!A:A,'[2]LX COMPUTED'!V:V,"-",0)</f>
        <v>0.60195877925781671</v>
      </c>
      <c r="S115" s="5">
        <f>_xlfn.XLOOKUP(A115,'[2]LX COMPUTED'!A:A,'[2]LX COMPUTED'!W:W,"-",0)</f>
        <v>2.0577561549967732E-2</v>
      </c>
      <c r="T115" s="5">
        <f>_xlfn.XLOOKUP(A115,'[2]LX COMPUTED'!A:A,'[2]LX COMPUTED'!AK:AK,"-",0)</f>
        <v>0.20613618844049622</v>
      </c>
      <c r="U115" s="5">
        <f>_xlfn.XLOOKUP(A115,'[2]LX COMPUTED'!A:A,'[2]LX COMPUTED'!AL:AL,"-",0)</f>
        <v>6.0433859796314507E-3</v>
      </c>
      <c r="V115" s="2">
        <f>_xlfn.XLOOKUP(A115,'[2]LX COMPUTED'!A:A,'[2]LX COMPUTED'!AE:AE,"-",0)</f>
        <v>0.50737302020753683</v>
      </c>
      <c r="W115" s="2">
        <f>_xlfn.XLOOKUP(A115,'[2]LX COMPUTED'!A:A,'[2]LX COMPUTED'!AF:AF,"-",0)</f>
        <v>1.4856766053276257E-2</v>
      </c>
    </row>
    <row r="116" spans="1:23" x14ac:dyDescent="0.2">
      <c r="A116" t="s">
        <v>303</v>
      </c>
      <c r="B116">
        <v>0.23</v>
      </c>
      <c r="C116">
        <v>357.91410000000002</v>
      </c>
      <c r="D116">
        <v>-26.0837</v>
      </c>
      <c r="E116">
        <v>1321</v>
      </c>
      <c r="F116">
        <v>8.73</v>
      </c>
      <c r="G116">
        <v>0.88</v>
      </c>
      <c r="H116">
        <v>0.2</v>
      </c>
      <c r="I116">
        <v>0.11</v>
      </c>
      <c r="J116" t="s">
        <v>739</v>
      </c>
      <c r="K116">
        <v>1023</v>
      </c>
      <c r="L116">
        <v>1022</v>
      </c>
      <c r="M116">
        <v>1</v>
      </c>
      <c r="N116" s="5">
        <v>4.2700000000000002E-12</v>
      </c>
      <c r="O116" s="5">
        <v>1.1999999999999999E-13</v>
      </c>
      <c r="P116" s="5">
        <f>_xlfn.XLOOKUP(A116,'[2]LX COMPUTED'!A:A,'[2]LX COMPUTED'!T:T,"-",0)</f>
        <v>6.3523490845420385</v>
      </c>
      <c r="Q116" s="5">
        <f>_xlfn.XLOOKUP(A116,'[2]LX COMPUTED'!A:A,'[2]LX COMPUTED'!U:U,"-",0)</f>
        <v>0.18306938556058736</v>
      </c>
      <c r="R116" s="5">
        <f>_xlfn.XLOOKUP(A116,'[2]LX COMPUTED'!A:A,'[2]LX COMPUTED'!V:V,"-",0)</f>
        <v>10.623838975613317</v>
      </c>
      <c r="S116" s="5">
        <f>_xlfn.XLOOKUP(A116,'[2]LX COMPUTED'!A:A,'[2]LX COMPUTED'!W:W,"-",0)</f>
        <v>0.64073504401758374</v>
      </c>
      <c r="T116" s="5">
        <f>_xlfn.XLOOKUP(A116,'[2]LX COMPUTED'!A:A,'[2]LX COMPUTED'!AK:AK,"-",0)</f>
        <v>2.4001236805239428</v>
      </c>
      <c r="U116" s="5">
        <f>_xlfn.XLOOKUP(A116,'[2]LX COMPUTED'!A:A,'[2]LX COMPUTED'!AL:AL,"-",0)</f>
        <v>6.9169556272049654E-2</v>
      </c>
      <c r="V116" s="2">
        <f>_xlfn.XLOOKUP(A116,'[2]LX COMPUTED'!A:A,'[2]LX COMPUTED'!AE:AE,"-",0)</f>
        <v>0.65968127490039841</v>
      </c>
      <c r="W116" s="2">
        <f>_xlfn.XLOOKUP(A116,'[2]LX COMPUTED'!A:A,'[2]LX COMPUTED'!AF:AF,"-",0)</f>
        <v>8.1729597808466864E-3</v>
      </c>
    </row>
    <row r="117" spans="1:23" x14ac:dyDescent="0.2">
      <c r="A117" t="s">
        <v>304</v>
      </c>
      <c r="B117">
        <v>7.5999999999999998E-2</v>
      </c>
      <c r="C117">
        <v>358.55709999999999</v>
      </c>
      <c r="D117">
        <v>-10.4192</v>
      </c>
      <c r="E117">
        <v>966</v>
      </c>
      <c r="F117">
        <v>4.17</v>
      </c>
      <c r="G117">
        <v>0.69</v>
      </c>
      <c r="H117">
        <v>0.33</v>
      </c>
      <c r="I117">
        <v>0.13</v>
      </c>
      <c r="J117" t="s">
        <v>740</v>
      </c>
      <c r="K117">
        <v>1967</v>
      </c>
      <c r="L117">
        <v>1022</v>
      </c>
      <c r="M117">
        <v>1.9</v>
      </c>
      <c r="N117" s="5">
        <v>4.31E-12</v>
      </c>
      <c r="O117" s="5">
        <v>1.3E-13</v>
      </c>
      <c r="P117" s="5">
        <f>_xlfn.XLOOKUP(A117,'[2]LX COMPUTED'!A:A,'[2]LX COMPUTED'!T:T,"-",0)</f>
        <v>0.63765440263835027</v>
      </c>
      <c r="Q117" s="5">
        <f>_xlfn.XLOOKUP(A117,'[2]LX COMPUTED'!A:A,'[2]LX COMPUTED'!U:U,"-",0)</f>
        <v>1.8789200570555081E-2</v>
      </c>
      <c r="R117" s="5">
        <f>_xlfn.XLOOKUP(A117,'[2]LX COMPUTED'!A:A,'[2]LX COMPUTED'!V:V,"-",0)</f>
        <v>0.87412321717042263</v>
      </c>
      <c r="S117" s="5">
        <f>_xlfn.XLOOKUP(A117,'[2]LX COMPUTED'!A:A,'[2]LX COMPUTED'!W:W,"-",0)</f>
        <v>4.4267851561824161E-2</v>
      </c>
      <c r="T117" s="5">
        <f>_xlfn.XLOOKUP(A117,'[2]LX COMPUTED'!A:A,'[2]LX COMPUTED'!AK:AK,"-",0)</f>
        <v>0.29770592910714977</v>
      </c>
      <c r="U117" s="5">
        <f>_xlfn.XLOOKUP(A117,'[2]LX COMPUTED'!A:A,'[2]LX COMPUTED'!AL:AL,"-",0)</f>
        <v>8.7722383628082105E-3</v>
      </c>
      <c r="V117" s="2">
        <f>_xlfn.XLOOKUP(A117,'[2]LX COMPUTED'!A:A,'[2]LX COMPUTED'!AE:AE,"-",0)</f>
        <v>0.50884198516828294</v>
      </c>
      <c r="W117" s="2">
        <f>_xlfn.XLOOKUP(A117,'[2]LX COMPUTED'!A:A,'[2]LX COMPUTED'!AF:AF,"-",0)</f>
        <v>9.7800395783607403E-3</v>
      </c>
    </row>
    <row r="118" spans="1:23" x14ac:dyDescent="0.2">
      <c r="A118" t="s">
        <v>15</v>
      </c>
      <c r="B118">
        <v>4.9000000000000002E-2</v>
      </c>
      <c r="C118">
        <v>0.80400000000000005</v>
      </c>
      <c r="D118">
        <v>-35.933399999999999</v>
      </c>
      <c r="E118">
        <v>757</v>
      </c>
      <c r="F118">
        <v>2.62</v>
      </c>
      <c r="G118">
        <v>0.2</v>
      </c>
      <c r="H118">
        <v>0.38</v>
      </c>
      <c r="I118">
        <v>0.16</v>
      </c>
      <c r="J118" t="s">
        <v>740</v>
      </c>
      <c r="K118">
        <v>2868</v>
      </c>
      <c r="L118">
        <v>2047</v>
      </c>
      <c r="M118">
        <v>1.4</v>
      </c>
      <c r="N118" s="5">
        <v>3.0599999999999999E-12</v>
      </c>
      <c r="O118" s="5">
        <v>1.4000000000000001E-13</v>
      </c>
      <c r="P118" s="5">
        <f>_xlfn.XLOOKUP(A118,'[2]LX COMPUTED'!A:A,'[2]LX COMPUTED'!T:T,"-",0)</f>
        <v>0.18010274928862305</v>
      </c>
      <c r="Q118" s="5">
        <f>_xlfn.XLOOKUP(A118,'[2]LX COMPUTED'!A:A,'[2]LX COMPUTED'!U:U,"-",0)</f>
        <v>8.2874347792960372E-3</v>
      </c>
      <c r="R118" s="5">
        <f>_xlfn.XLOOKUP(A118,'[2]LX COMPUTED'!A:A,'[2]LX COMPUTED'!V:V,"-",0)</f>
        <v>0.23928914445337235</v>
      </c>
      <c r="S118" s="5">
        <f>_xlfn.XLOOKUP(A118,'[2]LX COMPUTED'!A:A,'[2]LX COMPUTED'!W:W,"-",0)</f>
        <v>1.1367760810815425E-2</v>
      </c>
      <c r="T118" s="5">
        <f>_xlfn.XLOOKUP(A118,'[2]LX COMPUTED'!A:A,'[2]LX COMPUTED'!AK:AK,"-",0)</f>
        <v>0.10198452461448991</v>
      </c>
      <c r="U118" s="5">
        <f>_xlfn.XLOOKUP(A118,'[2]LX COMPUTED'!A:A,'[2]LX COMPUTED'!AL:AL,"-",0)</f>
        <v>4.6928217341404375E-3</v>
      </c>
      <c r="V118" s="2">
        <f>_xlfn.XLOOKUP(A118,'[2]LX COMPUTED'!A:A,'[2]LX COMPUTED'!AE:AE,"-",0)</f>
        <v>0.57547169811320753</v>
      </c>
      <c r="W118" s="2">
        <f>_xlfn.XLOOKUP(A118,'[2]LX COMPUTED'!A:A,'[2]LX COMPUTED'!AF:AF,"-",0)</f>
        <v>1.3236991236708278E-2</v>
      </c>
    </row>
    <row r="119" spans="1:23" x14ac:dyDescent="0.2">
      <c r="A119" t="s">
        <v>18</v>
      </c>
      <c r="B119">
        <v>0.308</v>
      </c>
      <c r="C119">
        <v>3.5807000000000002</v>
      </c>
      <c r="D119">
        <v>-30.390899999999998</v>
      </c>
      <c r="E119">
        <v>1410</v>
      </c>
      <c r="F119">
        <v>10.47</v>
      </c>
      <c r="G119">
        <v>0.35</v>
      </c>
      <c r="H119">
        <v>0.32</v>
      </c>
      <c r="I119">
        <v>0.11</v>
      </c>
      <c r="J119" t="s">
        <v>740</v>
      </c>
      <c r="K119">
        <v>4865</v>
      </c>
      <c r="L119">
        <v>4097</v>
      </c>
      <c r="M119">
        <v>1.2</v>
      </c>
      <c r="N119" s="5">
        <v>3.9600000000000001E-12</v>
      </c>
      <c r="O119" s="5">
        <v>5.3999999999999997E-14</v>
      </c>
      <c r="P119" s="5">
        <f>_xlfn.XLOOKUP(A119,'[2]LX COMPUTED'!A:A,'[2]LX COMPUTED'!T:T,"-",0)</f>
        <v>11.078466056943164</v>
      </c>
      <c r="Q119" s="5">
        <f>_xlfn.XLOOKUP(A119,'[2]LX COMPUTED'!A:A,'[2]LX COMPUTED'!U:U,"-",0)</f>
        <v>0.15151544109668638</v>
      </c>
      <c r="R119" s="5">
        <f>_xlfn.XLOOKUP(A119,'[2]LX COMPUTED'!A:A,'[2]LX COMPUTED'!V:V,"-",0)</f>
        <v>19.911985627741313</v>
      </c>
      <c r="S119" s="5">
        <f>_xlfn.XLOOKUP(A119,'[2]LX COMPUTED'!A:A,'[2]LX COMPUTED'!W:W,"-",0)</f>
        <v>0.50189751313117803</v>
      </c>
      <c r="T119" s="5">
        <f>_xlfn.XLOOKUP(A119,'[2]LX COMPUTED'!A:A,'[2]LX COMPUTED'!AK:AK,"-",0)</f>
        <v>3.9908378292206801</v>
      </c>
      <c r="U119" s="5">
        <f>_xlfn.XLOOKUP(A119,'[2]LX COMPUTED'!A:A,'[2]LX COMPUTED'!AL:AL,"-",0)</f>
        <v>5.4580981783190916E-2</v>
      </c>
      <c r="V119" s="2">
        <f>_xlfn.XLOOKUP(A119,'[2]LX COMPUTED'!A:A,'[2]LX COMPUTED'!AE:AE,"-",0)</f>
        <v>0.32881125996269289</v>
      </c>
      <c r="W119" s="2">
        <f>_xlfn.XLOOKUP(A119,'[2]LX COMPUTED'!A:A,'[2]LX COMPUTED'!AF:AF,"-",0)</f>
        <v>5.0467593548991583E-3</v>
      </c>
    </row>
    <row r="120" spans="1:23" x14ac:dyDescent="0.2">
      <c r="A120" t="s">
        <v>24</v>
      </c>
      <c r="B120">
        <v>0.29199999999999998</v>
      </c>
      <c r="C120">
        <v>10.8535</v>
      </c>
      <c r="D120">
        <v>-20.6234</v>
      </c>
      <c r="E120">
        <v>1223</v>
      </c>
      <c r="F120">
        <v>7.74</v>
      </c>
      <c r="G120">
        <v>0.79</v>
      </c>
      <c r="H120">
        <v>0.31</v>
      </c>
      <c r="I120">
        <v>0.1</v>
      </c>
      <c r="J120" t="s">
        <v>739</v>
      </c>
      <c r="K120">
        <v>1317</v>
      </c>
      <c r="L120">
        <v>1022</v>
      </c>
      <c r="M120">
        <v>1.3</v>
      </c>
      <c r="N120" s="5">
        <v>2.4400000000000001E-12</v>
      </c>
      <c r="O120" s="5">
        <v>8.3999999999999995E-14</v>
      </c>
      <c r="P120" s="5">
        <f>_xlfn.XLOOKUP(A120,'[2]LX COMPUTED'!A:A,'[2]LX COMPUTED'!T:T,"-",0)</f>
        <v>6.2713130258852319</v>
      </c>
      <c r="Q120" s="5">
        <f>_xlfn.XLOOKUP(A120,'[2]LX COMPUTED'!A:A,'[2]LX COMPUTED'!U:U,"-",0)</f>
        <v>0.21493604032062136</v>
      </c>
      <c r="R120" s="5">
        <f>_xlfn.XLOOKUP(A120,'[2]LX COMPUTED'!A:A,'[2]LX COMPUTED'!V:V,"-",0)</f>
        <v>10.022446796498823</v>
      </c>
      <c r="S120" s="5">
        <f>_xlfn.XLOOKUP(A120,'[2]LX COMPUTED'!A:A,'[2]LX COMPUTED'!W:W,"-",0)</f>
        <v>0.58575236577858425</v>
      </c>
      <c r="T120" s="5">
        <f>_xlfn.XLOOKUP(A120,'[2]LX COMPUTED'!A:A,'[2]LX COMPUTED'!AK:AK,"-",0)</f>
        <v>2.4110839579734606</v>
      </c>
      <c r="U120" s="5">
        <f>_xlfn.XLOOKUP(A120,'[2]LX COMPUTED'!A:A,'[2]LX COMPUTED'!AL:AL,"-",0)</f>
        <v>8.2634822511388845E-2</v>
      </c>
      <c r="V120" s="2">
        <f>_xlfn.XLOOKUP(A120,'[2]LX COMPUTED'!A:A,'[2]LX COMPUTED'!AE:AE,"-",0)</f>
        <v>0.46250274906531774</v>
      </c>
      <c r="W120" s="2">
        <f>_xlfn.XLOOKUP(A120,'[2]LX COMPUTED'!A:A,'[2]LX COMPUTED'!AF:AF,"-",0)</f>
        <v>1.2203183361559913E-2</v>
      </c>
    </row>
    <row r="121" spans="1:23" x14ac:dyDescent="0.2">
      <c r="A121" t="s">
        <v>358</v>
      </c>
      <c r="B121">
        <v>0.22700000000000001</v>
      </c>
      <c r="C121">
        <v>19.546900000000001</v>
      </c>
      <c r="D121">
        <v>-26.965299999999999</v>
      </c>
      <c r="E121">
        <v>1355</v>
      </c>
      <c r="F121">
        <v>8.91</v>
      </c>
      <c r="G121">
        <v>1.01</v>
      </c>
      <c r="H121">
        <v>0.36</v>
      </c>
      <c r="I121">
        <v>0.13</v>
      </c>
      <c r="J121" t="s">
        <v>739</v>
      </c>
      <c r="K121">
        <v>1366</v>
      </c>
      <c r="L121">
        <v>1022</v>
      </c>
      <c r="M121">
        <v>1.3</v>
      </c>
      <c r="N121" s="5">
        <v>2.7700000000000001E-12</v>
      </c>
      <c r="O121" s="5">
        <v>9.2999999999999995E-14</v>
      </c>
      <c r="P121" s="5">
        <f>_xlfn.XLOOKUP(A121,'[2]LX COMPUTED'!A:A,'[2]LX COMPUTED'!T:T,"-",0)</f>
        <v>3.9757670759802965</v>
      </c>
      <c r="Q121" s="5">
        <f>_xlfn.XLOOKUP(A121,'[2]LX COMPUTED'!A:A,'[2]LX COMPUTED'!U:U,"-",0)</f>
        <v>0.13376729088690098</v>
      </c>
      <c r="R121" s="5">
        <f>_xlfn.XLOOKUP(A121,'[2]LX COMPUTED'!A:A,'[2]LX COMPUTED'!V:V,"-",0)</f>
        <v>6.6940503294221241</v>
      </c>
      <c r="S121" s="5">
        <f>_xlfn.XLOOKUP(A121,'[2]LX COMPUTED'!A:A,'[2]LX COMPUTED'!W:W,"-",0)</f>
        <v>0.46223472561923185</v>
      </c>
      <c r="T121" s="5">
        <f>_xlfn.XLOOKUP(A121,'[2]LX COMPUTED'!A:A,'[2]LX COMPUTED'!AK:AK,"-",0)</f>
        <v>1.4757319714891892</v>
      </c>
      <c r="U121" s="5">
        <f>_xlfn.XLOOKUP(A121,'[2]LX COMPUTED'!A:A,'[2]LX COMPUTED'!AL:AL,"-",0)</f>
        <v>4.9651970079917361E-2</v>
      </c>
      <c r="V121" s="2">
        <f>_xlfn.XLOOKUP(A121,'[2]LX COMPUTED'!A:A,'[2]LX COMPUTED'!AE:AE,"-",0)</f>
        <v>0.43823648923201952</v>
      </c>
      <c r="W121" s="2">
        <f>_xlfn.XLOOKUP(A121,'[2]LX COMPUTED'!A:A,'[2]LX COMPUTED'!AF:AF,"-",0)</f>
        <v>1.2523951246342818E-2</v>
      </c>
    </row>
    <row r="122" spans="1:23" x14ac:dyDescent="0.2">
      <c r="A122" t="s">
        <v>376</v>
      </c>
      <c r="B122">
        <v>0.22</v>
      </c>
      <c r="C122">
        <v>36.471499999999999</v>
      </c>
      <c r="D122">
        <v>-41.915199999999999</v>
      </c>
      <c r="E122">
        <v>1246</v>
      </c>
      <c r="F122">
        <v>7.41</v>
      </c>
      <c r="G122">
        <v>1.1100000000000001</v>
      </c>
      <c r="H122">
        <v>0</v>
      </c>
      <c r="I122">
        <v>0.06</v>
      </c>
      <c r="J122" t="s">
        <v>739</v>
      </c>
      <c r="K122">
        <v>1152</v>
      </c>
      <c r="L122">
        <v>1022</v>
      </c>
      <c r="M122">
        <v>1.1000000000000001</v>
      </c>
      <c r="N122" s="5">
        <v>2.5200000000000002E-12</v>
      </c>
      <c r="O122" s="5">
        <v>1.1999999999999999E-13</v>
      </c>
      <c r="P122" s="5">
        <f>_xlfn.XLOOKUP(A122,'[2]LX COMPUTED'!A:A,'[2]LX COMPUTED'!T:T,"-",0)</f>
        <v>3.4890578990762164</v>
      </c>
      <c r="Q122" s="5">
        <f>_xlfn.XLOOKUP(A122,'[2]LX COMPUTED'!A:A,'[2]LX COMPUTED'!U:U,"-",0)</f>
        <v>0.16065508268357165</v>
      </c>
      <c r="R122" s="5">
        <f>_xlfn.XLOOKUP(A122,'[2]LX COMPUTED'!A:A,'[2]LX COMPUTED'!V:V,"-",0)</f>
        <v>5.5117297390151139</v>
      </c>
      <c r="S122" s="5">
        <f>_xlfn.XLOOKUP(A122,'[2]LX COMPUTED'!A:A,'[2]LX COMPUTED'!W:W,"-",0)</f>
        <v>0.44545538164564147</v>
      </c>
      <c r="T122" s="5">
        <f>_xlfn.XLOOKUP(A122,'[2]LX COMPUTED'!A:A,'[2]LX COMPUTED'!AK:AK,"-",0)</f>
        <v>1.3946735514275135</v>
      </c>
      <c r="U122" s="5">
        <f>_xlfn.XLOOKUP(A122,'[2]LX COMPUTED'!A:A,'[2]LX COMPUTED'!AL:AL,"-",0)</f>
        <v>6.4218307979498276E-2</v>
      </c>
      <c r="V122" s="2">
        <f>_xlfn.XLOOKUP(A122,'[2]LX COMPUTED'!A:A,'[2]LX COMPUTED'!AE:AE,"-",0)</f>
        <v>0.52049571020019059</v>
      </c>
      <c r="W122" s="2">
        <f>_xlfn.XLOOKUP(A122,'[2]LX COMPUTED'!A:A,'[2]LX COMPUTED'!AF:AF,"-",0)</f>
        <v>1.6045088586994508E-2</v>
      </c>
    </row>
    <row r="123" spans="1:23" x14ac:dyDescent="0.2">
      <c r="A123" t="s">
        <v>396</v>
      </c>
      <c r="B123">
        <v>0.253</v>
      </c>
      <c r="C123">
        <v>46.758099999999999</v>
      </c>
      <c r="D123">
        <v>-28.665800000000001</v>
      </c>
      <c r="E123">
        <v>1295</v>
      </c>
      <c r="F123">
        <v>8.08</v>
      </c>
      <c r="G123">
        <v>0.94</v>
      </c>
      <c r="H123">
        <v>0.21</v>
      </c>
      <c r="I123">
        <v>0.11</v>
      </c>
      <c r="J123" t="s">
        <v>739</v>
      </c>
      <c r="K123">
        <v>1268</v>
      </c>
      <c r="L123">
        <v>1022</v>
      </c>
      <c r="M123">
        <v>1.2</v>
      </c>
      <c r="N123" s="5">
        <v>2.3900000000000001E-12</v>
      </c>
      <c r="O123" s="5">
        <v>8.0999999999999996E-14</v>
      </c>
      <c r="P123" s="5">
        <f>_xlfn.XLOOKUP(A123,'[2]LX COMPUTED'!A:A,'[2]LX COMPUTED'!T:T,"-",0)</f>
        <v>4.3980195983112527</v>
      </c>
      <c r="Q123" s="5">
        <f>_xlfn.XLOOKUP(A123,'[2]LX COMPUTED'!A:A,'[2]LX COMPUTED'!U:U,"-",0)</f>
        <v>0.14913397901355724</v>
      </c>
      <c r="R123" s="5">
        <f>_xlfn.XLOOKUP(A123,'[2]LX COMPUTED'!A:A,'[2]LX COMPUTED'!V:V,"-",0)</f>
        <v>7.1458374245196534</v>
      </c>
      <c r="S123" s="5">
        <f>_xlfn.XLOOKUP(A123,'[2]LX COMPUTED'!A:A,'[2]LX COMPUTED'!W:W,"-",0)</f>
        <v>0.47099440721562363</v>
      </c>
      <c r="T123" s="5">
        <f>_xlfn.XLOOKUP(A123,'[2]LX COMPUTED'!A:A,'[2]LX COMPUTED'!AK:AK,"-",0)</f>
        <v>1.6899150110102088</v>
      </c>
      <c r="U123" s="5">
        <f>_xlfn.XLOOKUP(A123,'[2]LX COMPUTED'!A:A,'[2]LX COMPUTED'!AL:AL,"-",0)</f>
        <v>5.7303916945586987E-2</v>
      </c>
      <c r="V123" s="2">
        <f>_xlfn.XLOOKUP(A123,'[2]LX COMPUTED'!A:A,'[2]LX COMPUTED'!AE:AE,"-",0)</f>
        <v>0.60113295568143954</v>
      </c>
      <c r="W123" s="2">
        <f>_xlfn.XLOOKUP(A123,'[2]LX COMPUTED'!A:A,'[2]LX COMPUTED'!AF:AF,"-",0)</f>
        <v>1.0532762477017944E-2</v>
      </c>
    </row>
    <row r="124" spans="1:23" x14ac:dyDescent="0.2">
      <c r="A124" t="s">
        <v>57</v>
      </c>
      <c r="B124">
        <v>6.8000000000000005E-2</v>
      </c>
      <c r="C124">
        <v>47.898899999999998</v>
      </c>
      <c r="D124">
        <v>-26.898499999999999</v>
      </c>
      <c r="E124">
        <v>803</v>
      </c>
      <c r="F124">
        <v>2.99</v>
      </c>
      <c r="G124">
        <v>0.05</v>
      </c>
      <c r="H124">
        <v>0.25</v>
      </c>
      <c r="I124">
        <v>0.05</v>
      </c>
      <c r="J124" t="s">
        <v>740</v>
      </c>
      <c r="K124">
        <v>1396</v>
      </c>
      <c r="L124">
        <v>1022</v>
      </c>
      <c r="M124">
        <v>1.4</v>
      </c>
      <c r="N124" s="5">
        <v>1.6799999999999999E-12</v>
      </c>
      <c r="O124" s="5">
        <v>9.7000000000000003E-14</v>
      </c>
      <c r="P124" s="5">
        <f>_xlfn.XLOOKUP(A124,'[2]LX COMPUTED'!A:A,'[2]LX COMPUTED'!T:T,"-",0)</f>
        <v>0.20018767418846406</v>
      </c>
      <c r="Q124" s="5">
        <f>_xlfn.XLOOKUP(A124,'[2]LX COMPUTED'!A:A,'[2]LX COMPUTED'!U:U,"-",0)</f>
        <v>1.1547436139162691E-2</v>
      </c>
      <c r="R124" s="5">
        <f>_xlfn.XLOOKUP(A124,'[2]LX COMPUTED'!A:A,'[2]LX COMPUTED'!V:V,"-",0)</f>
        <v>0.2678649047325532</v>
      </c>
      <c r="S124" s="5">
        <f>_xlfn.XLOOKUP(A124,'[2]LX COMPUTED'!A:A,'[2]LX COMPUTED'!W:W,"-",0)</f>
        <v>1.5469168034851139E-2</v>
      </c>
      <c r="T124" s="5">
        <f>_xlfn.XLOOKUP(A124,'[2]LX COMPUTED'!A:A,'[2]LX COMPUTED'!AK:AK,"-",0)</f>
        <v>0.10719652658486155</v>
      </c>
      <c r="U124" s="5">
        <f>_xlfn.XLOOKUP(A124,'[2]LX COMPUTED'!A:A,'[2]LX COMPUTED'!AL:AL,"-",0)</f>
        <v>6.1834228810380776E-3</v>
      </c>
      <c r="V124" s="2">
        <f>_xlfn.XLOOKUP(A124,'[2]LX COMPUTED'!A:A,'[2]LX COMPUTED'!AE:AE,"-",0)</f>
        <v>0.35501230012300128</v>
      </c>
      <c r="W124" s="2">
        <f>_xlfn.XLOOKUP(A124,'[2]LX COMPUTED'!A:A,'[2]LX COMPUTED'!AF:AF,"-",0)</f>
        <v>1.9729455877391795E-2</v>
      </c>
    </row>
    <row r="125" spans="1:23" x14ac:dyDescent="0.2">
      <c r="A125" t="s">
        <v>58</v>
      </c>
      <c r="B125">
        <v>7.5200000000000003E-2</v>
      </c>
      <c r="C125">
        <v>49.490499999999997</v>
      </c>
      <c r="D125">
        <v>-44.238399999999999</v>
      </c>
      <c r="E125">
        <v>1163</v>
      </c>
      <c r="F125">
        <v>5.49</v>
      </c>
      <c r="G125">
        <v>0.37</v>
      </c>
      <c r="H125">
        <v>0.32</v>
      </c>
      <c r="I125">
        <v>0.15</v>
      </c>
      <c r="J125" t="s">
        <v>740</v>
      </c>
      <c r="K125">
        <v>5153</v>
      </c>
      <c r="L125">
        <v>4097</v>
      </c>
      <c r="M125">
        <v>1.3</v>
      </c>
      <c r="N125" s="5">
        <v>8.7899999999999995E-12</v>
      </c>
      <c r="O125" s="5">
        <v>1.1E-13</v>
      </c>
      <c r="P125" s="5">
        <f>_xlfn.XLOOKUP(A125,'[2]LX COMPUTED'!A:A,'[2]LX COMPUTED'!T:T,"-",0)</f>
        <v>1.2229273421388804</v>
      </c>
      <c r="Q125" s="5">
        <f>_xlfn.XLOOKUP(A125,'[2]LX COMPUTED'!A:A,'[2]LX COMPUTED'!U:U,"-",0)</f>
        <v>1.5824211528766129E-2</v>
      </c>
      <c r="R125" s="5">
        <f>_xlfn.XLOOKUP(A125,'[2]LX COMPUTED'!A:A,'[2]LX COMPUTED'!V:V,"-",0)</f>
        <v>1.7666662783002529</v>
      </c>
      <c r="S125" s="5">
        <f>_xlfn.XLOOKUP(A125,'[2]LX COMPUTED'!A:A,'[2]LX COMPUTED'!W:W,"-",0)</f>
        <v>4.555279633553154E-2</v>
      </c>
      <c r="T125" s="5">
        <f>_xlfn.XLOOKUP(A125,'[2]LX COMPUTED'!A:A,'[2]LX COMPUTED'!AK:AK,"-",0)</f>
        <v>0.51868473831476458</v>
      </c>
      <c r="U125" s="5">
        <f>_xlfn.XLOOKUP(A125,'[2]LX COMPUTED'!A:A,'[2]LX COMPUTED'!AL:AL,"-",0)</f>
        <v>6.7115819010802958E-3</v>
      </c>
      <c r="V125" s="2">
        <f>_xlfn.XLOOKUP(A125,'[2]LX COMPUTED'!A:A,'[2]LX COMPUTED'!AE:AE,"-",0)</f>
        <v>0.76200021670820228</v>
      </c>
      <c r="W125" s="2">
        <f>_xlfn.XLOOKUP(A125,'[2]LX COMPUTED'!A:A,'[2]LX COMPUTED'!AF:AF,"-",0)</f>
        <v>2.520582032507746E-3</v>
      </c>
    </row>
    <row r="126" spans="1:23" x14ac:dyDescent="0.2">
      <c r="A126" t="s">
        <v>401</v>
      </c>
      <c r="B126">
        <v>6.9000000000000006E-2</v>
      </c>
      <c r="C126">
        <v>50.484900000000003</v>
      </c>
      <c r="D126">
        <v>-51.326599999999999</v>
      </c>
      <c r="E126">
        <v>738</v>
      </c>
      <c r="F126">
        <v>2.11</v>
      </c>
      <c r="G126">
        <v>0.37</v>
      </c>
      <c r="H126">
        <v>0.1</v>
      </c>
      <c r="I126">
        <v>0.1</v>
      </c>
      <c r="J126" t="s">
        <v>739</v>
      </c>
      <c r="K126">
        <v>1516</v>
      </c>
      <c r="L126">
        <v>1022</v>
      </c>
      <c r="M126">
        <v>1.5</v>
      </c>
      <c r="N126" s="5">
        <v>6.7199999999999996E-13</v>
      </c>
      <c r="O126" s="5">
        <v>1.1999999999999999E-13</v>
      </c>
      <c r="P126" s="5">
        <f>_xlfn.XLOOKUP(A126,'[2]LX COMPUTED'!A:A,'[2]LX COMPUTED'!T:T,"-",0)</f>
        <v>8.3968521783380462E-2</v>
      </c>
      <c r="Q126" s="5">
        <f>_xlfn.XLOOKUP(A126,'[2]LX COMPUTED'!A:A,'[2]LX COMPUTED'!U:U,"-",0)</f>
        <v>1.4701051352855907E-2</v>
      </c>
      <c r="R126" s="5">
        <f>_xlfn.XLOOKUP(A126,'[2]LX COMPUTED'!A:A,'[2]LX COMPUTED'!V:V,"-",0)</f>
        <v>0.11632137844629628</v>
      </c>
      <c r="S126" s="5">
        <f>_xlfn.XLOOKUP(A126,'[2]LX COMPUTED'!A:A,'[2]LX COMPUTED'!W:W,"-",0)</f>
        <v>2.0525773357373021E-2</v>
      </c>
      <c r="T126" s="5">
        <f>_xlfn.XLOOKUP(A126,'[2]LX COMPUTED'!A:A,'[2]LX COMPUTED'!AK:AK,"-",0)</f>
        <v>5.25810088500996E-2</v>
      </c>
      <c r="U126" s="5">
        <f>_xlfn.XLOOKUP(A126,'[2]LX COMPUTED'!A:A,'[2]LX COMPUTED'!AL:AL,"-",0)</f>
        <v>9.2057844400838442E-3</v>
      </c>
      <c r="V126" s="2">
        <f>_xlfn.XLOOKUP(A126,'[2]LX COMPUTED'!A:A,'[2]LX COMPUTED'!AE:AE,"-",0)</f>
        <v>0.68111748802352612</v>
      </c>
      <c r="W126" s="2">
        <f>_xlfn.XLOOKUP(A126,'[2]LX COMPUTED'!A:A,'[2]LX COMPUTED'!AF:AF,"-",0)</f>
        <v>4.0775605870457844E-2</v>
      </c>
    </row>
    <row r="127" spans="1:23" x14ac:dyDescent="0.2">
      <c r="A127" t="s">
        <v>60</v>
      </c>
      <c r="B127">
        <v>8.5999999999999993E-2</v>
      </c>
      <c r="C127">
        <v>52.1494</v>
      </c>
      <c r="D127">
        <v>-55.718000000000004</v>
      </c>
      <c r="E127">
        <v>1063</v>
      </c>
      <c r="F127">
        <v>4.8099999999999996</v>
      </c>
      <c r="G127">
        <v>0.33</v>
      </c>
      <c r="H127">
        <v>0.36</v>
      </c>
      <c r="I127">
        <v>0.09</v>
      </c>
      <c r="J127" t="s">
        <v>739</v>
      </c>
      <c r="K127">
        <v>1216</v>
      </c>
      <c r="L127">
        <v>1022</v>
      </c>
      <c r="M127">
        <v>1.2</v>
      </c>
      <c r="N127" s="5">
        <v>5.5599999999999997E-12</v>
      </c>
      <c r="O127" s="5">
        <v>2.0000000000000001E-13</v>
      </c>
      <c r="P127" s="5">
        <f>_xlfn.XLOOKUP(A127,'[2]LX COMPUTED'!A:A,'[2]LX COMPUTED'!T:T,"-",0)</f>
        <v>1.0460290847987053</v>
      </c>
      <c r="Q127" s="5">
        <f>_xlfn.XLOOKUP(A127,'[2]LX COMPUTED'!A:A,'[2]LX COMPUTED'!U:U,"-",0)</f>
        <v>3.8132764080833534E-2</v>
      </c>
      <c r="R127" s="5">
        <f>_xlfn.XLOOKUP(A127,'[2]LX COMPUTED'!A:A,'[2]LX COMPUTED'!V:V,"-",0)</f>
        <v>1.4652963252665725</v>
      </c>
      <c r="S127" s="5">
        <f>_xlfn.XLOOKUP(A127,'[2]LX COMPUTED'!A:A,'[2]LX COMPUTED'!W:W,"-",0)</f>
        <v>6.082958210313319E-2</v>
      </c>
      <c r="T127" s="5">
        <f>_xlfn.XLOOKUP(A127,'[2]LX COMPUTED'!A:A,'[2]LX COMPUTED'!AK:AK,"-",0)</f>
        <v>0.46152703187276889</v>
      </c>
      <c r="U127" s="5">
        <f>_xlfn.XLOOKUP(A127,'[2]LX COMPUTED'!A:A,'[2]LX COMPUTED'!AL:AL,"-",0)</f>
        <v>1.6824868140945044E-2</v>
      </c>
      <c r="V127" s="2">
        <f>_xlfn.XLOOKUP(A127,'[2]LX COMPUTED'!A:A,'[2]LX COMPUTED'!AE:AE,"-",0)</f>
        <v>0.53498286383014293</v>
      </c>
      <c r="W127" s="2">
        <f>_xlfn.XLOOKUP(A127,'[2]LX COMPUTED'!A:A,'[2]LX COMPUTED'!AF:AF,"-",0)</f>
        <v>1.1708486973161876E-2</v>
      </c>
    </row>
    <row r="128" spans="1:23" x14ac:dyDescent="0.2">
      <c r="A128" t="s">
        <v>62</v>
      </c>
      <c r="B128">
        <v>0.06</v>
      </c>
      <c r="C128">
        <v>52.460900000000002</v>
      </c>
      <c r="D128">
        <v>-52.580399999999997</v>
      </c>
      <c r="E128">
        <v>879</v>
      </c>
      <c r="F128">
        <v>2.66</v>
      </c>
      <c r="G128">
        <v>0.24</v>
      </c>
      <c r="H128">
        <v>0.24</v>
      </c>
      <c r="I128">
        <v>0.1</v>
      </c>
      <c r="J128" t="s">
        <v>740</v>
      </c>
      <c r="K128">
        <v>1503</v>
      </c>
      <c r="L128">
        <v>1022</v>
      </c>
      <c r="M128">
        <v>1.5</v>
      </c>
      <c r="N128" s="5">
        <v>3.09E-12</v>
      </c>
      <c r="O128" s="5">
        <v>1.6E-13</v>
      </c>
      <c r="P128" s="5">
        <f>_xlfn.XLOOKUP(A128,'[2]LX COMPUTED'!A:A,'[2]LX COMPUTED'!T:T,"-",0)</f>
        <v>0.27662081046474485</v>
      </c>
      <c r="Q128" s="5">
        <f>_xlfn.XLOOKUP(A128,'[2]LX COMPUTED'!A:A,'[2]LX COMPUTED'!U:U,"-",0)</f>
        <v>1.4231739998935424E-2</v>
      </c>
      <c r="R128" s="5">
        <f>_xlfn.XLOOKUP(A128,'[2]LX COMPUTED'!A:A,'[2]LX COMPUTED'!V:V,"-",0)</f>
        <v>0.37118339972112607</v>
      </c>
      <c r="S128" s="5">
        <f>_xlfn.XLOOKUP(A128,'[2]LX COMPUTED'!A:A,'[2]LX COMPUTED'!W:W,"-",0)</f>
        <v>1.9838359832428071E-2</v>
      </c>
      <c r="T128" s="5">
        <f>_xlfn.XLOOKUP(A128,'[2]LX COMPUTED'!A:A,'[2]LX COMPUTED'!AK:AK,"-",0)</f>
        <v>0.15612058847235161</v>
      </c>
      <c r="U128" s="5">
        <f>_xlfn.XLOOKUP(A128,'[2]LX COMPUTED'!A:A,'[2]LX COMPUTED'!AL:AL,"-",0)</f>
        <v>8.0321781281979098E-3</v>
      </c>
      <c r="V128" s="2">
        <f>_xlfn.XLOOKUP(A128,'[2]LX COMPUTED'!A:A,'[2]LX COMPUTED'!AE:AE,"-",0)</f>
        <v>0.41432903714935565</v>
      </c>
      <c r="W128" s="2">
        <f>_xlfn.XLOOKUP(A128,'[2]LX COMPUTED'!A:A,'[2]LX COMPUTED'!AF:AF,"-",0)</f>
        <v>1.7154127823505002E-2</v>
      </c>
    </row>
    <row r="129" spans="1:23" x14ac:dyDescent="0.2">
      <c r="A129" t="s">
        <v>66</v>
      </c>
      <c r="B129">
        <v>0.06</v>
      </c>
      <c r="C129">
        <v>55.713900000000002</v>
      </c>
      <c r="D129">
        <v>-53.6297</v>
      </c>
      <c r="E129">
        <v>1077</v>
      </c>
      <c r="F129">
        <v>5.52</v>
      </c>
      <c r="G129">
        <v>0.38</v>
      </c>
      <c r="H129">
        <v>0.39</v>
      </c>
      <c r="I129">
        <v>0.1</v>
      </c>
      <c r="J129" t="s">
        <v>740</v>
      </c>
      <c r="K129">
        <v>4951</v>
      </c>
      <c r="L129">
        <v>2047</v>
      </c>
      <c r="M129">
        <v>2.4</v>
      </c>
      <c r="N129" s="5">
        <v>2.0599999999999999E-11</v>
      </c>
      <c r="O129" s="5">
        <v>2.0000000000000001E-13</v>
      </c>
      <c r="P129" s="5">
        <f>_xlfn.XLOOKUP(A129,'[2]LX COMPUTED'!A:A,'[2]LX COMPUTED'!T:T,"-",0)</f>
        <v>1.7829693706340339</v>
      </c>
      <c r="Q129" s="5">
        <f>_xlfn.XLOOKUP(A129,'[2]LX COMPUTED'!A:A,'[2]LX COMPUTED'!U:U,"-",0)</f>
        <v>1.7235370582795666E-2</v>
      </c>
      <c r="R129" s="5">
        <f>_xlfn.XLOOKUP(A129,'[2]LX COMPUTED'!A:A,'[2]LX COMPUTED'!V:V,"-",0)</f>
        <v>2.5755430235580046</v>
      </c>
      <c r="S129" s="5">
        <f>_xlfn.XLOOKUP(A129,'[2]LX COMPUTED'!A:A,'[2]LX COMPUTED'!W:W,"-",0)</f>
        <v>6.3462385871024762E-2</v>
      </c>
      <c r="T129" s="5">
        <f>_xlfn.XLOOKUP(A129,'[2]LX COMPUTED'!A:A,'[2]LX COMPUTED'!AK:AK,"-",0)</f>
        <v>0.75064611468406017</v>
      </c>
      <c r="U129" s="5">
        <f>_xlfn.XLOOKUP(A129,'[2]LX COMPUTED'!A:A,'[2]LX COMPUTED'!AL:AL,"-",0)</f>
        <v>7.2562457752792502E-3</v>
      </c>
      <c r="V129" s="2">
        <f>_xlfn.XLOOKUP(A129,'[2]LX COMPUTED'!A:A,'[2]LX COMPUTED'!AE:AE,"-",0)</f>
        <v>0.38242351529694063</v>
      </c>
      <c r="W129" s="2">
        <f>_xlfn.XLOOKUP(A129,'[2]LX COMPUTED'!A:A,'[2]LX COMPUTED'!AF:AF,"-",0)</f>
        <v>3.475710662791134E-3</v>
      </c>
    </row>
    <row r="130" spans="1:23" x14ac:dyDescent="0.2">
      <c r="A130" t="s">
        <v>79</v>
      </c>
      <c r="B130">
        <v>0.17199999999999999</v>
      </c>
      <c r="C130">
        <v>72.483000000000004</v>
      </c>
      <c r="D130">
        <v>-44.673099999999998</v>
      </c>
      <c r="E130">
        <v>956</v>
      </c>
      <c r="F130">
        <v>4.2300000000000004</v>
      </c>
      <c r="G130">
        <v>0.34</v>
      </c>
      <c r="H130">
        <v>0.17</v>
      </c>
      <c r="I130">
        <v>0.1</v>
      </c>
      <c r="J130" t="s">
        <v>739</v>
      </c>
      <c r="K130">
        <v>1345</v>
      </c>
      <c r="L130">
        <v>1022</v>
      </c>
      <c r="M130">
        <v>1.3</v>
      </c>
      <c r="N130" s="5">
        <v>1.7800000000000001E-12</v>
      </c>
      <c r="O130" s="5">
        <v>8.6999999999999995E-14</v>
      </c>
      <c r="P130" s="5">
        <f>_xlfn.XLOOKUP(A130,'[2]LX COMPUTED'!A:A,'[2]LX COMPUTED'!T:T,"-",0)</f>
        <v>1.4775258982708972</v>
      </c>
      <c r="Q130" s="5">
        <f>_xlfn.XLOOKUP(A130,'[2]LX COMPUTED'!A:A,'[2]LX COMPUTED'!U:U,"-",0)</f>
        <v>7.2329573587531254E-2</v>
      </c>
      <c r="R130" s="5">
        <f>_xlfn.XLOOKUP(A130,'[2]LX COMPUTED'!A:A,'[2]LX COMPUTED'!V:V,"-",0)</f>
        <v>2.040214825579151</v>
      </c>
      <c r="S130" s="5">
        <f>_xlfn.XLOOKUP(A130,'[2]LX COMPUTED'!A:A,'[2]LX COMPUTED'!W:W,"-",0)</f>
        <v>0.10805939728636142</v>
      </c>
      <c r="T130" s="5">
        <f>_xlfn.XLOOKUP(A130,'[2]LX COMPUTED'!A:A,'[2]LX COMPUTED'!AK:AK,"-",0)</f>
        <v>0.69382980876200984</v>
      </c>
      <c r="U130" s="5">
        <f>_xlfn.XLOOKUP(A130,'[2]LX COMPUTED'!A:A,'[2]LX COMPUTED'!AL:AL,"-",0)</f>
        <v>3.3965167222316572E-2</v>
      </c>
      <c r="V130" s="2">
        <f>_xlfn.XLOOKUP(A130,'[2]LX COMPUTED'!A:A,'[2]LX COMPUTED'!AE:AE,"-",0)</f>
        <v>0.47857981220657275</v>
      </c>
      <c r="W130" s="2">
        <f>_xlfn.XLOOKUP(A130,'[2]LX COMPUTED'!A:A,'[2]LX COMPUTED'!AF:AF,"-",0)</f>
        <v>1.6562552863512645E-2</v>
      </c>
    </row>
    <row r="131" spans="1:23" x14ac:dyDescent="0.2">
      <c r="A131" t="s">
        <v>82</v>
      </c>
      <c r="B131">
        <v>0.2</v>
      </c>
      <c r="C131">
        <v>77.571299999999994</v>
      </c>
      <c r="D131">
        <v>-45.3215</v>
      </c>
      <c r="E131">
        <v>1251</v>
      </c>
      <c r="F131">
        <v>7.35</v>
      </c>
      <c r="G131">
        <v>0.84</v>
      </c>
      <c r="H131">
        <v>0.05</v>
      </c>
      <c r="I131">
        <v>0.08</v>
      </c>
      <c r="J131" t="s">
        <v>739</v>
      </c>
      <c r="K131">
        <v>1152</v>
      </c>
      <c r="L131">
        <v>1022</v>
      </c>
      <c r="M131">
        <v>1.1000000000000001</v>
      </c>
      <c r="N131" s="5">
        <v>2.8299999999999999E-12</v>
      </c>
      <c r="O131" s="5">
        <v>7.3000000000000004E-14</v>
      </c>
      <c r="P131" s="5">
        <f>_xlfn.XLOOKUP(A131,'[2]LX COMPUTED'!A:A,'[2]LX COMPUTED'!T:T,"-",0)</f>
        <v>3.2455065271487995</v>
      </c>
      <c r="Q131" s="5">
        <f>_xlfn.XLOOKUP(A131,'[2]LX COMPUTED'!A:A,'[2]LX COMPUTED'!U:U,"-",0)</f>
        <v>8.400309208878276E-2</v>
      </c>
      <c r="R131" s="5">
        <f>_xlfn.XLOOKUP(A131,'[2]LX COMPUTED'!A:A,'[2]LX COMPUTED'!V:V,"-",0)</f>
        <v>5.1112191777762517</v>
      </c>
      <c r="S131" s="5">
        <f>_xlfn.XLOOKUP(A131,'[2]LX COMPUTED'!A:A,'[2]LX COMPUTED'!W:W,"-",0)</f>
        <v>0.28931666199822059</v>
      </c>
      <c r="T131" s="5">
        <f>_xlfn.XLOOKUP(A131,'[2]LX COMPUTED'!A:A,'[2]LX COMPUTED'!AK:AK,"-",0)</f>
        <v>1.2942459012766183</v>
      </c>
      <c r="U131" s="5">
        <f>_xlfn.XLOOKUP(A131,'[2]LX COMPUTED'!A:A,'[2]LX COMPUTED'!AL:AL,"-",0)</f>
        <v>3.3498825752164264E-2</v>
      </c>
      <c r="V131" s="2">
        <f>_xlfn.XLOOKUP(A131,'[2]LX COMPUTED'!A:A,'[2]LX COMPUTED'!AE:AE,"-",0)</f>
        <v>0.52018317503392131</v>
      </c>
      <c r="W131" s="2">
        <f>_xlfn.XLOOKUP(A131,'[2]LX COMPUTED'!A:A,'[2]LX COMPUTED'!AF:AF,"-",0)</f>
        <v>1.2281209740667539E-2</v>
      </c>
    </row>
    <row r="132" spans="1:23" x14ac:dyDescent="0.2">
      <c r="A132" t="s">
        <v>87</v>
      </c>
      <c r="B132">
        <v>0.191</v>
      </c>
      <c r="C132">
        <v>81.453400000000002</v>
      </c>
      <c r="D132">
        <v>-47.252800000000001</v>
      </c>
      <c r="E132">
        <v>1187</v>
      </c>
      <c r="F132">
        <v>6.81</v>
      </c>
      <c r="G132">
        <v>0.59</v>
      </c>
      <c r="H132">
        <v>0.26</v>
      </c>
      <c r="I132">
        <v>0.1</v>
      </c>
      <c r="J132" t="s">
        <v>739</v>
      </c>
      <c r="K132">
        <v>1164</v>
      </c>
      <c r="L132">
        <v>1022</v>
      </c>
      <c r="M132">
        <v>1.1000000000000001</v>
      </c>
      <c r="N132" s="5">
        <v>2.5200000000000002E-12</v>
      </c>
      <c r="O132" s="5">
        <v>8.6999999999999995E-14</v>
      </c>
      <c r="P132" s="5">
        <f>_xlfn.XLOOKUP(A132,'[2]LX COMPUTED'!A:A,'[2]LX COMPUTED'!T:T,"-",0)</f>
        <v>2.5852958825185843</v>
      </c>
      <c r="Q132" s="5">
        <f>_xlfn.XLOOKUP(A132,'[2]LX COMPUTED'!A:A,'[2]LX COMPUTED'!U:U,"-",0)</f>
        <v>8.899098562536642E-2</v>
      </c>
      <c r="R132" s="5">
        <f>_xlfn.XLOOKUP(A132,'[2]LX COMPUTED'!A:A,'[2]LX COMPUTED'!V:V,"-",0)</f>
        <v>3.9664214988644209</v>
      </c>
      <c r="S132" s="5">
        <f>_xlfn.XLOOKUP(A132,'[2]LX COMPUTED'!A:A,'[2]LX COMPUTED'!W:W,"-",0)</f>
        <v>0.19499640676313204</v>
      </c>
      <c r="T132" s="5">
        <f>_xlfn.XLOOKUP(A132,'[2]LX COMPUTED'!A:A,'[2]LX COMPUTED'!AK:AK,"-",0)</f>
        <v>1.0340676808782223</v>
      </c>
      <c r="U132" s="5">
        <f>_xlfn.XLOOKUP(A132,'[2]LX COMPUTED'!A:A,'[2]LX COMPUTED'!AL:AL,"-",0)</f>
        <v>3.5594650015472018E-2</v>
      </c>
      <c r="V132" s="2">
        <f>_xlfn.XLOOKUP(A132,'[2]LX COMPUTED'!A:A,'[2]LX COMPUTED'!AE:AE,"-",0)</f>
        <v>0.53635192343088534</v>
      </c>
      <c r="W132" s="2">
        <f>_xlfn.XLOOKUP(A132,'[2]LX COMPUTED'!A:A,'[2]LX COMPUTED'!AF:AF,"-",0)</f>
        <v>1.2451375092975399E-2</v>
      </c>
    </row>
    <row r="133" spans="1:23" x14ac:dyDescent="0.2">
      <c r="A133" t="s">
        <v>92</v>
      </c>
      <c r="B133">
        <v>0.14799999999999999</v>
      </c>
      <c r="C133">
        <v>86.906499999999994</v>
      </c>
      <c r="D133">
        <v>-31.871200000000002</v>
      </c>
      <c r="E133">
        <v>1282</v>
      </c>
      <c r="F133">
        <v>7.32</v>
      </c>
      <c r="G133">
        <v>0.63</v>
      </c>
      <c r="H133">
        <v>0.2</v>
      </c>
      <c r="I133">
        <v>0.09</v>
      </c>
      <c r="J133" t="s">
        <v>739</v>
      </c>
      <c r="K133">
        <v>1380</v>
      </c>
      <c r="L133">
        <v>1022</v>
      </c>
      <c r="M133">
        <v>1.4</v>
      </c>
      <c r="N133" s="5">
        <v>4.4399999999999997E-12</v>
      </c>
      <c r="O133" s="5">
        <v>1.1999999999999999E-13</v>
      </c>
      <c r="P133" s="5">
        <f>_xlfn.XLOOKUP(A133,'[2]LX COMPUTED'!A:A,'[2]LX COMPUTED'!T:T,"-",0)</f>
        <v>2.5738915904677526</v>
      </c>
      <c r="Q133" s="5">
        <f>_xlfn.XLOOKUP(A133,'[2]LX COMPUTED'!A:A,'[2]LX COMPUTED'!U:U,"-",0)</f>
        <v>7.099784194575956E-2</v>
      </c>
      <c r="R133" s="5">
        <f>_xlfn.XLOOKUP(A133,'[2]LX COMPUTED'!A:A,'[2]LX COMPUTED'!V:V,"-",0)</f>
        <v>4.0414750193920437</v>
      </c>
      <c r="S133" s="5">
        <f>_xlfn.XLOOKUP(A133,'[2]LX COMPUTED'!A:A,'[2]LX COMPUTED'!W:W,"-",0)</f>
        <v>0.18892226889781127</v>
      </c>
      <c r="T133" s="5">
        <f>_xlfn.XLOOKUP(A133,'[2]LX COMPUTED'!A:A,'[2]LX COMPUTED'!AK:AK,"-",0)</f>
        <v>1.0135584365562691</v>
      </c>
      <c r="U133" s="5">
        <f>_xlfn.XLOOKUP(A133,'[2]LX COMPUTED'!A:A,'[2]LX COMPUTED'!AL:AL,"-",0)</f>
        <v>2.7957844824511743E-2</v>
      </c>
      <c r="V133" s="2">
        <f>_xlfn.XLOOKUP(A133,'[2]LX COMPUTED'!A:A,'[2]LX COMPUTED'!AE:AE,"-",0)</f>
        <v>0.51723013371018589</v>
      </c>
      <c r="W133" s="2">
        <f>_xlfn.XLOOKUP(A133,'[2]LX COMPUTED'!A:A,'[2]LX COMPUTED'!AF:AF,"-",0)</f>
        <v>9.497180223551574E-3</v>
      </c>
    </row>
    <row r="134" spans="1:23" x14ac:dyDescent="0.2">
      <c r="A134" t="s">
        <v>458</v>
      </c>
      <c r="B134">
        <v>0.14099999999999999</v>
      </c>
      <c r="C134">
        <v>91.474900000000005</v>
      </c>
      <c r="D134">
        <v>-35.302199999999999</v>
      </c>
      <c r="E134">
        <v>992</v>
      </c>
      <c r="F134">
        <v>4.5</v>
      </c>
      <c r="G134">
        <v>0.26</v>
      </c>
      <c r="H134">
        <v>0.4</v>
      </c>
      <c r="I134">
        <v>0.09</v>
      </c>
      <c r="J134" t="s">
        <v>739</v>
      </c>
      <c r="K134">
        <v>1195</v>
      </c>
      <c r="L134">
        <v>1022</v>
      </c>
      <c r="M134">
        <v>1.2</v>
      </c>
      <c r="N134" s="5">
        <v>5.0800000000000002E-12</v>
      </c>
      <c r="O134" s="5">
        <v>2.0000000000000001E-13</v>
      </c>
      <c r="P134" s="5">
        <f>_xlfn.XLOOKUP(A134,'[2]LX COMPUTED'!A:A,'[2]LX COMPUTED'!T:T,"-",0)</f>
        <v>2.8590630306569293</v>
      </c>
      <c r="Q134" s="5">
        <f>_xlfn.XLOOKUP(A134,'[2]LX COMPUTED'!A:A,'[2]LX COMPUTED'!U:U,"-",0)</f>
        <v>0.11174336417740748</v>
      </c>
      <c r="R134" s="5">
        <f>_xlfn.XLOOKUP(A134,'[2]LX COMPUTED'!A:A,'[2]LX COMPUTED'!V:V,"-",0)</f>
        <v>3.95506922901501</v>
      </c>
      <c r="S134" s="5">
        <f>_xlfn.XLOOKUP(A134,'[2]LX COMPUTED'!A:A,'[2]LX COMPUTED'!W:W,"-",0)</f>
        <v>0.1661754460029834</v>
      </c>
      <c r="T134" s="5">
        <f>_xlfn.XLOOKUP(A134,'[2]LX COMPUTED'!A:A,'[2]LX COMPUTED'!AK:AK,"-",0)</f>
        <v>1.2896076226065702</v>
      </c>
      <c r="U134" s="5">
        <f>_xlfn.XLOOKUP(A134,'[2]LX COMPUTED'!A:A,'[2]LX COMPUTED'!AL:AL,"-",0)</f>
        <v>5.040290916068943E-2</v>
      </c>
      <c r="V134" s="2">
        <f>_xlfn.XLOOKUP(A134,'[2]LX COMPUTED'!A:A,'[2]LX COMPUTED'!AE:AE,"-",0)</f>
        <v>0.60979171470294369</v>
      </c>
      <c r="W134" s="2">
        <f>_xlfn.XLOOKUP(A134,'[2]LX COMPUTED'!A:A,'[2]LX COMPUTED'!AF:AF,"-",0)</f>
        <v>1.2329791152614285E-2</v>
      </c>
    </row>
    <row r="135" spans="1:23" x14ac:dyDescent="0.2">
      <c r="A135" t="s">
        <v>463</v>
      </c>
      <c r="B135">
        <v>5.0999999999999997E-2</v>
      </c>
      <c r="C135">
        <v>96.578500000000005</v>
      </c>
      <c r="D135">
        <v>-53.692599999999999</v>
      </c>
      <c r="E135">
        <v>1189</v>
      </c>
      <c r="F135">
        <v>5.79</v>
      </c>
      <c r="G135">
        <v>0.22</v>
      </c>
      <c r="H135">
        <v>0.23</v>
      </c>
      <c r="I135">
        <v>7.0000000000000007E-2</v>
      </c>
      <c r="J135" t="s">
        <v>740</v>
      </c>
      <c r="K135">
        <v>3020</v>
      </c>
      <c r="L135">
        <v>1022</v>
      </c>
      <c r="M135">
        <v>3</v>
      </c>
      <c r="N135" s="5">
        <v>1.43E-11</v>
      </c>
      <c r="O135" s="5">
        <v>3.2E-13</v>
      </c>
      <c r="P135" s="5">
        <f>_xlfn.XLOOKUP(A135,'[2]LX COMPUTED'!A:A,'[2]LX COMPUTED'!T:T,"-",0)</f>
        <v>0.91488441923868602</v>
      </c>
      <c r="Q135" s="5">
        <f>_xlfn.XLOOKUP(A135,'[2]LX COMPUTED'!A:A,'[2]LX COMPUTED'!U:U,"-",0)</f>
        <v>2.0212891699011783E-2</v>
      </c>
      <c r="R135" s="5">
        <f>_xlfn.XLOOKUP(A135,'[2]LX COMPUTED'!A:A,'[2]LX COMPUTED'!V:V,"-",0)</f>
        <v>1.3401762082324367</v>
      </c>
      <c r="S135" s="5">
        <f>_xlfn.XLOOKUP(A135,'[2]LX COMPUTED'!A:A,'[2]LX COMPUTED'!W:W,"-",0)</f>
        <v>3.4561915776720104E-2</v>
      </c>
      <c r="T135" s="5">
        <f>_xlfn.XLOOKUP(A135,'[2]LX COMPUTED'!A:A,'[2]LX COMPUTED'!AK:AK,"-",0)</f>
        <v>0.38388037710743983</v>
      </c>
      <c r="U135" s="5">
        <f>_xlfn.XLOOKUP(A135,'[2]LX COMPUTED'!A:A,'[2]LX COMPUTED'!AL:AL,"-",0)</f>
        <v>8.4812161237868174E-3</v>
      </c>
      <c r="V135" s="2">
        <f>_xlfn.XLOOKUP(A135,'[2]LX COMPUTED'!A:A,'[2]LX COMPUTED'!AE:AE,"-",0)</f>
        <v>0.36694280777920524</v>
      </c>
      <c r="W135" s="2">
        <f>_xlfn.XLOOKUP(A135,'[2]LX COMPUTED'!A:A,'[2]LX COMPUTED'!AF:AF,"-",0)</f>
        <v>7.4765605502599098E-3</v>
      </c>
    </row>
    <row r="136" spans="1:23" x14ac:dyDescent="0.2">
      <c r="A136" t="s">
        <v>99</v>
      </c>
      <c r="B136">
        <v>5.0999999999999997E-2</v>
      </c>
      <c r="C136">
        <v>96.680599999999998</v>
      </c>
      <c r="D136">
        <v>-54.543500000000002</v>
      </c>
      <c r="E136">
        <v>1053</v>
      </c>
      <c r="F136">
        <v>4.5999999999999996</v>
      </c>
      <c r="G136">
        <v>0.26</v>
      </c>
      <c r="H136">
        <v>0.15</v>
      </c>
      <c r="I136">
        <v>7.0000000000000007E-2</v>
      </c>
      <c r="J136" t="s">
        <v>739</v>
      </c>
      <c r="K136">
        <v>2725</v>
      </c>
      <c r="L136">
        <v>1022</v>
      </c>
      <c r="M136">
        <v>2.7</v>
      </c>
      <c r="N136" s="5">
        <v>8.0999999999999998E-12</v>
      </c>
      <c r="O136" s="5">
        <v>2.6E-13</v>
      </c>
      <c r="P136" s="5">
        <f>_xlfn.XLOOKUP(A136,'[2]LX COMPUTED'!A:A,'[2]LX COMPUTED'!T:T,"-",0)</f>
        <v>0.54961122046428135</v>
      </c>
      <c r="Q136" s="5">
        <f>_xlfn.XLOOKUP(A136,'[2]LX COMPUTED'!A:A,'[2]LX COMPUTED'!U:U,"-",0)</f>
        <v>1.7757175914761052E-2</v>
      </c>
      <c r="R136" s="5">
        <f>_xlfn.XLOOKUP(A136,'[2]LX COMPUTED'!A:A,'[2]LX COMPUTED'!V:V,"-",0)</f>
        <v>0.76797594253754209</v>
      </c>
      <c r="S136" s="5">
        <f>_xlfn.XLOOKUP(A136,'[2]LX COMPUTED'!A:A,'[2]LX COMPUTED'!W:W,"-",0)</f>
        <v>2.7613566207461512E-2</v>
      </c>
      <c r="T136" s="5">
        <f>_xlfn.XLOOKUP(A136,'[2]LX COMPUTED'!A:A,'[2]LX COMPUTED'!AK:AK,"-",0)</f>
        <v>0.25037452063700594</v>
      </c>
      <c r="U136" s="5">
        <f>_xlfn.XLOOKUP(A136,'[2]LX COMPUTED'!A:A,'[2]LX COMPUTED'!AL:AL,"-",0)</f>
        <v>8.0892533521597261E-3</v>
      </c>
      <c r="V136" s="2">
        <f>_xlfn.XLOOKUP(A136,'[2]LX COMPUTED'!A:A,'[2]LX COMPUTED'!AE:AE,"-",0)</f>
        <v>0.32480626614448793</v>
      </c>
      <c r="W136" s="2">
        <f>_xlfn.XLOOKUP(A136,'[2]LX COMPUTED'!A:A,'[2]LX COMPUTED'!AF:AF,"-",0)</f>
        <v>1.1038249748593437E-2</v>
      </c>
    </row>
    <row r="137" spans="1:23" x14ac:dyDescent="0.2">
      <c r="A137" t="s">
        <v>100</v>
      </c>
      <c r="B137">
        <v>0.20300000000000001</v>
      </c>
      <c r="C137">
        <v>99.308800000000005</v>
      </c>
      <c r="D137">
        <v>-48.471899999999998</v>
      </c>
      <c r="E137">
        <v>1215</v>
      </c>
      <c r="F137">
        <v>7</v>
      </c>
      <c r="G137">
        <v>0.49</v>
      </c>
      <c r="H137">
        <v>0.28999999999999998</v>
      </c>
      <c r="I137">
        <v>0.1</v>
      </c>
      <c r="J137" t="s">
        <v>739</v>
      </c>
      <c r="K137">
        <v>1120</v>
      </c>
      <c r="L137">
        <v>1022</v>
      </c>
      <c r="M137">
        <v>1.1000000000000001</v>
      </c>
      <c r="N137" s="5">
        <v>2.3499999999999999E-12</v>
      </c>
      <c r="O137" s="5">
        <v>5.6999999999999997E-14</v>
      </c>
      <c r="P137" s="5">
        <f>_xlfn.XLOOKUP(A137,'[2]LX COMPUTED'!A:A,'[2]LX COMPUTED'!T:T,"-",0)</f>
        <v>2.8225603283997658</v>
      </c>
      <c r="Q137" s="5">
        <f>_xlfn.XLOOKUP(A137,'[2]LX COMPUTED'!A:A,'[2]LX COMPUTED'!U:U,"-",0)</f>
        <v>6.8716859314274709E-2</v>
      </c>
      <c r="R137" s="5">
        <f>_xlfn.XLOOKUP(A137,'[2]LX COMPUTED'!A:A,'[2]LX COMPUTED'!V:V,"-",0)</f>
        <v>4.3658718888637864</v>
      </c>
      <c r="S137" s="5">
        <f>_xlfn.XLOOKUP(A137,'[2]LX COMPUTED'!A:A,'[2]LX COMPUTED'!W:W,"-",0)</f>
        <v>0.16746045398619652</v>
      </c>
      <c r="T137" s="5">
        <f>_xlfn.XLOOKUP(A137,'[2]LX COMPUTED'!A:A,'[2]LX COMPUTED'!AK:AK,"-",0)</f>
        <v>1.1172515979082815</v>
      </c>
      <c r="U137" s="5">
        <f>_xlfn.XLOOKUP(A137,'[2]LX COMPUTED'!A:A,'[2]LX COMPUTED'!AL:AL,"-",0)</f>
        <v>2.7200134608155065E-2</v>
      </c>
      <c r="V137" s="2">
        <f>_xlfn.XLOOKUP(A137,'[2]LX COMPUTED'!A:A,'[2]LX COMPUTED'!AE:AE,"-",0)</f>
        <v>0.39928516721981105</v>
      </c>
      <c r="W137" s="2">
        <f>_xlfn.XLOOKUP(A137,'[2]LX COMPUTED'!A:A,'[2]LX COMPUTED'!AF:AF,"-",0)</f>
        <v>9.6386040938875109E-3</v>
      </c>
    </row>
    <row r="138" spans="1:23" x14ac:dyDescent="0.2">
      <c r="A138" t="s">
        <v>104</v>
      </c>
      <c r="B138">
        <v>0.16700000000000001</v>
      </c>
      <c r="C138">
        <v>101.37</v>
      </c>
      <c r="D138">
        <v>-54.228400000000001</v>
      </c>
      <c r="E138">
        <v>1437</v>
      </c>
      <c r="F138">
        <v>8.31</v>
      </c>
      <c r="G138">
        <v>0.71</v>
      </c>
      <c r="H138">
        <v>0</v>
      </c>
      <c r="I138">
        <v>0.04</v>
      </c>
      <c r="J138" t="s">
        <v>739</v>
      </c>
      <c r="K138">
        <v>1186</v>
      </c>
      <c r="L138">
        <v>1022</v>
      </c>
      <c r="M138">
        <v>1.2</v>
      </c>
      <c r="N138" s="5">
        <v>7.4400000000000006E-12</v>
      </c>
      <c r="O138" s="5">
        <v>1.7999999999999999E-13</v>
      </c>
      <c r="P138" s="5">
        <f>_xlfn.XLOOKUP(A138,'[2]LX COMPUTED'!A:A,'[2]LX COMPUTED'!T:T,"-",0)</f>
        <v>5.8337246242750984</v>
      </c>
      <c r="Q138" s="5">
        <f>_xlfn.XLOOKUP(A138,'[2]LX COMPUTED'!A:A,'[2]LX COMPUTED'!U:U,"-",0)</f>
        <v>0.14361274422619633</v>
      </c>
      <c r="R138" s="5">
        <f>_xlfn.XLOOKUP(A138,'[2]LX COMPUTED'!A:A,'[2]LX COMPUTED'!V:V,"-",0)</f>
        <v>9.5947091223850052</v>
      </c>
      <c r="S138" s="5">
        <f>_xlfn.XLOOKUP(A138,'[2]LX COMPUTED'!A:A,'[2]LX COMPUTED'!W:W,"-",0)</f>
        <v>0.47107778263366001</v>
      </c>
      <c r="T138" s="5">
        <f>_xlfn.XLOOKUP(A138,'[2]LX COMPUTED'!A:A,'[2]LX COMPUTED'!AK:AK,"-",0)</f>
        <v>2.2695830262225258</v>
      </c>
      <c r="U138" s="5">
        <f>_xlfn.XLOOKUP(A138,'[2]LX COMPUTED'!A:A,'[2]LX COMPUTED'!AL:AL,"-",0)</f>
        <v>5.5871860198665753E-2</v>
      </c>
      <c r="V138" s="2">
        <f>_xlfn.XLOOKUP(A138,'[2]LX COMPUTED'!A:A,'[2]LX COMPUTED'!AE:AE,"-",0)</f>
        <v>0.5269685790611881</v>
      </c>
      <c r="W138" s="2">
        <f>_xlfn.XLOOKUP(A138,'[2]LX COMPUTED'!A:A,'[2]LX COMPUTED'!AF:AF,"-",0)</f>
        <v>9.5466482615942979E-3</v>
      </c>
    </row>
    <row r="139" spans="1:23" x14ac:dyDescent="0.2">
      <c r="A139" t="s">
        <v>480</v>
      </c>
      <c r="B139">
        <v>0.16900000000000001</v>
      </c>
      <c r="C139">
        <v>130.46639999999999</v>
      </c>
      <c r="D139">
        <v>-17.462700000000002</v>
      </c>
      <c r="E139">
        <v>1184</v>
      </c>
      <c r="F139">
        <v>6.16</v>
      </c>
      <c r="G139">
        <v>0.45</v>
      </c>
      <c r="H139">
        <v>0.35</v>
      </c>
      <c r="I139">
        <v>0.09</v>
      </c>
      <c r="J139" t="s">
        <v>740</v>
      </c>
      <c r="K139">
        <v>2308</v>
      </c>
      <c r="L139">
        <v>2047</v>
      </c>
      <c r="M139">
        <v>1.1000000000000001</v>
      </c>
      <c r="N139" s="5">
        <v>3.0799999999999998E-12</v>
      </c>
      <c r="O139" s="5">
        <v>6.2999999999999997E-14</v>
      </c>
      <c r="P139" s="5">
        <f>_xlfn.XLOOKUP(A139,'[2]LX COMPUTED'!A:A,'[2]LX COMPUTED'!T:T,"-",0)</f>
        <v>2.5117436019715038</v>
      </c>
      <c r="Q139" s="5">
        <f>_xlfn.XLOOKUP(A139,'[2]LX COMPUTED'!A:A,'[2]LX COMPUTED'!U:U,"-",0)</f>
        <v>5.1624703499187651E-2</v>
      </c>
      <c r="R139" s="5">
        <f>_xlfn.XLOOKUP(A139,'[2]LX COMPUTED'!A:A,'[2]LX COMPUTED'!V:V,"-",0)</f>
        <v>3.7332512730172263</v>
      </c>
      <c r="S139" s="5">
        <f>_xlfn.XLOOKUP(A139,'[2]LX COMPUTED'!A:A,'[2]LX COMPUTED'!W:W,"-",0)</f>
        <v>0.12742610653765588</v>
      </c>
      <c r="T139" s="5">
        <f>_xlfn.XLOOKUP(A139,'[2]LX COMPUTED'!A:A,'[2]LX COMPUTED'!AK:AK,"-",0)</f>
        <v>1.0240087280890069</v>
      </c>
      <c r="U139" s="5">
        <f>_xlfn.XLOOKUP(A139,'[2]LX COMPUTED'!A:A,'[2]LX COMPUTED'!AL:AL,"-",0)</f>
        <v>2.1046792724656059E-2</v>
      </c>
      <c r="V139" s="2">
        <f>_xlfn.XLOOKUP(A139,'[2]LX COMPUTED'!A:A,'[2]LX COMPUTED'!AE:AE,"-",0)</f>
        <v>0.37717171717171721</v>
      </c>
      <c r="W139" s="2">
        <f>_xlfn.XLOOKUP(A139,'[2]LX COMPUTED'!A:A,'[2]LX COMPUTED'!AF:AF,"-",0)</f>
        <v>8.3147712478043676E-3</v>
      </c>
    </row>
    <row r="140" spans="1:23" x14ac:dyDescent="0.2">
      <c r="A140" t="s">
        <v>150</v>
      </c>
      <c r="B140">
        <v>0.253</v>
      </c>
      <c r="C140">
        <v>155.95920000000001</v>
      </c>
      <c r="D140">
        <v>-27.256399999999999</v>
      </c>
      <c r="E140">
        <v>1229</v>
      </c>
      <c r="F140">
        <v>7.47</v>
      </c>
      <c r="G140">
        <v>0.43</v>
      </c>
      <c r="H140">
        <v>0.32</v>
      </c>
      <c r="I140">
        <v>7.0000000000000007E-2</v>
      </c>
      <c r="J140" t="s">
        <v>739</v>
      </c>
      <c r="K140">
        <v>987</v>
      </c>
      <c r="L140">
        <v>1022</v>
      </c>
      <c r="M140">
        <v>1</v>
      </c>
      <c r="N140" s="5">
        <v>3.3399999999999999E-12</v>
      </c>
      <c r="O140" s="5">
        <v>6.5000000000000001E-14</v>
      </c>
      <c r="P140" s="5">
        <f>_xlfn.XLOOKUP(A140,'[2]LX COMPUTED'!A:A,'[2]LX COMPUTED'!T:T,"-",0)</f>
        <v>6.4001236082151696</v>
      </c>
      <c r="Q140" s="5">
        <f>_xlfn.XLOOKUP(A140,'[2]LX COMPUTED'!A:A,'[2]LX COMPUTED'!U:U,"-",0)</f>
        <v>0.12449861882026012</v>
      </c>
      <c r="R140" s="5">
        <f>_xlfn.XLOOKUP(A140,'[2]LX COMPUTED'!A:A,'[2]LX COMPUTED'!V:V,"-",0)</f>
        <v>10.101585035046648</v>
      </c>
      <c r="S140" s="5">
        <f>_xlfn.XLOOKUP(A140,'[2]LX COMPUTED'!A:A,'[2]LX COMPUTED'!W:W,"-",0)</f>
        <v>0.32736733566516762</v>
      </c>
      <c r="T140" s="5">
        <f>_xlfn.XLOOKUP(A140,'[2]LX COMPUTED'!A:A,'[2]LX COMPUTED'!AK:AK,"-",0)</f>
        <v>2.4788489339552515</v>
      </c>
      <c r="U140" s="5">
        <f>_xlfn.XLOOKUP(A140,'[2]LX COMPUTED'!A:A,'[2]LX COMPUTED'!AL:AL,"-",0)</f>
        <v>4.8219891901051477E-2</v>
      </c>
      <c r="V140" s="2">
        <f>_xlfn.XLOOKUP(A140,'[2]LX COMPUTED'!A:A,'[2]LX COMPUTED'!AE:AE,"-",0)</f>
        <v>0.67810331534309942</v>
      </c>
      <c r="W140" s="2">
        <f>_xlfn.XLOOKUP(A140,'[2]LX COMPUTED'!A:A,'[2]LX COMPUTED'!AF:AF,"-",0)</f>
        <v>4.8688730006693935E-3</v>
      </c>
    </row>
    <row r="141" spans="1:23" x14ac:dyDescent="0.2">
      <c r="A141" t="s">
        <v>182</v>
      </c>
      <c r="B141">
        <v>5.2999999999999999E-2</v>
      </c>
      <c r="C141">
        <v>193.5924</v>
      </c>
      <c r="D141">
        <v>-29.013000000000002</v>
      </c>
      <c r="E141">
        <v>1196</v>
      </c>
      <c r="F141">
        <v>6.28</v>
      </c>
      <c r="G141">
        <v>0.64</v>
      </c>
      <c r="H141">
        <v>0.33</v>
      </c>
      <c r="I141">
        <v>0.16</v>
      </c>
      <c r="J141" t="s">
        <v>739</v>
      </c>
      <c r="K141">
        <v>2839</v>
      </c>
      <c r="L141">
        <v>1022</v>
      </c>
      <c r="M141">
        <v>2.8</v>
      </c>
      <c r="N141" s="5">
        <v>7.4200000000000003E-12</v>
      </c>
      <c r="O141" s="5">
        <v>3.3000000000000001E-13</v>
      </c>
      <c r="P141" s="5">
        <f>_xlfn.XLOOKUP(A141,'[2]LX COMPUTED'!A:A,'[2]LX COMPUTED'!T:T,"-",0)</f>
        <v>0.51830220149168682</v>
      </c>
      <c r="Q141" s="5">
        <f>_xlfn.XLOOKUP(A141,'[2]LX COMPUTED'!A:A,'[2]LX COMPUTED'!U:U,"-",0)</f>
        <v>2.3375586825938141E-2</v>
      </c>
      <c r="R141" s="5">
        <f>_xlfn.XLOOKUP(A141,'[2]LX COMPUTED'!A:A,'[2]LX COMPUTED'!V:V,"-",0)</f>
        <v>0.77506019799250669</v>
      </c>
      <c r="S141" s="5">
        <f>_xlfn.XLOOKUP(A141,'[2]LX COMPUTED'!A:A,'[2]LX COMPUTED'!W:W,"-",0)</f>
        <v>4.5789091209436313E-2</v>
      </c>
      <c r="T141" s="5">
        <f>_xlfn.XLOOKUP(A141,'[2]LX COMPUTED'!A:A,'[2]LX COMPUTED'!AK:AK,"-",0)</f>
        <v>0.21061835298846748</v>
      </c>
      <c r="U141" s="5">
        <f>_xlfn.XLOOKUP(A141,'[2]LX COMPUTED'!A:A,'[2]LX COMPUTED'!AL:AL,"-",0)</f>
        <v>9.4989517375163538E-3</v>
      </c>
      <c r="V141" s="2">
        <f>_xlfn.XLOOKUP(A141,'[2]LX COMPUTED'!A:A,'[2]LX COMPUTED'!AE:AE,"-",0)</f>
        <v>0.53902075307568031</v>
      </c>
      <c r="W141" s="2">
        <f>_xlfn.XLOOKUP(A141,'[2]LX COMPUTED'!A:A,'[2]LX COMPUTED'!AF:AF,"-",0)</f>
        <v>1.4440027098108025E-2</v>
      </c>
    </row>
    <row r="142" spans="1:23" x14ac:dyDescent="0.2">
      <c r="A142" t="s">
        <v>183</v>
      </c>
      <c r="B142">
        <v>5.5E-2</v>
      </c>
      <c r="C142">
        <v>194.34180000000001</v>
      </c>
      <c r="D142">
        <v>-30.363399999999999</v>
      </c>
      <c r="E142">
        <v>1098</v>
      </c>
      <c r="F142">
        <v>5</v>
      </c>
      <c r="G142">
        <v>0.35</v>
      </c>
      <c r="H142">
        <v>0.53</v>
      </c>
      <c r="I142">
        <v>0.11</v>
      </c>
      <c r="J142" t="s">
        <v>739</v>
      </c>
      <c r="K142">
        <v>3925</v>
      </c>
      <c r="L142">
        <v>1022</v>
      </c>
      <c r="M142">
        <v>3.8</v>
      </c>
      <c r="N142" s="5">
        <v>1.0699999999999999E-11</v>
      </c>
      <c r="O142" s="5">
        <v>4.0000000000000001E-13</v>
      </c>
      <c r="P142" s="5">
        <f>_xlfn.XLOOKUP(A142,'[2]LX COMPUTED'!A:A,'[2]LX COMPUTED'!T:T,"-",0)</f>
        <v>0.81418858364561397</v>
      </c>
      <c r="Q142" s="5">
        <f>_xlfn.XLOOKUP(A142,'[2]LX COMPUTED'!A:A,'[2]LX COMPUTED'!U:U,"-",0)</f>
        <v>3.0772934811049344E-2</v>
      </c>
      <c r="R142" s="5">
        <f>_xlfn.XLOOKUP(A142,'[2]LX COMPUTED'!A:A,'[2]LX COMPUTED'!V:V,"-",0)</f>
        <v>1.1462857110362885</v>
      </c>
      <c r="S142" s="5">
        <f>_xlfn.XLOOKUP(A142,'[2]LX COMPUTED'!A:A,'[2]LX COMPUTED'!W:W,"-",0)</f>
        <v>4.9529737588247483E-2</v>
      </c>
      <c r="T142" s="5">
        <f>_xlfn.XLOOKUP(A142,'[2]LX COMPUTED'!A:A,'[2]LX COMPUTED'!AK:AK,"-",0)</f>
        <v>0.35059059867156012</v>
      </c>
      <c r="U142" s="5">
        <f>_xlfn.XLOOKUP(A142,'[2]LX COMPUTED'!A:A,'[2]LX COMPUTED'!AL:AL,"-",0)</f>
        <v>1.325086331962449E-2</v>
      </c>
      <c r="V142" s="2">
        <f>_xlfn.XLOOKUP(A142,'[2]LX COMPUTED'!A:A,'[2]LX COMPUTED'!AE:AE,"-",0)</f>
        <v>0.3873461208130547</v>
      </c>
      <c r="W142" s="2">
        <f>_xlfn.XLOOKUP(A142,'[2]LX COMPUTED'!A:A,'[2]LX COMPUTED'!AF:AF,"-",0)</f>
        <v>1.2741397531317063E-2</v>
      </c>
    </row>
    <row r="143" spans="1:23" x14ac:dyDescent="0.2">
      <c r="A143" t="s">
        <v>197</v>
      </c>
      <c r="B143">
        <v>4.9000000000000002E-2</v>
      </c>
      <c r="C143">
        <v>203.40549999999999</v>
      </c>
      <c r="D143">
        <v>-31.671600000000002</v>
      </c>
      <c r="E143">
        <v>1071</v>
      </c>
      <c r="F143">
        <v>4.83</v>
      </c>
      <c r="G143">
        <v>0.49</v>
      </c>
      <c r="H143">
        <v>0.32</v>
      </c>
      <c r="I143">
        <v>0.12</v>
      </c>
      <c r="J143" t="s">
        <v>740</v>
      </c>
      <c r="K143">
        <v>2877</v>
      </c>
      <c r="L143">
        <v>1022</v>
      </c>
      <c r="M143">
        <v>2.8</v>
      </c>
      <c r="N143" s="5">
        <v>1.24E-11</v>
      </c>
      <c r="O143" s="5">
        <v>2.8000000000000002E-13</v>
      </c>
      <c r="P143" s="5">
        <f>_xlfn.XLOOKUP(A143,'[2]LX COMPUTED'!A:A,'[2]LX COMPUTED'!T:T,"-",0)</f>
        <v>0.71627885674801051</v>
      </c>
      <c r="Q143" s="5">
        <f>_xlfn.XLOOKUP(A143,'[2]LX COMPUTED'!A:A,'[2]LX COMPUTED'!U:U,"-",0)</f>
        <v>1.6291056870788082E-2</v>
      </c>
      <c r="R143" s="5">
        <f>_xlfn.XLOOKUP(A143,'[2]LX COMPUTED'!A:A,'[2]LX COMPUTED'!V:V,"-",0)</f>
        <v>1.005261042193786</v>
      </c>
      <c r="S143" s="5">
        <f>_xlfn.XLOOKUP(A143,'[2]LX COMPUTED'!A:A,'[2]LX COMPUTED'!W:W,"-",0)</f>
        <v>3.7419491709437536E-2</v>
      </c>
      <c r="T143" s="5">
        <f>_xlfn.XLOOKUP(A143,'[2]LX COMPUTED'!A:A,'[2]LX COMPUTED'!AK:AK,"-",0)</f>
        <v>0.31658701297898861</v>
      </c>
      <c r="U143" s="5">
        <f>_xlfn.XLOOKUP(A143,'[2]LX COMPUTED'!A:A,'[2]LX COMPUTED'!AL:AL,"-",0)</f>
        <v>7.200459687459501E-3</v>
      </c>
      <c r="V143" s="2">
        <f>_xlfn.XLOOKUP(A143,'[2]LX COMPUTED'!A:A,'[2]LX COMPUTED'!AE:AE,"-",0)</f>
        <v>0.44866071428571425</v>
      </c>
      <c r="W143" s="2">
        <f>_xlfn.XLOOKUP(A143,'[2]LX COMPUTED'!A:A,'[2]LX COMPUTED'!AF:AF,"-",0)</f>
        <v>7.9445567854816972E-3</v>
      </c>
    </row>
    <row r="144" spans="1:23" x14ac:dyDescent="0.2">
      <c r="A144" t="s">
        <v>253</v>
      </c>
      <c r="B144">
        <v>0.109</v>
      </c>
      <c r="C144">
        <v>298.26409999999998</v>
      </c>
      <c r="D144">
        <v>-52.036900000000003</v>
      </c>
      <c r="E144">
        <v>1026</v>
      </c>
      <c r="F144">
        <v>4.49</v>
      </c>
      <c r="G144">
        <v>0.28000000000000003</v>
      </c>
      <c r="H144">
        <v>0.32</v>
      </c>
      <c r="I144">
        <v>0.08</v>
      </c>
      <c r="J144" t="s">
        <v>739</v>
      </c>
      <c r="K144">
        <v>1224</v>
      </c>
      <c r="L144">
        <v>1022</v>
      </c>
      <c r="M144">
        <v>1.2</v>
      </c>
      <c r="N144" s="5">
        <v>1.43E-12</v>
      </c>
      <c r="O144" s="5">
        <v>6.7000000000000005E-14</v>
      </c>
      <c r="P144" s="5">
        <f>_xlfn.XLOOKUP(A144,'[2]LX COMPUTED'!A:A,'[2]LX COMPUTED'!T:T,"-",0)</f>
        <v>0.44861118961926205</v>
      </c>
      <c r="Q144" s="5">
        <f>_xlfn.XLOOKUP(A144,'[2]LX COMPUTED'!A:A,'[2]LX COMPUTED'!U:U,"-",0)</f>
        <v>2.096849549907262E-2</v>
      </c>
      <c r="R144" s="5">
        <f>_xlfn.XLOOKUP(A144,'[2]LX COMPUTED'!A:A,'[2]LX COMPUTED'!V:V,"-",0)</f>
        <v>0.62172178841182135</v>
      </c>
      <c r="S144" s="5">
        <f>_xlfn.XLOOKUP(A144,'[2]LX COMPUTED'!A:A,'[2]LX COMPUTED'!W:W,"-",0)</f>
        <v>3.0817355707464626E-2</v>
      </c>
      <c r="T144" s="5">
        <f>_xlfn.XLOOKUP(A144,'[2]LX COMPUTED'!A:A,'[2]LX COMPUTED'!AK:AK,"-",0)</f>
        <v>0.20365312626743193</v>
      </c>
      <c r="U144" s="5">
        <f>_xlfn.XLOOKUP(A144,'[2]LX COMPUTED'!A:A,'[2]LX COMPUTED'!AL:AL,"-",0)</f>
        <v>9.5189325641541252E-3</v>
      </c>
      <c r="V144" s="2">
        <f>_xlfn.XLOOKUP(A144,'[2]LX COMPUTED'!A:A,'[2]LX COMPUTED'!AE:AE,"-",0)</f>
        <v>0.29307440800554835</v>
      </c>
      <c r="W144" s="2">
        <f>_xlfn.XLOOKUP(A144,'[2]LX COMPUTED'!A:A,'[2]LX COMPUTED'!AF:AF,"-",0)</f>
        <v>1.3246911499051252E-2</v>
      </c>
    </row>
    <row r="145" spans="1:23" x14ac:dyDescent="0.2">
      <c r="A145" t="s">
        <v>257</v>
      </c>
      <c r="B145">
        <v>5.6000000000000001E-2</v>
      </c>
      <c r="C145">
        <v>303.17520000000002</v>
      </c>
      <c r="D145">
        <v>-56.847099999999998</v>
      </c>
      <c r="E145">
        <v>1247</v>
      </c>
      <c r="F145">
        <v>6.54</v>
      </c>
      <c r="G145">
        <v>0.05</v>
      </c>
      <c r="H145">
        <v>0.33</v>
      </c>
      <c r="I145">
        <v>0.01</v>
      </c>
      <c r="J145" t="s">
        <v>739</v>
      </c>
      <c r="K145">
        <v>11616</v>
      </c>
      <c r="L145">
        <v>4097</v>
      </c>
      <c r="M145">
        <v>2.8</v>
      </c>
      <c r="N145" s="5">
        <v>1.6100000000000001E-11</v>
      </c>
      <c r="O145" s="5">
        <v>6.8999999999999996E-14</v>
      </c>
      <c r="P145" s="5">
        <f>_xlfn.XLOOKUP(A145,'[2]LX COMPUTED'!A:A,'[2]LX COMPUTED'!T:T,"-",0)</f>
        <v>1.2304857558766489</v>
      </c>
      <c r="Q145" s="5">
        <f>_xlfn.XLOOKUP(A145,'[2]LX COMPUTED'!A:A,'[2]LX COMPUTED'!U:U,"-",0)</f>
        <v>5.2772564383628262E-3</v>
      </c>
      <c r="R145" s="5">
        <f>_xlfn.XLOOKUP(A145,'[2]LX COMPUTED'!A:A,'[2]LX COMPUTED'!V:V,"-",0)</f>
        <v>1.862801962552151</v>
      </c>
      <c r="S145" s="5">
        <f>_xlfn.XLOOKUP(A145,'[2]LX COMPUTED'!A:A,'[2]LX COMPUTED'!W:W,"-",0)</f>
        <v>9.8141648157285925E-3</v>
      </c>
      <c r="T145" s="5">
        <f>_xlfn.XLOOKUP(A145,'[2]LX COMPUTED'!A:A,'[2]LX COMPUTED'!AK:AK,"-",0)</f>
        <v>0.49470676208293324</v>
      </c>
      <c r="U145" s="5">
        <f>_xlfn.XLOOKUP(A145,'[2]LX COMPUTED'!A:A,'[2]LX COMPUTED'!AL:AL,"-",0)</f>
        <v>2.1216779087733688E-3</v>
      </c>
      <c r="V145" s="2">
        <f>_xlfn.XLOOKUP(A145,'[2]LX COMPUTED'!A:A,'[2]LX COMPUTED'!AE:AE,"-",0)</f>
        <v>0.50824679291386676</v>
      </c>
      <c r="W145" s="2">
        <f>_xlfn.XLOOKUP(A145,'[2]LX COMPUTED'!A:A,'[2]LX COMPUTED'!AF:AF,"-",0)</f>
        <v>1.569172703046525E-3</v>
      </c>
    </row>
    <row r="146" spans="1:23" x14ac:dyDescent="0.2">
      <c r="A146" t="s">
        <v>259</v>
      </c>
      <c r="B146">
        <v>8.8999999999999996E-2</v>
      </c>
      <c r="C146">
        <v>308.68880000000001</v>
      </c>
      <c r="D146">
        <v>-35.811999999999998</v>
      </c>
      <c r="E146">
        <v>1235</v>
      </c>
      <c r="F146">
        <v>6.51</v>
      </c>
      <c r="G146">
        <v>0.46</v>
      </c>
      <c r="H146">
        <v>0.14000000000000001</v>
      </c>
      <c r="I146">
        <v>0.09</v>
      </c>
      <c r="J146" t="s">
        <v>739</v>
      </c>
      <c r="K146">
        <v>1320</v>
      </c>
      <c r="L146">
        <v>1022</v>
      </c>
      <c r="M146">
        <v>1.3</v>
      </c>
      <c r="N146" s="5">
        <v>8.1799999999999995E-12</v>
      </c>
      <c r="O146" s="5">
        <v>1.6E-13</v>
      </c>
      <c r="P146" s="5">
        <f>_xlfn.XLOOKUP(A146,'[2]LX COMPUTED'!A:A,'[2]LX COMPUTED'!T:T,"-",0)</f>
        <v>1.6151032745967191</v>
      </c>
      <c r="Q146" s="5">
        <f>_xlfn.XLOOKUP(A146,'[2]LX COMPUTED'!A:A,'[2]LX COMPUTED'!U:U,"-",0)</f>
        <v>3.2294169606944909E-2</v>
      </c>
      <c r="R146" s="5">
        <f>_xlfn.XLOOKUP(A146,'[2]LX COMPUTED'!A:A,'[2]LX COMPUTED'!V:V,"-",0)</f>
        <v>2.4484381941072515</v>
      </c>
      <c r="S146" s="5">
        <f>_xlfn.XLOOKUP(A146,'[2]LX COMPUTED'!A:A,'[2]LX COMPUTED'!W:W,"-",0)</f>
        <v>8.3566026748847347E-2</v>
      </c>
      <c r="T146" s="5">
        <f>_xlfn.XLOOKUP(A146,'[2]LX COMPUTED'!A:A,'[2]LX COMPUTED'!AK:AK,"-",0)</f>
        <v>0.66108026468709202</v>
      </c>
      <c r="U146" s="5">
        <f>_xlfn.XLOOKUP(A146,'[2]LX COMPUTED'!A:A,'[2]LX COMPUTED'!AL:AL,"-",0)</f>
        <v>1.3218373417600618E-2</v>
      </c>
      <c r="V146" s="2">
        <f>_xlfn.XLOOKUP(A146,'[2]LX COMPUTED'!A:A,'[2]LX COMPUTED'!AE:AE,"-",0)</f>
        <v>0.26820540347110394</v>
      </c>
      <c r="W146" s="2">
        <f>_xlfn.XLOOKUP(A146,'[2]LX COMPUTED'!A:A,'[2]LX COMPUTED'!AF:AF,"-",0)</f>
        <v>8.6847514558959955E-3</v>
      </c>
    </row>
    <row r="147" spans="1:23" x14ac:dyDescent="0.2">
      <c r="A147" t="s">
        <v>262</v>
      </c>
      <c r="B147">
        <v>0.16500000000000001</v>
      </c>
      <c r="C147">
        <v>316.07870000000003</v>
      </c>
      <c r="D147">
        <v>-41.3446</v>
      </c>
      <c r="E147">
        <v>1140</v>
      </c>
      <c r="F147">
        <v>5.97</v>
      </c>
      <c r="G147">
        <v>0.57999999999999996</v>
      </c>
      <c r="H147">
        <v>0.42</v>
      </c>
      <c r="I147">
        <v>0.12</v>
      </c>
      <c r="J147" t="s">
        <v>739</v>
      </c>
      <c r="K147">
        <v>1119</v>
      </c>
      <c r="L147">
        <v>1022</v>
      </c>
      <c r="M147">
        <v>1.1000000000000001</v>
      </c>
      <c r="N147" s="5">
        <v>3.2500000000000001E-12</v>
      </c>
      <c r="O147" s="5">
        <v>1.4999999999999999E-13</v>
      </c>
      <c r="P147" s="5">
        <f>_xlfn.XLOOKUP(A147,'[2]LX COMPUTED'!A:A,'[2]LX COMPUTED'!T:T,"-",0)</f>
        <v>2.4738834273343184</v>
      </c>
      <c r="Q147" s="5">
        <f>_xlfn.XLOOKUP(A147,'[2]LX COMPUTED'!A:A,'[2]LX COMPUTED'!U:U,"-",0)</f>
        <v>0.11481727477698012</v>
      </c>
      <c r="R147" s="5">
        <f>_xlfn.XLOOKUP(A147,'[2]LX COMPUTED'!A:A,'[2]LX COMPUTED'!V:V,"-",0)</f>
        <v>3.6390485036973037</v>
      </c>
      <c r="S147" s="5">
        <f>_xlfn.XLOOKUP(A147,'[2]LX COMPUTED'!A:A,'[2]LX COMPUTED'!W:W,"-",0)</f>
        <v>0.21162413185303902</v>
      </c>
      <c r="T147" s="5">
        <f>_xlfn.XLOOKUP(A147,'[2]LX COMPUTED'!A:A,'[2]LX COMPUTED'!AK:AK,"-",0)</f>
        <v>1.0106647446185741</v>
      </c>
      <c r="U147" s="5">
        <f>_xlfn.XLOOKUP(A147,'[2]LX COMPUTED'!A:A,'[2]LX COMPUTED'!AL:AL,"-",0)</f>
        <v>4.6906725841692407E-2</v>
      </c>
      <c r="V147" s="2">
        <f>_xlfn.XLOOKUP(A147,'[2]LX COMPUTED'!A:A,'[2]LX COMPUTED'!AE:AE,"-",0)</f>
        <v>0.43602635228848818</v>
      </c>
      <c r="W147" s="2">
        <f>_xlfn.XLOOKUP(A147,'[2]LX COMPUTED'!A:A,'[2]LX COMPUTED'!AF:AF,"-",0)</f>
        <v>1.6839195527440114E-2</v>
      </c>
    </row>
    <row r="148" spans="1:23" x14ac:dyDescent="0.2">
      <c r="A148" t="s">
        <v>268</v>
      </c>
      <c r="B148">
        <v>6.2E-2</v>
      </c>
      <c r="C148">
        <v>326.74619999999999</v>
      </c>
      <c r="D148">
        <v>-43.898699999999998</v>
      </c>
      <c r="E148">
        <v>792</v>
      </c>
      <c r="F148">
        <v>2.93</v>
      </c>
      <c r="G148">
        <v>0.13</v>
      </c>
      <c r="H148">
        <v>0.43</v>
      </c>
      <c r="I148">
        <v>0.08</v>
      </c>
      <c r="J148" t="s">
        <v>739</v>
      </c>
      <c r="K148">
        <v>1278</v>
      </c>
      <c r="L148">
        <v>1022</v>
      </c>
      <c r="M148">
        <v>1.3</v>
      </c>
      <c r="N148" s="5">
        <v>3.7200000000000003E-12</v>
      </c>
      <c r="O148" s="5">
        <v>1.6E-13</v>
      </c>
      <c r="P148" s="5">
        <f>_xlfn.XLOOKUP(A148,'[2]LX COMPUTED'!A:A,'[2]LX COMPUTED'!T:T,"-",0)</f>
        <v>0.37484979958772968</v>
      </c>
      <c r="Q148" s="5">
        <f>_xlfn.XLOOKUP(A148,'[2]LX COMPUTED'!A:A,'[2]LX COMPUTED'!U:U,"-",0)</f>
        <v>1.5931758202062371E-2</v>
      </c>
      <c r="R148" s="5">
        <f>_xlfn.XLOOKUP(A148,'[2]LX COMPUTED'!A:A,'[2]LX COMPUTED'!V:V,"-",0)</f>
        <v>0.49594791816252476</v>
      </c>
      <c r="S148" s="5">
        <f>_xlfn.XLOOKUP(A148,'[2]LX COMPUTED'!A:A,'[2]LX COMPUTED'!W:W,"-",0)</f>
        <v>2.143605502892653E-2</v>
      </c>
      <c r="T148" s="5">
        <f>_xlfn.XLOOKUP(A148,'[2]LX COMPUTED'!A:A,'[2]LX COMPUTED'!AK:AK,"-",0)</f>
        <v>0.20089565361034514</v>
      </c>
      <c r="U148" s="5">
        <f>_xlfn.XLOOKUP(A148,'[2]LX COMPUTED'!A:A,'[2]LX COMPUTED'!AL:AL,"-",0)</f>
        <v>8.5384091993257836E-3</v>
      </c>
      <c r="V148" s="2">
        <f>_xlfn.XLOOKUP(A148,'[2]LX COMPUTED'!A:A,'[2]LX COMPUTED'!AE:AE,"-",0)</f>
        <v>0.49146524648368151</v>
      </c>
      <c r="W148" s="2">
        <f>_xlfn.XLOOKUP(A148,'[2]LX COMPUTED'!A:A,'[2]LX COMPUTED'!AF:AF,"-",0)</f>
        <v>1.9568938111423104E-2</v>
      </c>
    </row>
    <row r="149" spans="1:23" x14ac:dyDescent="0.2">
      <c r="A149" t="s">
        <v>274</v>
      </c>
      <c r="B149">
        <v>0.14899999999999999</v>
      </c>
      <c r="C149">
        <v>334.44099999999997</v>
      </c>
      <c r="D149">
        <v>-35.724400000000003</v>
      </c>
      <c r="E149">
        <v>1084</v>
      </c>
      <c r="F149">
        <v>5.35</v>
      </c>
      <c r="G149">
        <v>0.47</v>
      </c>
      <c r="H149">
        <v>0.16</v>
      </c>
      <c r="I149">
        <v>0.09</v>
      </c>
      <c r="J149" t="s">
        <v>739</v>
      </c>
      <c r="K149">
        <v>1168</v>
      </c>
      <c r="L149">
        <v>1022</v>
      </c>
      <c r="M149">
        <v>1.1000000000000001</v>
      </c>
      <c r="N149" s="5">
        <v>3.3000000000000001E-12</v>
      </c>
      <c r="O149" s="5">
        <v>1.4000000000000001E-13</v>
      </c>
      <c r="P149" s="5">
        <f>_xlfn.XLOOKUP(A149,'[2]LX COMPUTED'!A:A,'[2]LX COMPUTED'!T:T,"-",0)</f>
        <v>1.9487622278794716</v>
      </c>
      <c r="Q149" s="5">
        <f>_xlfn.XLOOKUP(A149,'[2]LX COMPUTED'!A:A,'[2]LX COMPUTED'!U:U,"-",0)</f>
        <v>8.0276062314345975E-2</v>
      </c>
      <c r="R149" s="5">
        <f>_xlfn.XLOOKUP(A149,'[2]LX COMPUTED'!A:A,'[2]LX COMPUTED'!V:V,"-",0)</f>
        <v>2.8082587293057872</v>
      </c>
      <c r="S149" s="5">
        <f>_xlfn.XLOOKUP(A149,'[2]LX COMPUTED'!A:A,'[2]LX COMPUTED'!W:W,"-",0)</f>
        <v>0.14028708233015483</v>
      </c>
      <c r="T149" s="5">
        <f>_xlfn.XLOOKUP(A149,'[2]LX COMPUTED'!A:A,'[2]LX COMPUTED'!AK:AK,"-",0)</f>
        <v>0.84495493531824195</v>
      </c>
      <c r="U149" s="5">
        <f>_xlfn.XLOOKUP(A149,'[2]LX COMPUTED'!A:A,'[2]LX COMPUTED'!AL:AL,"-",0)</f>
        <v>3.4806532100239644E-2</v>
      </c>
      <c r="V149" s="2">
        <f>_xlfn.XLOOKUP(A149,'[2]LX COMPUTED'!A:A,'[2]LX COMPUTED'!AE:AE,"-",0)</f>
        <v>0.51427730350309087</v>
      </c>
      <c r="W149" s="2">
        <f>_xlfn.XLOOKUP(A149,'[2]LX COMPUTED'!A:A,'[2]LX COMPUTED'!AF:AF,"-",0)</f>
        <v>1.3749205964179684E-2</v>
      </c>
    </row>
    <row r="150" spans="1:23" x14ac:dyDescent="0.2">
      <c r="A150" t="s">
        <v>278</v>
      </c>
      <c r="B150">
        <v>5.8000000000000003E-2</v>
      </c>
      <c r="C150">
        <v>336.97660000000002</v>
      </c>
      <c r="D150">
        <v>-30.577000000000002</v>
      </c>
      <c r="E150">
        <v>797</v>
      </c>
      <c r="F150">
        <v>2.88</v>
      </c>
      <c r="G150">
        <v>0.31</v>
      </c>
      <c r="H150">
        <v>0.32</v>
      </c>
      <c r="I150">
        <v>0.16</v>
      </c>
      <c r="J150" t="s">
        <v>740</v>
      </c>
      <c r="K150">
        <v>2127</v>
      </c>
      <c r="L150">
        <v>1022</v>
      </c>
      <c r="M150">
        <v>2.1</v>
      </c>
      <c r="N150" s="5">
        <v>3.3300000000000001E-12</v>
      </c>
      <c r="O150" s="5">
        <v>1.9E-13</v>
      </c>
      <c r="P150" s="5">
        <f>_xlfn.XLOOKUP(A150,'[2]LX COMPUTED'!A:A,'[2]LX COMPUTED'!T:T,"-",0)</f>
        <v>0.2758625683337092</v>
      </c>
      <c r="Q150" s="5">
        <f>_xlfn.XLOOKUP(A150,'[2]LX COMPUTED'!A:A,'[2]LX COMPUTED'!U:U,"-",0)</f>
        <v>1.5588766820353213E-2</v>
      </c>
      <c r="R150" s="5">
        <f>_xlfn.XLOOKUP(A150,'[2]LX COMPUTED'!A:A,'[2]LX COMPUTED'!V:V,"-",0)</f>
        <v>0.36736281541777571</v>
      </c>
      <c r="S150" s="5">
        <f>_xlfn.XLOOKUP(A150,'[2]LX COMPUTED'!A:A,'[2]LX COMPUTED'!W:W,"-",0)</f>
        <v>2.1889361505845986E-2</v>
      </c>
      <c r="T150" s="5">
        <f>_xlfn.XLOOKUP(A150,'[2]LX COMPUTED'!A:A,'[2]LX COMPUTED'!AK:AK,"-",0)</f>
        <v>0.14968364110590124</v>
      </c>
      <c r="U150" s="5">
        <f>_xlfn.XLOOKUP(A150,'[2]LX COMPUTED'!A:A,'[2]LX COMPUTED'!AL:AL,"-",0)</f>
        <v>8.4584994336696397E-3</v>
      </c>
      <c r="V150" s="2">
        <f>_xlfn.XLOOKUP(A150,'[2]LX COMPUTED'!A:A,'[2]LX COMPUTED'!AE:AE,"-",0)</f>
        <v>0.64327861817401566</v>
      </c>
      <c r="W150" s="2">
        <f>_xlfn.XLOOKUP(A150,'[2]LX COMPUTED'!A:A,'[2]LX COMPUTED'!AF:AF,"-",0)</f>
        <v>1.4913160606301703E-2</v>
      </c>
    </row>
    <row r="151" spans="1:23" x14ac:dyDescent="0.2">
      <c r="A151" t="s">
        <v>285</v>
      </c>
      <c r="B151">
        <v>9.7000000000000003E-2</v>
      </c>
      <c r="C151">
        <v>341.61169999999998</v>
      </c>
      <c r="D151">
        <v>-52.739800000000002</v>
      </c>
      <c r="E151">
        <v>1234</v>
      </c>
      <c r="F151">
        <v>6.52</v>
      </c>
      <c r="G151">
        <v>0.47</v>
      </c>
      <c r="H151">
        <v>0.19</v>
      </c>
      <c r="I151">
        <v>0.09</v>
      </c>
      <c r="J151" t="s">
        <v>739</v>
      </c>
      <c r="K151">
        <v>1175</v>
      </c>
      <c r="L151">
        <v>1022</v>
      </c>
      <c r="M151">
        <v>1.2</v>
      </c>
      <c r="N151" s="5">
        <v>8.0300000000000003E-12</v>
      </c>
      <c r="O151" s="5">
        <v>2.3999999999999999E-13</v>
      </c>
      <c r="P151" s="5">
        <f>_xlfn.XLOOKUP(A151,'[2]LX COMPUTED'!A:A,'[2]LX COMPUTED'!T:T,"-",0)</f>
        <v>1.8759286569486644</v>
      </c>
      <c r="Q151" s="5">
        <f>_xlfn.XLOOKUP(A151,'[2]LX COMPUTED'!A:A,'[2]LX COMPUTED'!U:U,"-",0)</f>
        <v>5.5881095576934603E-2</v>
      </c>
      <c r="R151" s="5">
        <f>_xlfn.XLOOKUP(A151,'[2]LX COMPUTED'!A:A,'[2]LX COMPUTED'!V:V,"-",0)</f>
        <v>2.8429941901589468</v>
      </c>
      <c r="S151" s="5">
        <f>_xlfn.XLOOKUP(A151,'[2]LX COMPUTED'!A:A,'[2]LX COMPUTED'!W:W,"-",0)</f>
        <v>0.1170881614608161</v>
      </c>
      <c r="T151" s="5">
        <f>_xlfn.XLOOKUP(A151,'[2]LX COMPUTED'!A:A,'[2]LX COMPUTED'!AK:AK,"-",0)</f>
        <v>0.76406794970579039</v>
      </c>
      <c r="U151" s="5">
        <f>_xlfn.XLOOKUP(A151,'[2]LX COMPUTED'!A:A,'[2]LX COMPUTED'!AL:AL,"-",0)</f>
        <v>2.276043599346228E-2</v>
      </c>
      <c r="V151" s="2">
        <f>_xlfn.XLOOKUP(A151,'[2]LX COMPUTED'!A:A,'[2]LX COMPUTED'!AE:AE,"-",0)</f>
        <v>0.28911715221818829</v>
      </c>
      <c r="W151" s="2">
        <f>_xlfn.XLOOKUP(A151,'[2]LX COMPUTED'!A:A,'[2]LX COMPUTED'!AF:AF,"-",0)</f>
        <v>9.1162263198639303E-3</v>
      </c>
    </row>
    <row r="152" spans="1:23" x14ac:dyDescent="0.2">
      <c r="A152" t="s">
        <v>287</v>
      </c>
      <c r="B152">
        <v>9.2999999999999999E-2</v>
      </c>
      <c r="C152">
        <v>342.48610000000002</v>
      </c>
      <c r="D152">
        <v>-64.430199999999999</v>
      </c>
      <c r="E152">
        <v>1176</v>
      </c>
      <c r="F152">
        <v>5.87</v>
      </c>
      <c r="G152">
        <v>0.86</v>
      </c>
      <c r="H152">
        <v>0.35</v>
      </c>
      <c r="I152">
        <v>0.09</v>
      </c>
      <c r="J152" t="s">
        <v>740</v>
      </c>
      <c r="K152">
        <v>1735</v>
      </c>
      <c r="L152">
        <v>1022</v>
      </c>
      <c r="M152">
        <v>1.7</v>
      </c>
      <c r="N152" s="5">
        <v>7.5799999999999996E-12</v>
      </c>
      <c r="O152" s="5">
        <v>1.4999999999999999E-13</v>
      </c>
      <c r="P152" s="5">
        <f>_xlfn.XLOOKUP(A152,'[2]LX COMPUTED'!A:A,'[2]LX COMPUTED'!T:T,"-",0)</f>
        <v>1.6500971073087671</v>
      </c>
      <c r="Q152" s="5">
        <f>_xlfn.XLOOKUP(A152,'[2]LX COMPUTED'!A:A,'[2]LX COMPUTED'!U:U,"-",0)</f>
        <v>3.2428813550064994E-2</v>
      </c>
      <c r="R152" s="5">
        <f>_xlfn.XLOOKUP(A152,'[2]LX COMPUTED'!A:A,'[2]LX COMPUTED'!V:V,"-",0)</f>
        <v>2.4198681573148249</v>
      </c>
      <c r="S152" s="5">
        <f>_xlfn.XLOOKUP(A152,'[2]LX COMPUTED'!A:A,'[2]LX COMPUTED'!W:W,"-",0)</f>
        <v>0.1336517064069708</v>
      </c>
      <c r="T152" s="5">
        <f>_xlfn.XLOOKUP(A152,'[2]LX COMPUTED'!A:A,'[2]LX COMPUTED'!AK:AK,"-",0)</f>
        <v>0.68198683042351127</v>
      </c>
      <c r="U152" s="5">
        <f>_xlfn.XLOOKUP(A152,'[2]LX COMPUTED'!A:A,'[2]LX COMPUTED'!AL:AL,"-",0)</f>
        <v>1.3402861970635208E-2</v>
      </c>
      <c r="V152" s="2">
        <f>_xlfn.XLOOKUP(A152,'[2]LX COMPUTED'!A:A,'[2]LX COMPUTED'!AE:AE,"-",0)</f>
        <v>0.47394713106223546</v>
      </c>
      <c r="W152" s="2">
        <f>_xlfn.XLOOKUP(A152,'[2]LX COMPUTED'!A:A,'[2]LX COMPUTED'!AF:AF,"-",0)</f>
        <v>6.8377220396888729E-3</v>
      </c>
    </row>
    <row r="153" spans="1:23" x14ac:dyDescent="0.2">
      <c r="A153" t="s">
        <v>44</v>
      </c>
      <c r="B153">
        <v>0.3</v>
      </c>
      <c r="C153">
        <v>41.361600000000003</v>
      </c>
      <c r="D153">
        <v>-53.03</v>
      </c>
      <c r="E153">
        <v>1173</v>
      </c>
      <c r="F153">
        <v>7.03</v>
      </c>
      <c r="G153">
        <v>0.67</v>
      </c>
      <c r="H153">
        <v>0.21</v>
      </c>
      <c r="I153">
        <v>0.08</v>
      </c>
      <c r="J153" t="s">
        <v>739</v>
      </c>
      <c r="K153">
        <v>1173</v>
      </c>
      <c r="L153">
        <v>1022</v>
      </c>
      <c r="M153">
        <v>1.1000000000000001</v>
      </c>
      <c r="N153" s="5">
        <v>2.9500000000000002E-12</v>
      </c>
      <c r="O153" s="5">
        <v>1.1E-13</v>
      </c>
      <c r="P153" s="5">
        <f>_xlfn.XLOOKUP(A153,'[2]LX COMPUTED'!A:A,'[2]LX COMPUTED'!T:T,"-",0)</f>
        <v>8.3689742100262432</v>
      </c>
      <c r="Q153" s="5">
        <f>_xlfn.XLOOKUP(A153,'[2]LX COMPUTED'!A:A,'[2]LX COMPUTED'!U:U,"-",0)</f>
        <v>0.31683236125796027</v>
      </c>
      <c r="R153" s="5">
        <f>_xlfn.XLOOKUP(A153,'[2]LX COMPUTED'!A:A,'[2]LX COMPUTED'!V:V,"-",0)</f>
        <v>12.974869563202537</v>
      </c>
      <c r="S153" s="5">
        <f>_xlfn.XLOOKUP(A153,'[2]LX COMPUTED'!A:A,'[2]LX COMPUTED'!W:W,"-",0)</f>
        <v>0.71704127527139427</v>
      </c>
      <c r="T153" s="5">
        <f>_xlfn.XLOOKUP(A153,'[2]LX COMPUTED'!A:A,'[2]LX COMPUTED'!AK:AK,"-",0)</f>
        <v>3.3318123273555202</v>
      </c>
      <c r="U153" s="5">
        <f>_xlfn.XLOOKUP(A153,'[2]LX COMPUTED'!A:A,'[2]LX COMPUTED'!AL:AL,"-",0)</f>
        <v>0.12613564583336426</v>
      </c>
      <c r="V153" s="2">
        <f>_xlfn.XLOOKUP(A153,'[2]LX COMPUTED'!A:A,'[2]LX COMPUTED'!AE:AE,"-",0)</f>
        <v>0.36176661615068195</v>
      </c>
      <c r="W153" s="2">
        <f>_xlfn.XLOOKUP(A153,'[2]LX COMPUTED'!A:A,'[2]LX COMPUTED'!AF:AF,"-",0)</f>
        <v>1.402677725027252E-2</v>
      </c>
    </row>
    <row r="154" spans="1:23" x14ac:dyDescent="0.2">
      <c r="A154" t="s">
        <v>444</v>
      </c>
      <c r="B154">
        <v>0.29499999999999998</v>
      </c>
      <c r="C154">
        <v>79.1571</v>
      </c>
      <c r="D154">
        <v>-54.513100000000001</v>
      </c>
      <c r="E154">
        <v>1297</v>
      </c>
      <c r="F154">
        <v>8.48</v>
      </c>
      <c r="G154">
        <v>0.9</v>
      </c>
      <c r="H154">
        <v>0.19</v>
      </c>
      <c r="I154">
        <v>0.09</v>
      </c>
      <c r="J154" t="s">
        <v>739</v>
      </c>
      <c r="K154">
        <v>2346</v>
      </c>
      <c r="L154">
        <v>2047</v>
      </c>
      <c r="M154">
        <v>1.1000000000000001</v>
      </c>
      <c r="N154" s="5">
        <v>2.13E-12</v>
      </c>
      <c r="O154" s="5">
        <v>8.3999999999999995E-14</v>
      </c>
      <c r="P154" s="5">
        <f>_xlfn.XLOOKUP(A154,'[2]LX COMPUTED'!A:A,'[2]LX COMPUTED'!T:T,"-",0)</f>
        <v>5.771036494328257</v>
      </c>
      <c r="Q154" s="5">
        <f>_xlfn.XLOOKUP(A154,'[2]LX COMPUTED'!A:A,'[2]LX COMPUTED'!U:U,"-",0)</f>
        <v>0.22736326066580731</v>
      </c>
      <c r="R154" s="5">
        <f>_xlfn.XLOOKUP(A154,'[2]LX COMPUTED'!A:A,'[2]LX COMPUTED'!V:V,"-",0)</f>
        <v>9.5474970624662898</v>
      </c>
      <c r="S154" s="5">
        <f>_xlfn.XLOOKUP(A154,'[2]LX COMPUTED'!A:A,'[2]LX COMPUTED'!W:W,"-",0)</f>
        <v>0.64004734874564539</v>
      </c>
      <c r="T154" s="5">
        <f>_xlfn.XLOOKUP(A154,'[2]LX COMPUTED'!A:A,'[2]LX COMPUTED'!AK:AK,"-",0)</f>
        <v>2.1972091886855756</v>
      </c>
      <c r="U154" s="5">
        <f>_xlfn.XLOOKUP(A154,'[2]LX COMPUTED'!A:A,'[2]LX COMPUTED'!AL:AL,"-",0)</f>
        <v>8.6564111316120573E-2</v>
      </c>
      <c r="V154" s="2">
        <f>_xlfn.XLOOKUP(A154,'[2]LX COMPUTED'!A:A,'[2]LX COMPUTED'!AE:AE,"-",0)</f>
        <v>0.25020231518947256</v>
      </c>
      <c r="W154" s="2">
        <f>_xlfn.XLOOKUP(A154,'[2]LX COMPUTED'!A:A,'[2]LX COMPUTED'!AF:AF,"-",0)</f>
        <v>1.2756950663283565E-2</v>
      </c>
    </row>
    <row r="155" spans="1:23" x14ac:dyDescent="0.2">
      <c r="A155" t="s">
        <v>97</v>
      </c>
      <c r="B155">
        <v>0.152</v>
      </c>
      <c r="C155">
        <v>94.133899999999997</v>
      </c>
      <c r="D155">
        <v>-39.796799999999998</v>
      </c>
      <c r="E155">
        <v>1013</v>
      </c>
      <c r="F155">
        <v>4.91</v>
      </c>
      <c r="G155">
        <v>0.39</v>
      </c>
      <c r="H155">
        <v>0.32</v>
      </c>
      <c r="I155">
        <v>0.12</v>
      </c>
      <c r="J155" t="s">
        <v>739</v>
      </c>
      <c r="K155">
        <v>1106</v>
      </c>
      <c r="L155">
        <v>1022</v>
      </c>
      <c r="M155">
        <v>1.1000000000000001</v>
      </c>
      <c r="N155" s="5">
        <v>2.0100000000000001E-12</v>
      </c>
      <c r="O155" s="5">
        <v>7.9000000000000004E-14</v>
      </c>
      <c r="P155" s="5">
        <f>_xlfn.XLOOKUP(A155,'[2]LX COMPUTED'!A:A,'[2]LX COMPUTED'!T:T,"-",0)</f>
        <v>1.3422561149258754</v>
      </c>
      <c r="Q155" s="5">
        <f>_xlfn.XLOOKUP(A155,'[2]LX COMPUTED'!A:A,'[2]LX COMPUTED'!U:U,"-",0)</f>
        <v>5.2681779818847696E-2</v>
      </c>
      <c r="R155" s="5">
        <f>_xlfn.XLOOKUP(A155,'[2]LX COMPUTED'!A:A,'[2]LX COMPUTED'!V:V,"-",0)</f>
        <v>1.8906672624731862</v>
      </c>
      <c r="S155" s="5">
        <f>_xlfn.XLOOKUP(A155,'[2]LX COMPUTED'!A:A,'[2]LX COMPUTED'!W:W,"-",0)</f>
        <v>8.627778329149402E-2</v>
      </c>
      <c r="T155" s="5">
        <f>_xlfn.XLOOKUP(A155,'[2]LX COMPUTED'!A:A,'[2]LX COMPUTED'!AK:AK,"-",0)</f>
        <v>0.59023498104197825</v>
      </c>
      <c r="U155" s="5">
        <f>_xlfn.XLOOKUP(A155,'[2]LX COMPUTED'!A:A,'[2]LX COMPUTED'!AL:AL,"-",0)</f>
        <v>2.3165943493840897E-2</v>
      </c>
      <c r="V155" s="2">
        <f>_xlfn.XLOOKUP(A155,'[2]LX COMPUTED'!A:A,'[2]LX COMPUTED'!AE:AE,"-",0)</f>
        <v>0.45266030013642566</v>
      </c>
      <c r="W155" s="2">
        <f>_xlfn.XLOOKUP(A155,'[2]LX COMPUTED'!A:A,'[2]LX COMPUTED'!AF:AF,"-",0)</f>
        <v>1.8223149424652155E-2</v>
      </c>
    </row>
    <row r="156" spans="1:23" x14ac:dyDescent="0.2">
      <c r="A156" t="s">
        <v>102</v>
      </c>
      <c r="B156">
        <v>0.222</v>
      </c>
      <c r="C156">
        <v>99.701999999999998</v>
      </c>
      <c r="D156">
        <v>-53.974200000000003</v>
      </c>
      <c r="E156">
        <v>1336</v>
      </c>
      <c r="F156">
        <v>8.6300000000000008</v>
      </c>
      <c r="G156">
        <v>0.7</v>
      </c>
      <c r="H156">
        <v>0.3</v>
      </c>
      <c r="I156">
        <v>0.09</v>
      </c>
      <c r="J156" t="s">
        <v>739</v>
      </c>
      <c r="K156">
        <v>1348</v>
      </c>
      <c r="L156">
        <v>1022</v>
      </c>
      <c r="M156">
        <v>1.3</v>
      </c>
      <c r="N156" s="5">
        <v>4.8999999999999997E-12</v>
      </c>
      <c r="O156" s="5">
        <v>1.1999999999999999E-13</v>
      </c>
      <c r="P156" s="5">
        <f>_xlfn.XLOOKUP(A156,'[2]LX COMPUTED'!A:A,'[2]LX COMPUTED'!T:T,"-",0)</f>
        <v>7.0710401307357253</v>
      </c>
      <c r="Q156" s="5">
        <f>_xlfn.XLOOKUP(A156,'[2]LX COMPUTED'!A:A,'[2]LX COMPUTED'!U:U,"-",0)</f>
        <v>0.17856198763131093</v>
      </c>
      <c r="R156" s="5">
        <f>_xlfn.XLOOKUP(A156,'[2]LX COMPUTED'!A:A,'[2]LX COMPUTED'!V:V,"-",0)</f>
        <v>11.765888068076192</v>
      </c>
      <c r="S156" s="5">
        <f>_xlfn.XLOOKUP(A156,'[2]LX COMPUTED'!A:A,'[2]LX COMPUTED'!W:W,"-",0)</f>
        <v>0.57721680048489954</v>
      </c>
      <c r="T156" s="5">
        <f>_xlfn.XLOOKUP(A156,'[2]LX COMPUTED'!A:A,'[2]LX COMPUTED'!AK:AK,"-",0)</f>
        <v>2.6570516691807669</v>
      </c>
      <c r="U156" s="5">
        <f>_xlfn.XLOOKUP(A156,'[2]LX COMPUTED'!A:A,'[2]LX COMPUTED'!AL:AL,"-",0)</f>
        <v>6.7097402718126684E-2</v>
      </c>
      <c r="V156" s="2">
        <f>_xlfn.XLOOKUP(A156,'[2]LX COMPUTED'!A:A,'[2]LX COMPUTED'!AE:AE,"-",0)</f>
        <v>0.58514692183927519</v>
      </c>
      <c r="W156" s="2">
        <f>_xlfn.XLOOKUP(A156,'[2]LX COMPUTED'!A:A,'[2]LX COMPUTED'!AF:AF,"-",0)</f>
        <v>8.1067507814818508E-3</v>
      </c>
    </row>
    <row r="157" spans="1:23" x14ac:dyDescent="0.2">
      <c r="A157" t="s">
        <v>214</v>
      </c>
      <c r="B157">
        <v>0.23599999999999999</v>
      </c>
      <c r="C157">
        <v>224.8706</v>
      </c>
      <c r="D157">
        <v>-18.179300000000001</v>
      </c>
      <c r="E157">
        <v>1231</v>
      </c>
      <c r="F157">
        <v>7.15</v>
      </c>
      <c r="G157">
        <v>0.59</v>
      </c>
      <c r="H157">
        <v>0.33</v>
      </c>
      <c r="I157">
        <v>0.13</v>
      </c>
      <c r="J157" t="s">
        <v>740</v>
      </c>
      <c r="K157">
        <v>1040</v>
      </c>
      <c r="L157">
        <v>1022</v>
      </c>
      <c r="M157">
        <v>1</v>
      </c>
      <c r="N157" s="5">
        <v>2.8000000000000002E-12</v>
      </c>
      <c r="O157" s="5">
        <v>4.4000000000000002E-14</v>
      </c>
      <c r="P157" s="5">
        <f>_xlfn.XLOOKUP(A157,'[2]LX COMPUTED'!A:A,'[2]LX COMPUTED'!T:T,"-",0)</f>
        <v>4.7330661453225984</v>
      </c>
      <c r="Q157" s="5">
        <f>_xlfn.XLOOKUP(A157,'[2]LX COMPUTED'!A:A,'[2]LX COMPUTED'!U:U,"-",0)</f>
        <v>7.4357771334152889E-2</v>
      </c>
      <c r="R157" s="5">
        <f>_xlfn.XLOOKUP(A157,'[2]LX COMPUTED'!A:A,'[2]LX COMPUTED'!V:V,"-",0)</f>
        <v>7.3664346400561787</v>
      </c>
      <c r="S157" s="5">
        <f>_xlfn.XLOOKUP(A157,'[2]LX COMPUTED'!A:A,'[2]LX COMPUTED'!W:W,"-",0)</f>
        <v>0.285778966064824</v>
      </c>
      <c r="T157" s="5">
        <f>_xlfn.XLOOKUP(A157,'[2]LX COMPUTED'!A:A,'[2]LX COMPUTED'!AK:AK,"-",0)</f>
        <v>1.85579417092017</v>
      </c>
      <c r="U157" s="5">
        <f>_xlfn.XLOOKUP(A157,'[2]LX COMPUTED'!A:A,'[2]LX COMPUTED'!AL:AL,"-",0)</f>
        <v>2.9155037003001882E-2</v>
      </c>
      <c r="V157" s="2">
        <f>_xlfn.XLOOKUP(A157,'[2]LX COMPUTED'!A:A,'[2]LX COMPUTED'!AE:AE,"-",0)</f>
        <v>0.65354135710747885</v>
      </c>
      <c r="W157" s="2">
        <f>_xlfn.XLOOKUP(A157,'[2]LX COMPUTED'!A:A,'[2]LX COMPUTED'!AF:AF,"-",0)</f>
        <v>5.0370882344901282E-3</v>
      </c>
    </row>
    <row r="158" spans="1:23" x14ac:dyDescent="0.2">
      <c r="A158" t="s">
        <v>286</v>
      </c>
      <c r="B158">
        <v>0.34699999999999998</v>
      </c>
      <c r="C158">
        <v>342.18349999999998</v>
      </c>
      <c r="D158">
        <v>-44.5304</v>
      </c>
      <c r="E158">
        <v>1459</v>
      </c>
      <c r="F158">
        <v>11</v>
      </c>
      <c r="G158">
        <v>0.77</v>
      </c>
      <c r="H158">
        <v>0.33</v>
      </c>
      <c r="I158">
        <v>7.0000000000000007E-2</v>
      </c>
      <c r="J158" t="s">
        <v>739</v>
      </c>
      <c r="K158">
        <v>1234</v>
      </c>
      <c r="L158">
        <v>1022</v>
      </c>
      <c r="M158">
        <v>1.2</v>
      </c>
      <c r="N158" s="5">
        <v>5.3400000000000003E-12</v>
      </c>
      <c r="O158" s="5">
        <v>1E-13</v>
      </c>
      <c r="P158" s="5">
        <f>_xlfn.XLOOKUP(A158,'[2]LX COMPUTED'!A:A,'[2]LX COMPUTED'!T:T,"-",0)</f>
        <v>19.565662967205917</v>
      </c>
      <c r="Q158" s="5">
        <f>_xlfn.XLOOKUP(A158,'[2]LX COMPUTED'!A:A,'[2]LX COMPUTED'!U:U,"-",0)</f>
        <v>0.37909360055559466</v>
      </c>
      <c r="R158" s="5">
        <f>_xlfn.XLOOKUP(A158,'[2]LX COMPUTED'!A:A,'[2]LX COMPUTED'!V:V,"-",0)</f>
        <v>35.917885770758531</v>
      </c>
      <c r="S158" s="5">
        <f>_xlfn.XLOOKUP(A158,'[2]LX COMPUTED'!A:A,'[2]LX COMPUTED'!W:W,"-",0)</f>
        <v>1.8073806646705035</v>
      </c>
      <c r="T158" s="5">
        <f>_xlfn.XLOOKUP(A158,'[2]LX COMPUTED'!A:A,'[2]LX COMPUTED'!AK:AK,"-",0)</f>
        <v>6.9786774233243509</v>
      </c>
      <c r="U158" s="5">
        <f>_xlfn.XLOOKUP(A158,'[2]LX COMPUTED'!A:A,'[2]LX COMPUTED'!AL:AL,"-",0)</f>
        <v>0.13521504259571074</v>
      </c>
      <c r="V158" s="2">
        <f>_xlfn.XLOOKUP(A158,'[2]LX COMPUTED'!A:A,'[2]LX COMPUTED'!AE:AE,"-",0)</f>
        <v>0.57670950341107408</v>
      </c>
      <c r="W158" s="2">
        <f>_xlfn.XLOOKUP(A158,'[2]LX COMPUTED'!A:A,'[2]LX COMPUTED'!AF:AF,"-",0)</f>
        <v>6.0812758516293622E-3</v>
      </c>
    </row>
    <row r="159" spans="1:23" x14ac:dyDescent="0.2">
      <c r="A159" t="s">
        <v>294</v>
      </c>
      <c r="B159">
        <v>5.8000000000000003E-2</v>
      </c>
      <c r="C159">
        <v>348.49459999999999</v>
      </c>
      <c r="D159">
        <v>-42.725299999999997</v>
      </c>
      <c r="E159">
        <v>785</v>
      </c>
      <c r="F159">
        <v>2.7</v>
      </c>
      <c r="G159">
        <v>0.28999999999999998</v>
      </c>
      <c r="H159">
        <v>0.19</v>
      </c>
      <c r="I159">
        <v>0.09</v>
      </c>
      <c r="J159" t="s">
        <v>740</v>
      </c>
      <c r="K159">
        <v>1946</v>
      </c>
      <c r="L159">
        <v>1022</v>
      </c>
      <c r="M159">
        <v>1.9</v>
      </c>
      <c r="N159" s="5">
        <v>5.3300000000000001E-12</v>
      </c>
      <c r="O159" s="5">
        <v>1.1E-13</v>
      </c>
      <c r="P159" s="5">
        <f>_xlfn.XLOOKUP(A159,'[2]LX COMPUTED'!A:A,'[2]LX COMPUTED'!T:T,"-",0)</f>
        <v>0.44653009909184904</v>
      </c>
      <c r="Q159" s="5">
        <f>_xlfn.XLOOKUP(A159,'[2]LX COMPUTED'!A:A,'[2]LX COMPUTED'!U:U,"-",0)</f>
        <v>9.4067596704420324E-3</v>
      </c>
      <c r="R159" s="5">
        <f>_xlfn.XLOOKUP(A159,'[2]LX COMPUTED'!A:A,'[2]LX COMPUTED'!V:V,"-",0)</f>
        <v>0.60117360364591244</v>
      </c>
      <c r="S159" s="5">
        <f>_xlfn.XLOOKUP(A159,'[2]LX COMPUTED'!A:A,'[2]LX COMPUTED'!W:W,"-",0)</f>
        <v>1.6535339199143514E-2</v>
      </c>
      <c r="T159" s="5">
        <f>_xlfn.XLOOKUP(A159,'[2]LX COMPUTED'!A:A,'[2]LX COMPUTED'!AK:AK,"-",0)</f>
        <v>0.25068042751361769</v>
      </c>
      <c r="U159" s="5">
        <f>_xlfn.XLOOKUP(A159,'[2]LX COMPUTED'!A:A,'[2]LX COMPUTED'!AL:AL,"-",0)</f>
        <v>5.2809218023603345E-3</v>
      </c>
      <c r="V159" s="2">
        <f>_xlfn.XLOOKUP(A159,'[2]LX COMPUTED'!A:A,'[2]LX COMPUTED'!AE:AE,"-",0)</f>
        <v>0.77880069669071916</v>
      </c>
      <c r="W159" s="2">
        <f>_xlfn.XLOOKUP(A159,'[2]LX COMPUTED'!A:A,'[2]LX COMPUTED'!AF:AF,"-",0)</f>
        <v>3.8795941035276445E-3</v>
      </c>
    </row>
    <row r="160" spans="1:23" x14ac:dyDescent="0.2">
      <c r="A160" t="s">
        <v>33</v>
      </c>
      <c r="B160">
        <v>0.21099999999999999</v>
      </c>
      <c r="C160">
        <v>24.394600000000001</v>
      </c>
      <c r="D160">
        <v>-12.9931</v>
      </c>
      <c r="E160">
        <v>911</v>
      </c>
      <c r="F160">
        <v>4.01</v>
      </c>
      <c r="G160">
        <v>0.28999999999999998</v>
      </c>
      <c r="H160">
        <v>0.28999999999999998</v>
      </c>
      <c r="I160">
        <v>0.08</v>
      </c>
      <c r="J160" t="s">
        <v>739</v>
      </c>
      <c r="K160">
        <v>1068</v>
      </c>
      <c r="L160">
        <v>1022</v>
      </c>
      <c r="M160">
        <v>1</v>
      </c>
      <c r="N160" s="5">
        <v>1.0599999999999999E-12</v>
      </c>
      <c r="O160" s="5">
        <v>4.7000000000000002E-14</v>
      </c>
      <c r="P160" s="5">
        <f>_xlfn.XLOOKUP(A160,'[2]LX COMPUTED'!A:A,'[2]LX COMPUTED'!T:T,"-",0)</f>
        <v>1.4058885709983453</v>
      </c>
      <c r="Q160" s="5">
        <f>_xlfn.XLOOKUP(A160,'[2]LX COMPUTED'!A:A,'[2]LX COMPUTED'!U:U,"-",0)</f>
        <v>6.2516671157973366E-2</v>
      </c>
      <c r="R160" s="5">
        <f>_xlfn.XLOOKUP(A160,'[2]LX COMPUTED'!A:A,'[2]LX COMPUTED'!V:V,"-",0)</f>
        <v>1.9192009791630291</v>
      </c>
      <c r="S160" s="5">
        <f>_xlfn.XLOOKUP(A160,'[2]LX COMPUTED'!A:A,'[2]LX COMPUTED'!W:W,"-",0)</f>
        <v>9.1559711764208754E-2</v>
      </c>
      <c r="T160" s="5">
        <f>_xlfn.XLOOKUP(A160,'[2]LX COMPUTED'!A:A,'[2]LX COMPUTED'!AK:AK,"-",0)</f>
        <v>0.66775225449287789</v>
      </c>
      <c r="U160" s="5">
        <f>_xlfn.XLOOKUP(A160,'[2]LX COMPUTED'!A:A,'[2]LX COMPUTED'!AL:AL,"-",0)</f>
        <v>2.9693425901799814E-2</v>
      </c>
      <c r="V160" s="2">
        <f>_xlfn.XLOOKUP(A160,'[2]LX COMPUTED'!A:A,'[2]LX COMPUTED'!AE:AE,"-",0)</f>
        <v>0.35221930520788813</v>
      </c>
      <c r="W160" s="2">
        <f>_xlfn.XLOOKUP(A160,'[2]LX COMPUTED'!A:A,'[2]LX COMPUTED'!AF:AF,"-",0)</f>
        <v>1.5832018330992903E-2</v>
      </c>
    </row>
    <row r="161" spans="1:23" x14ac:dyDescent="0.2">
      <c r="A161" t="s">
        <v>34</v>
      </c>
      <c r="B161">
        <v>0.20699999999999999</v>
      </c>
      <c r="C161">
        <v>24.483499999999999</v>
      </c>
      <c r="D161">
        <v>-12.819800000000001</v>
      </c>
      <c r="E161">
        <v>1038</v>
      </c>
      <c r="F161">
        <v>5.7</v>
      </c>
      <c r="G161">
        <v>0.67</v>
      </c>
      <c r="H161">
        <v>0.31</v>
      </c>
      <c r="I161">
        <v>0.12</v>
      </c>
      <c r="J161" t="s">
        <v>739</v>
      </c>
      <c r="K161">
        <v>1099</v>
      </c>
      <c r="L161">
        <v>1022</v>
      </c>
      <c r="M161">
        <v>1.1000000000000001</v>
      </c>
      <c r="N161" s="5">
        <v>9.1500000000000004E-13</v>
      </c>
      <c r="O161" s="5">
        <v>4.7000000000000002E-14</v>
      </c>
      <c r="P161" s="5">
        <f>_xlfn.XLOOKUP(A161,'[2]LX COMPUTED'!A:A,'[2]LX COMPUTED'!T:T,"-",0)</f>
        <v>1.1303537592720172</v>
      </c>
      <c r="Q161" s="5">
        <f>_xlfn.XLOOKUP(A161,'[2]LX COMPUTED'!A:A,'[2]LX COMPUTED'!U:U,"-",0)</f>
        <v>5.7942503626548805E-2</v>
      </c>
      <c r="R161" s="5">
        <f>_xlfn.XLOOKUP(A161,'[2]LX COMPUTED'!A:A,'[2]LX COMPUTED'!V:V,"-",0)</f>
        <v>1.6474577145479621</v>
      </c>
      <c r="S161" s="5">
        <f>_xlfn.XLOOKUP(A161,'[2]LX COMPUTED'!A:A,'[2]LX COMPUTED'!W:W,"-",0)</f>
        <v>0.10738223522923476</v>
      </c>
      <c r="T161" s="5">
        <f>_xlfn.XLOOKUP(A161,'[2]LX COMPUTED'!A:A,'[2]LX COMPUTED'!AK:AK,"-",0)</f>
        <v>0.47366109625948127</v>
      </c>
      <c r="U161" s="5">
        <f>_xlfn.XLOOKUP(A161,'[2]LX COMPUTED'!A:A,'[2]LX COMPUTED'!AL:AL,"-",0)</f>
        <v>2.4280106614981822E-2</v>
      </c>
      <c r="V161" s="2">
        <f>_xlfn.XLOOKUP(A161,'[2]LX COMPUTED'!A:A,'[2]LX COMPUTED'!AE:AE,"-",0)</f>
        <v>0.48719385753516786</v>
      </c>
      <c r="W161" s="2">
        <f>_xlfn.XLOOKUP(A161,'[2]LX COMPUTED'!A:A,'[2]LX COMPUTED'!AF:AF,"-",0)</f>
        <v>1.6008730833774496E-2</v>
      </c>
    </row>
    <row r="162" spans="1:23" x14ac:dyDescent="0.2">
      <c r="A162" t="s">
        <v>649</v>
      </c>
      <c r="B162">
        <v>0.14099999999999999</v>
      </c>
      <c r="C162">
        <v>263.76929999999999</v>
      </c>
      <c r="D162">
        <v>64.101699999999994</v>
      </c>
      <c r="E162">
        <v>793</v>
      </c>
      <c r="F162">
        <v>2.96</v>
      </c>
      <c r="G162">
        <v>0.31</v>
      </c>
      <c r="H162">
        <v>0.24</v>
      </c>
      <c r="I162">
        <v>0.12</v>
      </c>
      <c r="J162" t="s">
        <v>739</v>
      </c>
      <c r="K162">
        <v>1203</v>
      </c>
      <c r="L162">
        <v>1022</v>
      </c>
      <c r="M162">
        <v>1.2</v>
      </c>
      <c r="N162" s="5">
        <v>7.6099999999999999E-13</v>
      </c>
      <c r="O162" s="5">
        <v>7.1999999999999996E-14</v>
      </c>
      <c r="P162" s="5">
        <f>_xlfn.XLOOKUP(A162,'[2]LX COMPUTED'!A:A,'[2]LX COMPUTED'!T:T,"-",0)</f>
        <v>0.44569690532818984</v>
      </c>
      <c r="Q162" s="5">
        <f>_xlfn.XLOOKUP(A162,'[2]LX COMPUTED'!A:A,'[2]LX COMPUTED'!U:U,"-",0)</f>
        <v>4.1992418928209471E-2</v>
      </c>
      <c r="R162" s="5">
        <f>_xlfn.XLOOKUP(A162,'[2]LX COMPUTED'!A:A,'[2]LX COMPUTED'!V:V,"-",0)</f>
        <v>0.59643770228419779</v>
      </c>
      <c r="S162" s="5">
        <f>_xlfn.XLOOKUP(A162,'[2]LX COMPUTED'!A:A,'[2]LX COMPUTED'!W:W,"-",0)</f>
        <v>5.7272482884035927E-2</v>
      </c>
      <c r="T162" s="5">
        <f>_xlfn.XLOOKUP(A162,'[2]LX COMPUTED'!A:A,'[2]LX COMPUTED'!AK:AK,"-",0)</f>
        <v>0.23969832463350185</v>
      </c>
      <c r="U162" s="5">
        <f>_xlfn.XLOOKUP(A162,'[2]LX COMPUTED'!A:A,'[2]LX COMPUTED'!AL:AL,"-",0)</f>
        <v>2.2583761170583406E-2</v>
      </c>
      <c r="V162" s="2">
        <f>_xlfn.XLOOKUP(A162,'[2]LX COMPUTED'!A:A,'[2]LX COMPUTED'!AE:AE,"-",0)</f>
        <v>0.57274411814251225</v>
      </c>
      <c r="W162" s="2">
        <f>_xlfn.XLOOKUP(A162,'[2]LX COMPUTED'!A:A,'[2]LX COMPUTED'!AF:AF,"-",0)</f>
        <v>2.6518759741284915E-2</v>
      </c>
    </row>
    <row r="163" spans="1:23" x14ac:dyDescent="0.2">
      <c r="A163" t="s">
        <v>509</v>
      </c>
      <c r="B163">
        <v>0.29099999999999998</v>
      </c>
      <c r="C163">
        <v>155.91540000000001</v>
      </c>
      <c r="D163">
        <v>4.1863000000000001</v>
      </c>
      <c r="E163">
        <v>1315</v>
      </c>
      <c r="F163">
        <v>7.8</v>
      </c>
      <c r="G163">
        <v>0.8</v>
      </c>
      <c r="H163">
        <v>0.26</v>
      </c>
      <c r="I163">
        <v>0.08</v>
      </c>
      <c r="J163" t="s">
        <v>740</v>
      </c>
      <c r="K163">
        <v>2568</v>
      </c>
      <c r="L163">
        <v>2047</v>
      </c>
      <c r="M163">
        <v>1.3</v>
      </c>
      <c r="N163" s="5">
        <v>2.79E-12</v>
      </c>
      <c r="O163" s="5">
        <v>4.6E-14</v>
      </c>
      <c r="P163" s="5">
        <f>_xlfn.XLOOKUP(A163,'[2]LX COMPUTED'!A:A,'[2]LX COMPUTED'!T:T,"-",0)</f>
        <v>7.1232222453739942</v>
      </c>
      <c r="Q163" s="5">
        <f>_xlfn.XLOOKUP(A163,'[2]LX COMPUTED'!A:A,'[2]LX COMPUTED'!U:U,"-",0)</f>
        <v>0.11697036529107652</v>
      </c>
      <c r="R163" s="5">
        <f>_xlfn.XLOOKUP(A163,'[2]LX COMPUTED'!A:A,'[2]LX COMPUTED'!V:V,"-",0)</f>
        <v>11.420901205323878</v>
      </c>
      <c r="S163" s="5">
        <f>_xlfn.XLOOKUP(A163,'[2]LX COMPUTED'!A:A,'[2]LX COMPUTED'!W:W,"-",0)</f>
        <v>0.58228126277909054</v>
      </c>
      <c r="T163" s="5">
        <f>_xlfn.XLOOKUP(A163,'[2]LX COMPUTED'!A:A,'[2]LX COMPUTED'!AK:AK,"-",0)</f>
        <v>2.7459057880218851</v>
      </c>
      <c r="U163" s="5">
        <f>_xlfn.XLOOKUP(A163,'[2]LX COMPUTED'!A:A,'[2]LX COMPUTED'!AL:AL,"-",0)</f>
        <v>4.5090493040335793E-2</v>
      </c>
      <c r="V163" s="2">
        <f>_xlfn.XLOOKUP(A163,'[2]LX COMPUTED'!A:A,'[2]LX COMPUTED'!AE:AE,"-",0)</f>
        <v>0.76151738311354678</v>
      </c>
      <c r="W163" s="2">
        <f>_xlfn.XLOOKUP(A163,'[2]LX COMPUTED'!A:A,'[2]LX COMPUTED'!AF:AF,"-",0)</f>
        <v>3.3568424509716264E-3</v>
      </c>
    </row>
    <row r="164" spans="1:23" x14ac:dyDescent="0.2">
      <c r="A164" t="s">
        <v>154</v>
      </c>
      <c r="B164">
        <v>0.82299999999999995</v>
      </c>
      <c r="C164">
        <v>164.23269999999999</v>
      </c>
      <c r="D164">
        <v>-3.6272000000000002</v>
      </c>
      <c r="E164">
        <v>901</v>
      </c>
      <c r="F164">
        <v>7.76</v>
      </c>
      <c r="G164">
        <v>1.25</v>
      </c>
      <c r="H164">
        <v>0.09</v>
      </c>
      <c r="I164">
        <v>0.11</v>
      </c>
      <c r="J164" t="s">
        <v>739</v>
      </c>
      <c r="K164">
        <v>1384</v>
      </c>
      <c r="L164">
        <v>1022</v>
      </c>
      <c r="M164">
        <v>1.4</v>
      </c>
      <c r="N164" s="5">
        <v>2.0000000000000001E-13</v>
      </c>
      <c r="O164" s="5">
        <v>1.1999999999999999E-14</v>
      </c>
      <c r="P164" s="5">
        <f>_xlfn.XLOOKUP(A164,'[2]LX COMPUTED'!A:A,'[2]LX COMPUTED'!T:T,"-",0)</f>
        <v>6.0447185209847385</v>
      </c>
      <c r="Q164" s="5">
        <f>_xlfn.XLOOKUP(A164,'[2]LX COMPUTED'!A:A,'[2]LX COMPUTED'!U:U,"-",0)</f>
        <v>0.35380266438306923</v>
      </c>
      <c r="R164" s="5">
        <f>_xlfn.XLOOKUP(A164,'[2]LX COMPUTED'!A:A,'[2]LX COMPUTED'!V:V,"-",0)</f>
        <v>9.6895105758643609</v>
      </c>
      <c r="S164" s="5">
        <f>_xlfn.XLOOKUP(A164,'[2]LX COMPUTED'!A:A,'[2]LX COMPUTED'!W:W,"-",0)</f>
        <v>0.92273844288056461</v>
      </c>
      <c r="T164" s="5">
        <f>_xlfn.XLOOKUP(A164,'[2]LX COMPUTED'!A:A,'[2]LX COMPUTED'!AK:AK,"-",0)</f>
        <v>2.3683274736820388</v>
      </c>
      <c r="U164" s="5">
        <f>_xlfn.XLOOKUP(A164,'[2]LX COMPUTED'!A:A,'[2]LX COMPUTED'!AL:AL,"-",0)</f>
        <v>0.13862027940778684</v>
      </c>
      <c r="V164" s="2">
        <f>_xlfn.XLOOKUP(A164,'[2]LX COMPUTED'!A:A,'[2]LX COMPUTED'!AE:AE,"-",0)</f>
        <v>0.31766231107775234</v>
      </c>
      <c r="W164" s="2">
        <f>_xlfn.XLOOKUP(A164,'[2]LX COMPUTED'!A:A,'[2]LX COMPUTED'!AF:AF,"-",0)</f>
        <v>1.7332335419365418E-2</v>
      </c>
    </row>
    <row r="165" spans="1:23" x14ac:dyDescent="0.2">
      <c r="A165" t="s">
        <v>107</v>
      </c>
      <c r="B165">
        <v>0.29599999999999999</v>
      </c>
      <c r="C165">
        <v>104.6276</v>
      </c>
      <c r="D165">
        <v>-55.938800000000001</v>
      </c>
      <c r="E165">
        <v>1568</v>
      </c>
      <c r="F165">
        <v>12.31</v>
      </c>
      <c r="G165">
        <v>1.21</v>
      </c>
      <c r="H165">
        <v>0.21</v>
      </c>
      <c r="I165">
        <v>7.0000000000000007E-2</v>
      </c>
      <c r="J165" t="s">
        <v>740</v>
      </c>
      <c r="K165">
        <v>5213</v>
      </c>
      <c r="L165">
        <v>4097</v>
      </c>
      <c r="M165">
        <v>1.3</v>
      </c>
      <c r="N165" s="5">
        <v>8.3699999999999993E-12</v>
      </c>
      <c r="O165" s="5">
        <v>4.8999999999999999E-14</v>
      </c>
      <c r="P165" s="5">
        <f>_xlfn.XLOOKUP(A165,'[2]LX COMPUTED'!A:A,'[2]LX COMPUTED'!T:T,"-",0)</f>
        <v>22.025256706196394</v>
      </c>
      <c r="Q165" s="5">
        <f>_xlfn.XLOOKUP(A165,'[2]LX COMPUTED'!A:A,'[2]LX COMPUTED'!U:U,"-",0)</f>
        <v>0.12796062333613822</v>
      </c>
      <c r="R165" s="5">
        <f>_xlfn.XLOOKUP(A165,'[2]LX COMPUTED'!A:A,'[2]LX COMPUTED'!V:V,"-",0)</f>
        <v>42.504744167169903</v>
      </c>
      <c r="S165" s="5">
        <f>_xlfn.XLOOKUP(A165,'[2]LX COMPUTED'!A:A,'[2]LX COMPUTED'!W:W,"-",0)</f>
        <v>3.094301686689295</v>
      </c>
      <c r="T165" s="5">
        <f>_xlfn.XLOOKUP(A165,'[2]LX COMPUTED'!A:A,'[2]LX COMPUTED'!AK:AK,"-",0)</f>
        <v>7.7463351007031598</v>
      </c>
      <c r="U165" s="5">
        <f>_xlfn.XLOOKUP(A165,'[2]LX COMPUTED'!A:A,'[2]LX COMPUTED'!AL:AL,"-",0)</f>
        <v>4.5004055175335164E-2</v>
      </c>
      <c r="V165" s="2">
        <f>_xlfn.XLOOKUP(A165,'[2]LX COMPUTED'!A:A,'[2]LX COMPUTED'!AE:AE,"-",0)</f>
        <v>0.35745007680491553</v>
      </c>
      <c r="W165" s="2">
        <f>_xlfn.XLOOKUP(A165,'[2]LX COMPUTED'!A:A,'[2]LX COMPUTED'!AF:AF,"-",0)</f>
        <v>2.206224926315723E-3</v>
      </c>
    </row>
    <row r="166" spans="1:23" x14ac:dyDescent="0.2">
      <c r="A166" t="s">
        <v>354</v>
      </c>
      <c r="B166">
        <v>0.107</v>
      </c>
      <c r="C166">
        <v>16.938099999999999</v>
      </c>
      <c r="D166">
        <v>54.1327</v>
      </c>
      <c r="E166">
        <v>1413</v>
      </c>
      <c r="F166">
        <v>6.64</v>
      </c>
      <c r="G166">
        <v>1.39</v>
      </c>
      <c r="H166">
        <v>0.18</v>
      </c>
      <c r="I166">
        <v>0.14000000000000001</v>
      </c>
      <c r="J166" t="s">
        <v>740</v>
      </c>
      <c r="K166">
        <v>1263</v>
      </c>
      <c r="L166">
        <v>1022</v>
      </c>
      <c r="M166">
        <v>1.2</v>
      </c>
      <c r="N166" s="5">
        <v>1.1700000000000001E-11</v>
      </c>
      <c r="O166" s="5">
        <v>2.0000000000000001E-13</v>
      </c>
      <c r="P166" s="5">
        <f>_xlfn.XLOOKUP(A166,'[2]LX COMPUTED'!A:A,'[2]LX COMPUTED'!T:T,"-",0)</f>
        <v>4.2384652830390408</v>
      </c>
      <c r="Q166" s="5">
        <f>_xlfn.XLOOKUP(A166,'[2]LX COMPUTED'!A:A,'[2]LX COMPUTED'!U:U,"-",0)</f>
        <v>7.2915121895163651E-2</v>
      </c>
      <c r="R166" s="5">
        <f>_xlfn.XLOOKUP(A166,'[2]LX COMPUTED'!A:A,'[2]LX COMPUTED'!V:V,"-",0)</f>
        <v>6.4598819034825494</v>
      </c>
      <c r="S166" s="5">
        <f>_xlfn.XLOOKUP(A166,'[2]LX COMPUTED'!A:A,'[2]LX COMPUTED'!W:W,"-",0)</f>
        <v>0.54838500444096283</v>
      </c>
      <c r="T166" s="5">
        <f>_xlfn.XLOOKUP(A166,'[2]LX COMPUTED'!A:A,'[2]LX COMPUTED'!AK:AK,"-",0)</f>
        <v>1.7193594998321853</v>
      </c>
      <c r="U166" s="5">
        <f>_xlfn.XLOOKUP(A166,'[2]LX COMPUTED'!A:A,'[2]LX COMPUTED'!AL:AL,"-",0)</f>
        <v>2.9578467473486351E-2</v>
      </c>
      <c r="V166" s="2">
        <f>_xlfn.XLOOKUP(A166,'[2]LX COMPUTED'!A:A,'[2]LX COMPUTED'!AE:AE,"-",0)</f>
        <v>0.41574724172517558</v>
      </c>
      <c r="W166" s="2">
        <f>_xlfn.XLOOKUP(A166,'[2]LX COMPUTED'!A:A,'[2]LX COMPUTED'!AF:AF,"-",0)</f>
        <v>6.9231836836195146E-3</v>
      </c>
    </row>
    <row r="167" spans="1:23" x14ac:dyDescent="0.2">
      <c r="A167" t="s">
        <v>460</v>
      </c>
      <c r="B167">
        <v>0.17100000000000001</v>
      </c>
      <c r="C167">
        <v>94.103300000000004</v>
      </c>
      <c r="D167">
        <v>-21.938300000000002</v>
      </c>
      <c r="E167">
        <v>1244</v>
      </c>
      <c r="F167">
        <v>7.24</v>
      </c>
      <c r="G167">
        <v>0.59</v>
      </c>
      <c r="H167">
        <v>0.27</v>
      </c>
      <c r="I167">
        <v>0.1</v>
      </c>
      <c r="J167" t="s">
        <v>739</v>
      </c>
      <c r="K167">
        <v>1197</v>
      </c>
      <c r="L167">
        <v>1022</v>
      </c>
      <c r="M167">
        <v>1.2</v>
      </c>
      <c r="N167" s="5">
        <v>3.2399999999999999E-12</v>
      </c>
      <c r="O167" s="5">
        <v>7.7E-14</v>
      </c>
      <c r="P167" s="5">
        <f>_xlfn.XLOOKUP(A167,'[2]LX COMPUTED'!A:A,'[2]LX COMPUTED'!T:T,"-",0)</f>
        <v>2.7672119258002166</v>
      </c>
      <c r="Q167" s="5">
        <f>_xlfn.XLOOKUP(A167,'[2]LX COMPUTED'!A:A,'[2]LX COMPUTED'!U:U,"-",0)</f>
        <v>6.5940337200953603E-2</v>
      </c>
      <c r="R167" s="5">
        <f>_xlfn.XLOOKUP(A167,'[2]LX COMPUTED'!A:A,'[2]LX COMPUTED'!V:V,"-",0)</f>
        <v>4.3267140570912677</v>
      </c>
      <c r="S167" s="5">
        <f>_xlfn.XLOOKUP(A167,'[2]LX COMPUTED'!A:A,'[2]LX COMPUTED'!W:W,"-",0)</f>
        <v>0.18377355653752264</v>
      </c>
      <c r="T167" s="5">
        <f>_xlfn.XLOOKUP(A167,'[2]LX COMPUTED'!A:A,'[2]LX COMPUTED'!AK:AK,"-",0)</f>
        <v>1.0865583881198118</v>
      </c>
      <c r="U167" s="5">
        <f>_xlfn.XLOOKUP(A167,'[2]LX COMPUTED'!A:A,'[2]LX COMPUTED'!AL:AL,"-",0)</f>
        <v>2.5891774255933066E-2</v>
      </c>
      <c r="V167" s="2">
        <f>_xlfn.XLOOKUP(A167,'[2]LX COMPUTED'!A:A,'[2]LX COMPUTED'!AE:AE,"-",0)</f>
        <v>0.33634126333059888</v>
      </c>
      <c r="W167" s="2">
        <f>_xlfn.XLOOKUP(A167,'[2]LX COMPUTED'!A:A,'[2]LX COMPUTED'!AF:AF,"-",0)</f>
        <v>8.9192558071735668E-3</v>
      </c>
    </row>
    <row r="168" spans="1:23" x14ac:dyDescent="0.2">
      <c r="A168" t="s">
        <v>247</v>
      </c>
      <c r="B168">
        <v>0.152</v>
      </c>
      <c r="C168">
        <v>271.13099999999997</v>
      </c>
      <c r="D168">
        <v>10.0571</v>
      </c>
      <c r="E168">
        <v>1216</v>
      </c>
      <c r="F168">
        <v>6.81</v>
      </c>
      <c r="G168">
        <v>0.57999999999999996</v>
      </c>
      <c r="H168">
        <v>0.13</v>
      </c>
      <c r="I168">
        <v>0.08</v>
      </c>
      <c r="J168" t="s">
        <v>739</v>
      </c>
      <c r="K168">
        <v>1200</v>
      </c>
      <c r="L168">
        <v>1022</v>
      </c>
      <c r="M168">
        <v>1.2</v>
      </c>
      <c r="N168" s="5">
        <v>7.2200000000000003E-12</v>
      </c>
      <c r="O168" s="5">
        <v>2.2E-13</v>
      </c>
      <c r="P168" s="5">
        <f>_xlfn.XLOOKUP(A168,'[2]LX COMPUTED'!A:A,'[2]LX COMPUTED'!T:T,"-",0)</f>
        <v>4.9187264064520457</v>
      </c>
      <c r="Q168" s="5">
        <f>_xlfn.XLOOKUP(A168,'[2]LX COMPUTED'!A:A,'[2]LX COMPUTED'!U:U,"-",0)</f>
        <v>0.15107965526841854</v>
      </c>
      <c r="R168" s="5">
        <f>_xlfn.XLOOKUP(A168,'[2]LX COMPUTED'!A:A,'[2]LX COMPUTED'!V:V,"-",0)</f>
        <v>7.5597834515276743</v>
      </c>
      <c r="S168" s="5">
        <f>_xlfn.XLOOKUP(A168,'[2]LX COMPUTED'!A:A,'[2]LX COMPUTED'!W:W,"-",0)</f>
        <v>0.35055645830577753</v>
      </c>
      <c r="T168" s="5">
        <f>_xlfn.XLOOKUP(A168,'[2]LX COMPUTED'!A:A,'[2]LX COMPUTED'!AK:AK,"-",0)</f>
        <v>1.9903765289905702</v>
      </c>
      <c r="U168" s="5">
        <f>_xlfn.XLOOKUP(A168,'[2]LX COMPUTED'!A:A,'[2]LX COMPUTED'!AL:AL,"-",0)</f>
        <v>6.1134809096070525E-2</v>
      </c>
      <c r="V168" s="2">
        <f>_xlfn.XLOOKUP(A168,'[2]LX COMPUTED'!A:A,'[2]LX COMPUTED'!AE:AE,"-",0)</f>
        <v>0.50069204152249136</v>
      </c>
      <c r="W168" s="2">
        <f>_xlfn.XLOOKUP(A168,'[2]LX COMPUTED'!A:A,'[2]LX COMPUTED'!AF:AF,"-",0)</f>
        <v>1.0696428755109766E-2</v>
      </c>
    </row>
    <row r="169" spans="1:23" x14ac:dyDescent="0.2">
      <c r="A169" t="s">
        <v>660</v>
      </c>
      <c r="B169">
        <v>0.26</v>
      </c>
      <c r="C169">
        <v>294.57679999999999</v>
      </c>
      <c r="D169">
        <v>54.159700000000001</v>
      </c>
      <c r="E169">
        <v>1181</v>
      </c>
      <c r="F169">
        <v>7.02</v>
      </c>
      <c r="G169">
        <v>0.71</v>
      </c>
      <c r="H169">
        <v>0.36</v>
      </c>
      <c r="I169">
        <v>0.1</v>
      </c>
      <c r="J169" t="s">
        <v>739</v>
      </c>
      <c r="K169">
        <v>1101</v>
      </c>
      <c r="L169">
        <v>1022</v>
      </c>
      <c r="M169">
        <v>1.1000000000000001</v>
      </c>
      <c r="N169" s="5">
        <v>3.7200000000000003E-12</v>
      </c>
      <c r="O169" s="5">
        <v>1.6E-13</v>
      </c>
      <c r="P169" s="5">
        <f>_xlfn.XLOOKUP(A169,'[2]LX COMPUTED'!A:A,'[2]LX COMPUTED'!T:T,"-",0)</f>
        <v>8.295850396145795</v>
      </c>
      <c r="Q169" s="5">
        <f>_xlfn.XLOOKUP(A169,'[2]LX COMPUTED'!A:A,'[2]LX COMPUTED'!U:U,"-",0)</f>
        <v>0.35203129007739831</v>
      </c>
      <c r="R169" s="5">
        <f>_xlfn.XLOOKUP(A169,'[2]LX COMPUTED'!A:A,'[2]LX COMPUTED'!V:V,"-",0)</f>
        <v>12.832684114119633</v>
      </c>
      <c r="S169" s="5">
        <f>_xlfn.XLOOKUP(A169,'[2]LX COMPUTED'!A:A,'[2]LX COMPUTED'!W:W,"-",0)</f>
        <v>0.77325048986931544</v>
      </c>
      <c r="T169" s="5">
        <f>_xlfn.XLOOKUP(A169,'[2]LX COMPUTED'!A:A,'[2]LX COMPUTED'!AK:AK,"-",0)</f>
        <v>3.2617732281677356</v>
      </c>
      <c r="U169" s="5">
        <f>_xlfn.XLOOKUP(A169,'[2]LX COMPUTED'!A:A,'[2]LX COMPUTED'!AL:AL,"-",0)</f>
        <v>0.13841211962854064</v>
      </c>
      <c r="V169" s="2">
        <f>_xlfn.XLOOKUP(A169,'[2]LX COMPUTED'!A:A,'[2]LX COMPUTED'!AE:AE,"-",0)</f>
        <v>0.57360872059667245</v>
      </c>
      <c r="W169" s="2">
        <f>_xlfn.XLOOKUP(A169,'[2]LX COMPUTED'!A:A,'[2]LX COMPUTED'!AF:AF,"-",0)</f>
        <v>1.3428096834402485E-2</v>
      </c>
    </row>
    <row r="170" spans="1:23" x14ac:dyDescent="0.2">
      <c r="A170" t="s">
        <v>282</v>
      </c>
      <c r="B170">
        <v>0.192</v>
      </c>
      <c r="C170">
        <v>340.66469999999998</v>
      </c>
      <c r="D170">
        <v>52.995800000000003</v>
      </c>
      <c r="E170">
        <v>1332</v>
      </c>
      <c r="F170">
        <v>7.94</v>
      </c>
      <c r="G170">
        <v>1.26</v>
      </c>
      <c r="H170">
        <v>0.19</v>
      </c>
      <c r="I170">
        <v>0.13</v>
      </c>
      <c r="J170" t="s">
        <v>740</v>
      </c>
      <c r="K170">
        <v>2150</v>
      </c>
      <c r="L170">
        <v>2047</v>
      </c>
      <c r="M170">
        <v>1.1000000000000001</v>
      </c>
      <c r="N170" s="5">
        <v>3.3099999999999998E-12</v>
      </c>
      <c r="O170" s="5">
        <v>5.0999999999999997E-14</v>
      </c>
      <c r="P170" s="5">
        <f>_xlfn.XLOOKUP(A170,'[2]LX COMPUTED'!A:A,'[2]LX COMPUTED'!T:T,"-",0)</f>
        <v>4.2359068538048259</v>
      </c>
      <c r="Q170" s="5">
        <f>_xlfn.XLOOKUP(A170,'[2]LX COMPUTED'!A:A,'[2]LX COMPUTED'!U:U,"-",0)</f>
        <v>6.5090720810089917E-2</v>
      </c>
      <c r="R170" s="5">
        <f>_xlfn.XLOOKUP(A170,'[2]LX COMPUTED'!A:A,'[2]LX COMPUTED'!V:V,"-",0)</f>
        <v>6.8399001989670252</v>
      </c>
      <c r="S170" s="5">
        <f>_xlfn.XLOOKUP(A170,'[2]LX COMPUTED'!A:A,'[2]LX COMPUTED'!W:W,"-",0)</f>
        <v>0.52745648182647353</v>
      </c>
      <c r="T170" s="5">
        <f>_xlfn.XLOOKUP(A170,'[2]LX COMPUTED'!A:A,'[2]LX COMPUTED'!AK:AK,"-",0)</f>
        <v>1.6366272430830529</v>
      </c>
      <c r="U170" s="5">
        <f>_xlfn.XLOOKUP(A170,'[2]LX COMPUTED'!A:A,'[2]LX COMPUTED'!AL:AL,"-",0)</f>
        <v>2.5149100446818892E-2</v>
      </c>
      <c r="V170" s="2">
        <f>_xlfn.XLOOKUP(A170,'[2]LX COMPUTED'!A:A,'[2]LX COMPUTED'!AE:AE,"-",0)</f>
        <v>0.25129943502824853</v>
      </c>
      <c r="W170" s="2">
        <f>_xlfn.XLOOKUP(A170,'[2]LX COMPUTED'!A:A,'[2]LX COMPUTED'!AF:AF,"-",0)</f>
        <v>5.5149018099110237E-3</v>
      </c>
    </row>
    <row r="171" spans="1:23" x14ac:dyDescent="0.2">
      <c r="A171" t="s">
        <v>270</v>
      </c>
      <c r="B171">
        <v>0.29199999999999998</v>
      </c>
      <c r="C171">
        <v>328.96749999999997</v>
      </c>
      <c r="D171">
        <v>38.006799999999998</v>
      </c>
      <c r="E171">
        <v>1337</v>
      </c>
      <c r="F171">
        <v>8.65</v>
      </c>
      <c r="G171">
        <v>1.1100000000000001</v>
      </c>
      <c r="H171">
        <v>0.24</v>
      </c>
      <c r="I171">
        <v>0.11</v>
      </c>
      <c r="J171" t="s">
        <v>740</v>
      </c>
      <c r="K171">
        <v>2257</v>
      </c>
      <c r="L171">
        <v>2047</v>
      </c>
      <c r="M171">
        <v>1.1000000000000001</v>
      </c>
      <c r="N171" s="5">
        <v>3.7E-12</v>
      </c>
      <c r="O171" s="5">
        <v>5.3999999999999997E-14</v>
      </c>
      <c r="P171" s="5">
        <f>_xlfn.XLOOKUP(A171,'[2]LX COMPUTED'!A:A,'[2]LX COMPUTED'!T:T,"-",0)</f>
        <v>11.228394060088274</v>
      </c>
      <c r="Q171" s="5">
        <f>_xlfn.XLOOKUP(A171,'[2]LX COMPUTED'!A:A,'[2]LX COMPUTED'!U:U,"-",0)</f>
        <v>0.16553707397720888</v>
      </c>
      <c r="R171" s="5">
        <f>_xlfn.XLOOKUP(A171,'[2]LX COMPUTED'!A:A,'[2]LX COMPUTED'!V:V,"-",0)</f>
        <v>18.708000193261419</v>
      </c>
      <c r="S171" s="5">
        <f>_xlfn.XLOOKUP(A171,'[2]LX COMPUTED'!A:A,'[2]LX COMPUTED'!W:W,"-",0)</f>
        <v>1.2752743869930903</v>
      </c>
      <c r="T171" s="5">
        <f>_xlfn.XLOOKUP(A171,'[2]LX COMPUTED'!A:A,'[2]LX COMPUTED'!AK:AK,"-",0)</f>
        <v>4.2375591825142367</v>
      </c>
      <c r="U171" s="5">
        <f>_xlfn.XLOOKUP(A171,'[2]LX COMPUTED'!A:A,'[2]LX COMPUTED'!AL:AL,"-",0)</f>
        <v>6.2473150133915523E-2</v>
      </c>
      <c r="V171" s="2">
        <f>_xlfn.XLOOKUP(A171,'[2]LX COMPUTED'!A:A,'[2]LX COMPUTED'!AE:AE,"-",0)</f>
        <v>0.40674157303370789</v>
      </c>
      <c r="W171" s="2">
        <f>_xlfn.XLOOKUP(A171,'[2]LX COMPUTED'!A:A,'[2]LX COMPUTED'!AF:AF,"-",0)</f>
        <v>5.1034960080525429E-3</v>
      </c>
    </row>
    <row r="172" spans="1:23" x14ac:dyDescent="0.2">
      <c r="A172" t="s">
        <v>19</v>
      </c>
      <c r="B172">
        <v>0.54100000000000004</v>
      </c>
      <c r="C172">
        <v>4.6402000000000001</v>
      </c>
      <c r="D172">
        <v>16.4359</v>
      </c>
      <c r="E172">
        <v>1237</v>
      </c>
      <c r="F172">
        <v>10.09</v>
      </c>
      <c r="G172">
        <v>0.85</v>
      </c>
      <c r="H172">
        <v>0.17</v>
      </c>
      <c r="I172">
        <v>7.0000000000000007E-2</v>
      </c>
      <c r="J172" t="s">
        <v>739</v>
      </c>
      <c r="K172">
        <v>1039</v>
      </c>
      <c r="L172">
        <v>1022</v>
      </c>
      <c r="M172">
        <v>1</v>
      </c>
      <c r="N172" s="5">
        <v>1.3600000000000001E-12</v>
      </c>
      <c r="O172" s="5">
        <v>3.1E-14</v>
      </c>
      <c r="P172" s="5">
        <f>_xlfn.XLOOKUP(A172,'[2]LX COMPUTED'!A:A,'[2]LX COMPUTED'!T:T,"-",0)</f>
        <v>14.322141702154884</v>
      </c>
      <c r="Q172" s="5">
        <f>_xlfn.XLOOKUP(A172,'[2]LX COMPUTED'!A:A,'[2]LX COMPUTED'!U:U,"-",0)</f>
        <v>0.32260914129957208</v>
      </c>
      <c r="R172" s="5">
        <f>_xlfn.XLOOKUP(A172,'[2]LX COMPUTED'!A:A,'[2]LX COMPUTED'!V:V,"-",0)</f>
        <v>25.361821292569072</v>
      </c>
      <c r="S172" s="5">
        <f>_xlfn.XLOOKUP(A172,'[2]LX COMPUTED'!A:A,'[2]LX COMPUTED'!W:W,"-",0)</f>
        <v>1.4098200853406704</v>
      </c>
      <c r="T172" s="5">
        <f>_xlfn.XLOOKUP(A172,'[2]LX COMPUTED'!A:A,'[2]LX COMPUTED'!AK:AK,"-",0)</f>
        <v>5.2531159608279241</v>
      </c>
      <c r="U172" s="5">
        <f>_xlfn.XLOOKUP(A172,'[2]LX COMPUTED'!A:A,'[2]LX COMPUTED'!AL:AL,"-",0)</f>
        <v>0.11832750048931516</v>
      </c>
      <c r="V172" s="2">
        <f>_xlfn.XLOOKUP(A172,'[2]LX COMPUTED'!A:A,'[2]LX COMPUTED'!AE:AE,"-",0)</f>
        <v>0.38749831483395497</v>
      </c>
      <c r="W172" s="2">
        <f>_xlfn.XLOOKUP(A172,'[2]LX COMPUTED'!A:A,'[2]LX COMPUTED'!AF:AF,"-",0)</f>
        <v>9.1047715224646421E-3</v>
      </c>
    </row>
    <row r="173" spans="1:23" x14ac:dyDescent="0.2">
      <c r="A173" t="s">
        <v>91</v>
      </c>
      <c r="B173">
        <v>3.5999999999999997E-2</v>
      </c>
      <c r="C173">
        <v>85.027799999999999</v>
      </c>
      <c r="D173">
        <v>-40.836599999999997</v>
      </c>
      <c r="E173">
        <v>805</v>
      </c>
      <c r="F173">
        <v>2.5299999999999998</v>
      </c>
      <c r="G173">
        <v>0.42</v>
      </c>
      <c r="H173">
        <v>0.3</v>
      </c>
      <c r="I173">
        <v>0.18</v>
      </c>
      <c r="J173" t="s">
        <v>740</v>
      </c>
      <c r="K173">
        <v>4850</v>
      </c>
      <c r="L173">
        <v>2047</v>
      </c>
      <c r="M173">
        <v>2.4</v>
      </c>
      <c r="N173" s="5">
        <v>5.0499999999999997E-12</v>
      </c>
      <c r="O173" s="5">
        <v>2.2E-13</v>
      </c>
      <c r="P173" s="5">
        <f>_xlfn.XLOOKUP(A173,'[2]LX COMPUTED'!A:A,'[2]LX COMPUTED'!T:T,"-",0)</f>
        <v>0.16001584609808051</v>
      </c>
      <c r="Q173" s="5">
        <f>_xlfn.XLOOKUP(A173,'[2]LX COMPUTED'!A:A,'[2]LX COMPUTED'!U:U,"-",0)</f>
        <v>7.1127536163561912E-3</v>
      </c>
      <c r="R173" s="5">
        <f>_xlfn.XLOOKUP(A173,'[2]LX COMPUTED'!A:A,'[2]LX COMPUTED'!V:V,"-",0)</f>
        <v>0.21400877475789865</v>
      </c>
      <c r="S173" s="5">
        <f>_xlfn.XLOOKUP(A173,'[2]LX COMPUTED'!A:A,'[2]LX COMPUTED'!W:W,"-",0)</f>
        <v>1.0922025311492467E-2</v>
      </c>
      <c r="T173" s="5">
        <f>_xlfn.XLOOKUP(A173,'[2]LX COMPUTED'!A:A,'[2]LX COMPUTED'!AK:AK,"-",0)</f>
        <v>9.2203765083333347E-2</v>
      </c>
      <c r="U173" s="5">
        <f>_xlfn.XLOOKUP(A173,'[2]LX COMPUTED'!A:A,'[2]LX COMPUTED'!AL:AL,"-",0)</f>
        <v>4.0984857408194091E-3</v>
      </c>
      <c r="V173" s="2">
        <f>_xlfn.XLOOKUP(A173,'[2]LX COMPUTED'!A:A,'[2]LX COMPUTED'!AE:AE,"-",0)</f>
        <v>0.58823529411764708</v>
      </c>
      <c r="W173" s="2">
        <f>_xlfn.XLOOKUP(A173,'[2]LX COMPUTED'!A:A,'[2]LX COMPUTED'!AF:AF,"-",0)</f>
        <v>1.2792913587849052E-2</v>
      </c>
    </row>
    <row r="174" spans="1:23" x14ac:dyDescent="0.2">
      <c r="A174" t="s">
        <v>462</v>
      </c>
      <c r="B174">
        <v>0.27</v>
      </c>
      <c r="C174">
        <v>95.454099999999997</v>
      </c>
      <c r="D174">
        <v>74.701400000000007</v>
      </c>
      <c r="E174">
        <v>1213</v>
      </c>
      <c r="F174">
        <v>7.33</v>
      </c>
      <c r="G174">
        <v>0.73</v>
      </c>
      <c r="H174">
        <v>0.3</v>
      </c>
      <c r="I174">
        <v>0.09</v>
      </c>
      <c r="J174" t="s">
        <v>739</v>
      </c>
      <c r="K174">
        <v>1163</v>
      </c>
      <c r="L174">
        <v>1022</v>
      </c>
      <c r="M174">
        <v>1.1000000000000001</v>
      </c>
      <c r="N174" s="5">
        <v>3.1500000000000001E-12</v>
      </c>
      <c r="O174" s="5">
        <v>1.1999999999999999E-13</v>
      </c>
      <c r="P174" s="5">
        <f>_xlfn.XLOOKUP(A174,'[2]LX COMPUTED'!A:A,'[2]LX COMPUTED'!T:T,"-",0)</f>
        <v>7.3408619233316417</v>
      </c>
      <c r="Q174" s="5">
        <f>_xlfn.XLOOKUP(A174,'[2]LX COMPUTED'!A:A,'[2]LX COMPUTED'!U:U,"-",0)</f>
        <v>0.27598278604891857</v>
      </c>
      <c r="R174" s="5">
        <f>_xlfn.XLOOKUP(A174,'[2]LX COMPUTED'!A:A,'[2]LX COMPUTED'!V:V,"-",0)</f>
        <v>11.519079954439309</v>
      </c>
      <c r="S174" s="5">
        <f>_xlfn.XLOOKUP(A174,'[2]LX COMPUTED'!A:A,'[2]LX COMPUTED'!W:W,"-",0)</f>
        <v>0.66648166192660285</v>
      </c>
      <c r="T174" s="5">
        <f>_xlfn.XLOOKUP(A174,'[2]LX COMPUTED'!A:A,'[2]LX COMPUTED'!AK:AK,"-",0)</f>
        <v>2.8643671101276413</v>
      </c>
      <c r="U174" s="5">
        <f>_xlfn.XLOOKUP(A174,'[2]LX COMPUTED'!A:A,'[2]LX COMPUTED'!AL:AL,"-",0)</f>
        <v>0.10768708410212696</v>
      </c>
      <c r="V174" s="2">
        <f>_xlfn.XLOOKUP(A174,'[2]LX COMPUTED'!A:A,'[2]LX COMPUTED'!AE:AE,"-",0)</f>
        <v>0.56685447299711422</v>
      </c>
      <c r="W174" s="2">
        <f>_xlfn.XLOOKUP(A174,'[2]LX COMPUTED'!A:A,'[2]LX COMPUTED'!AF:AF,"-",0)</f>
        <v>1.2110315296883995E-2</v>
      </c>
    </row>
    <row r="175" spans="1:23" x14ac:dyDescent="0.2">
      <c r="A175" t="s">
        <v>497</v>
      </c>
      <c r="B175">
        <v>0.35399999999999998</v>
      </c>
      <c r="C175">
        <v>146.80279999999999</v>
      </c>
      <c r="D175">
        <v>76.387100000000004</v>
      </c>
      <c r="E175">
        <v>1238</v>
      </c>
      <c r="F175">
        <v>8.49</v>
      </c>
      <c r="G175">
        <v>0.63</v>
      </c>
      <c r="H175">
        <v>0.38</v>
      </c>
      <c r="I175">
        <v>0.08</v>
      </c>
      <c r="J175" t="s">
        <v>739</v>
      </c>
      <c r="K175">
        <v>2172</v>
      </c>
      <c r="L175">
        <v>2047</v>
      </c>
      <c r="M175">
        <v>1.1000000000000001</v>
      </c>
      <c r="N175" s="5">
        <v>1.61E-12</v>
      </c>
      <c r="O175" s="5">
        <v>4E-14</v>
      </c>
      <c r="P175" s="5">
        <f>_xlfn.XLOOKUP(A175,'[2]LX COMPUTED'!A:A,'[2]LX COMPUTED'!T:T,"-",0)</f>
        <v>6.4093090948034481</v>
      </c>
      <c r="Q175" s="5">
        <f>_xlfn.XLOOKUP(A175,'[2]LX COMPUTED'!A:A,'[2]LX COMPUTED'!U:U,"-",0)</f>
        <v>0.15757235154627217</v>
      </c>
      <c r="R175" s="5">
        <f>_xlfn.XLOOKUP(A175,'[2]LX COMPUTED'!A:A,'[2]LX COMPUTED'!V:V,"-",0)</f>
        <v>10.592898505839269</v>
      </c>
      <c r="S175" s="5">
        <f>_xlfn.XLOOKUP(A175,'[2]LX COMPUTED'!A:A,'[2]LX COMPUTED'!W:W,"-",0)</f>
        <v>0.47711876462167113</v>
      </c>
      <c r="T175" s="5">
        <f>_xlfn.XLOOKUP(A175,'[2]LX COMPUTED'!A:A,'[2]LX COMPUTED'!AK:AK,"-",0)</f>
        <v>2.4020058138617348</v>
      </c>
      <c r="U175" s="5">
        <f>_xlfn.XLOOKUP(A175,'[2]LX COMPUTED'!A:A,'[2]LX COMPUTED'!AL:AL,"-",0)</f>
        <v>5.9053120846501772E-2</v>
      </c>
      <c r="V175" s="2">
        <f>_xlfn.XLOOKUP(A175,'[2]LX COMPUTED'!A:A,'[2]LX COMPUTED'!AE:AE,"-",0)</f>
        <v>0.80635872825434918</v>
      </c>
      <c r="W175" s="2">
        <f>_xlfn.XLOOKUP(A175,'[2]LX COMPUTED'!A:A,'[2]LX COMPUTED'!AF:AF,"-",0)</f>
        <v>4.2131039796110877E-3</v>
      </c>
    </row>
    <row r="176" spans="1:23" x14ac:dyDescent="0.2">
      <c r="A176" t="s">
        <v>38</v>
      </c>
      <c r="B176">
        <v>0.32200000000000001</v>
      </c>
      <c r="C176">
        <v>29.956</v>
      </c>
      <c r="D176">
        <v>-8.8336000000000006</v>
      </c>
      <c r="E176">
        <v>1339</v>
      </c>
      <c r="F176">
        <v>9.24</v>
      </c>
      <c r="G176">
        <v>0.71</v>
      </c>
      <c r="H176">
        <v>0</v>
      </c>
      <c r="I176">
        <v>0.02</v>
      </c>
      <c r="J176" t="s">
        <v>739</v>
      </c>
      <c r="K176">
        <v>3936</v>
      </c>
      <c r="L176">
        <v>3072</v>
      </c>
      <c r="M176">
        <v>1.3</v>
      </c>
      <c r="N176" s="5">
        <v>1.38E-12</v>
      </c>
      <c r="O176" s="5">
        <v>3.5999999999999998E-14</v>
      </c>
      <c r="P176" s="5">
        <f>_xlfn.XLOOKUP(A176,'[2]LX COMPUTED'!A:A,'[2]LX COMPUTED'!T:T,"-",0)</f>
        <v>4.3597938416454944</v>
      </c>
      <c r="Q176" s="5">
        <f>_xlfn.XLOOKUP(A176,'[2]LX COMPUTED'!A:A,'[2]LX COMPUTED'!U:U,"-",0)</f>
        <v>0.11420872250324189</v>
      </c>
      <c r="R176" s="5">
        <f>_xlfn.XLOOKUP(A176,'[2]LX COMPUTED'!A:A,'[2]LX COMPUTED'!V:V,"-",0)</f>
        <v>7.4603088067698105</v>
      </c>
      <c r="S176" s="5">
        <f>_xlfn.XLOOKUP(A176,'[2]LX COMPUTED'!A:A,'[2]LX COMPUTED'!W:W,"-",0)</f>
        <v>0.37232663301949975</v>
      </c>
      <c r="T176" s="5">
        <f>_xlfn.XLOOKUP(A176,'[2]LX COMPUTED'!A:A,'[2]LX COMPUTED'!AK:AK,"-",0)</f>
        <v>1.6522673393057619</v>
      </c>
      <c r="U176" s="5">
        <f>_xlfn.XLOOKUP(A176,'[2]LX COMPUTED'!A:A,'[2]LX COMPUTED'!AL:AL,"-",0)</f>
        <v>4.3282629617349119E-2</v>
      </c>
      <c r="V176" s="2">
        <f>_xlfn.XLOOKUP(A176,'[2]LX COMPUTED'!A:A,'[2]LX COMPUTED'!AE:AE,"-",0)</f>
        <v>0.70892216831892008</v>
      </c>
      <c r="W176" s="2">
        <f>_xlfn.XLOOKUP(A176,'[2]LX COMPUTED'!A:A,'[2]LX COMPUTED'!AF:AF,"-",0)</f>
        <v>6.2247011244389054E-3</v>
      </c>
    </row>
    <row r="177" spans="1:23" x14ac:dyDescent="0.2">
      <c r="A177" t="s">
        <v>207</v>
      </c>
      <c r="B177">
        <v>0.54300000000000004</v>
      </c>
      <c r="C177">
        <v>215.9495</v>
      </c>
      <c r="D177">
        <v>24.078499999999998</v>
      </c>
      <c r="E177">
        <v>1028</v>
      </c>
      <c r="F177">
        <v>6.89</v>
      </c>
      <c r="G177">
        <v>0.36</v>
      </c>
      <c r="H177">
        <v>0.33</v>
      </c>
      <c r="I177">
        <v>0.03</v>
      </c>
      <c r="J177" t="s">
        <v>740</v>
      </c>
      <c r="K177">
        <v>1055</v>
      </c>
      <c r="L177">
        <v>1022</v>
      </c>
      <c r="M177">
        <v>1</v>
      </c>
      <c r="N177" s="5">
        <v>4.6900000000000002E-13</v>
      </c>
      <c r="O177" s="5">
        <v>1.3E-14</v>
      </c>
      <c r="P177" s="5">
        <f>_xlfn.XLOOKUP(A177,'[2]LX COMPUTED'!A:A,'[2]LX COMPUTED'!T:T,"-",0)</f>
        <v>5.1915596015886569</v>
      </c>
      <c r="Q177" s="5">
        <f>_xlfn.XLOOKUP(A177,'[2]LX COMPUTED'!A:A,'[2]LX COMPUTED'!U:U,"-",0)</f>
        <v>0.14519659839246463</v>
      </c>
      <c r="R177" s="5">
        <f>_xlfn.XLOOKUP(A177,'[2]LX COMPUTED'!A:A,'[2]LX COMPUTED'!V:V,"-",0)</f>
        <v>7.9867496217430842</v>
      </c>
      <c r="S177" s="5">
        <f>_xlfn.XLOOKUP(A177,'[2]LX COMPUTED'!A:A,'[2]LX COMPUTED'!W:W,"-",0)</f>
        <v>0.28217804514112671</v>
      </c>
      <c r="T177" s="5">
        <f>_xlfn.XLOOKUP(A177,'[2]LX COMPUTED'!A:A,'[2]LX COMPUTED'!AK:AK,"-",0)</f>
        <v>2.05739880298768</v>
      </c>
      <c r="U177" s="5">
        <f>_xlfn.XLOOKUP(A177,'[2]LX COMPUTED'!A:A,'[2]LX COMPUTED'!AL:AL,"-",0)</f>
        <v>5.7540956987015383E-2</v>
      </c>
      <c r="V177" s="2">
        <f>_xlfn.XLOOKUP(A177,'[2]LX COMPUTED'!A:A,'[2]LX COMPUTED'!AE:AE,"-",0)</f>
        <v>0.73946594126464216</v>
      </c>
      <c r="W177" s="2">
        <f>_xlfn.XLOOKUP(A177,'[2]LX COMPUTED'!A:A,'[2]LX COMPUTED'!AF:AF,"-",0)</f>
        <v>6.1219604966096016E-3</v>
      </c>
    </row>
    <row r="178" spans="1:23" x14ac:dyDescent="0.2">
      <c r="A178" t="s">
        <v>239</v>
      </c>
      <c r="B178">
        <v>0.155</v>
      </c>
      <c r="C178">
        <v>252.7842</v>
      </c>
      <c r="D178">
        <v>4.9924999999999997</v>
      </c>
      <c r="E178">
        <v>893</v>
      </c>
      <c r="F178">
        <v>4.12</v>
      </c>
      <c r="G178">
        <v>1.1000000000000001</v>
      </c>
      <c r="H178">
        <v>0.21</v>
      </c>
      <c r="I178">
        <v>0.1</v>
      </c>
      <c r="J178" t="s">
        <v>740</v>
      </c>
      <c r="K178">
        <v>2250</v>
      </c>
      <c r="L178">
        <v>2047</v>
      </c>
      <c r="M178">
        <v>1.1000000000000001</v>
      </c>
      <c r="N178" s="5">
        <v>2.3400000000000001E-12</v>
      </c>
      <c r="O178" s="5">
        <v>4.1999999999999998E-14</v>
      </c>
      <c r="P178" s="5">
        <f>_xlfn.XLOOKUP(A178,'[2]LX COMPUTED'!A:A,'[2]LX COMPUTED'!T:T,"-",0)</f>
        <v>1.6211423614726685</v>
      </c>
      <c r="Q178" s="5">
        <f>_xlfn.XLOOKUP(A178,'[2]LX COMPUTED'!A:A,'[2]LX COMPUTED'!U:U,"-",0)</f>
        <v>2.9043914491364745E-2</v>
      </c>
      <c r="R178" s="5">
        <f>_xlfn.XLOOKUP(A178,'[2]LX COMPUTED'!A:A,'[2]LX COMPUTED'!V:V,"-",0)</f>
        <v>2.227500601121621</v>
      </c>
      <c r="S178" s="5">
        <f>_xlfn.XLOOKUP(A178,'[2]LX COMPUTED'!A:A,'[2]LX COMPUTED'!W:W,"-",0)</f>
        <v>0.15205271257205025</v>
      </c>
      <c r="T178" s="5">
        <f>_xlfn.XLOOKUP(A178,'[2]LX COMPUTED'!A:A,'[2]LX COMPUTED'!AK:AK,"-",0)</f>
        <v>0.76650837097100111</v>
      </c>
      <c r="U178" s="5">
        <f>_xlfn.XLOOKUP(A178,'[2]LX COMPUTED'!A:A,'[2]LX COMPUTED'!AL:AL,"-",0)</f>
        <v>1.3732540776476633E-2</v>
      </c>
      <c r="V178" s="2">
        <f>_xlfn.XLOOKUP(A178,'[2]LX COMPUTED'!A:A,'[2]LX COMPUTED'!AE:AE,"-",0)</f>
        <v>0.58435555555555552</v>
      </c>
      <c r="W178" s="2">
        <f>_xlfn.XLOOKUP(A178,'[2]LX COMPUTED'!A:A,'[2]LX COMPUTED'!AF:AF,"-",0)</f>
        <v>5.6048259435767245E-3</v>
      </c>
    </row>
    <row r="179" spans="1:23" x14ac:dyDescent="0.2">
      <c r="A179" t="s">
        <v>263</v>
      </c>
      <c r="B179">
        <v>4.9000000000000002E-2</v>
      </c>
      <c r="C179">
        <v>318.48219999999998</v>
      </c>
      <c r="D179">
        <v>2.5651999999999999</v>
      </c>
      <c r="E179">
        <v>988</v>
      </c>
      <c r="F179">
        <v>4.0199999999999996</v>
      </c>
      <c r="G179">
        <v>0.28000000000000003</v>
      </c>
      <c r="H179">
        <v>0.47</v>
      </c>
      <c r="I179">
        <v>0.11</v>
      </c>
      <c r="J179" t="s">
        <v>739</v>
      </c>
      <c r="K179">
        <v>2343</v>
      </c>
      <c r="L179">
        <v>1022</v>
      </c>
      <c r="M179">
        <v>2.2999999999999998</v>
      </c>
      <c r="N179" s="5">
        <v>8.62E-12</v>
      </c>
      <c r="O179" s="5">
        <v>4.1000000000000002E-13</v>
      </c>
      <c r="P179" s="5">
        <f>_xlfn.XLOOKUP(A179,'[2]LX COMPUTED'!A:A,'[2]LX COMPUTED'!T:T,"-",0)</f>
        <v>0.52813424081169191</v>
      </c>
      <c r="Q179" s="5">
        <f>_xlfn.XLOOKUP(A179,'[2]LX COMPUTED'!A:A,'[2]LX COMPUTED'!U:U,"-",0)</f>
        <v>2.496766205328519E-2</v>
      </c>
      <c r="R179" s="5">
        <f>_xlfn.XLOOKUP(A179,'[2]LX COMPUTED'!A:A,'[2]LX COMPUTED'!V:V,"-",0)</f>
        <v>0.71699700916666964</v>
      </c>
      <c r="S179" s="5">
        <f>_xlfn.XLOOKUP(A179,'[2]LX COMPUTED'!A:A,'[2]LX COMPUTED'!W:W,"-",0)</f>
        <v>3.5987293148113407E-2</v>
      </c>
      <c r="T179" s="5">
        <f>_xlfn.XLOOKUP(A179,'[2]LX COMPUTED'!A:A,'[2]LX COMPUTED'!AK:AK,"-",0)</f>
        <v>0.24786928868673735</v>
      </c>
      <c r="U179" s="5">
        <f>_xlfn.XLOOKUP(A179,'[2]LX COMPUTED'!A:A,'[2]LX COMPUTED'!AL:AL,"-",0)</f>
        <v>1.1718074979965657E-2</v>
      </c>
      <c r="V179" s="2">
        <f>_xlfn.XLOOKUP(A179,'[2]LX COMPUTED'!A:A,'[2]LX COMPUTED'!AE:AE,"-",0)</f>
        <v>0.42131400577142469</v>
      </c>
      <c r="W179" s="2">
        <f>_xlfn.XLOOKUP(A179,'[2]LX COMPUTED'!A:A,'[2]LX COMPUTED'!AF:AF,"-",0)</f>
        <v>1.3893729378720389E-2</v>
      </c>
    </row>
    <row r="180" spans="1:23" x14ac:dyDescent="0.2">
      <c r="A180" t="s">
        <v>199</v>
      </c>
      <c r="B180">
        <v>0.45100000000000001</v>
      </c>
      <c r="C180">
        <v>206.8776</v>
      </c>
      <c r="D180">
        <v>-11.7524</v>
      </c>
      <c r="E180">
        <v>1600</v>
      </c>
      <c r="F180">
        <v>13.23</v>
      </c>
      <c r="G180">
        <v>2.4300000000000002</v>
      </c>
      <c r="H180">
        <v>0.24</v>
      </c>
      <c r="I180">
        <v>0.05</v>
      </c>
      <c r="J180" t="s">
        <v>740</v>
      </c>
      <c r="K180">
        <v>4682</v>
      </c>
      <c r="L180">
        <v>4097</v>
      </c>
      <c r="M180">
        <v>1.1000000000000001</v>
      </c>
      <c r="N180" s="5">
        <v>2.6400000000000001E-12</v>
      </c>
      <c r="O180" s="5">
        <v>3.5000000000000002E-14</v>
      </c>
      <c r="P180" s="5">
        <f>_xlfn.XLOOKUP(A180,'[2]LX COMPUTED'!A:A,'[2]LX COMPUTED'!T:T,"-",0)</f>
        <v>17.693506224192934</v>
      </c>
      <c r="Q180" s="5">
        <f>_xlfn.XLOOKUP(A180,'[2]LX COMPUTED'!A:A,'[2]LX COMPUTED'!U:U,"-",0)</f>
        <v>0.23762423880735445</v>
      </c>
      <c r="R180" s="5">
        <f>_xlfn.XLOOKUP(A180,'[2]LX COMPUTED'!A:A,'[2]LX COMPUTED'!V:V,"-",0)</f>
        <v>35.256649476233108</v>
      </c>
      <c r="S180" s="5">
        <f>_xlfn.XLOOKUP(A180,'[2]LX COMPUTED'!A:A,'[2]LX COMPUTED'!W:W,"-",0)</f>
        <v>5.1684054903482082</v>
      </c>
      <c r="T180" s="5">
        <f>_xlfn.XLOOKUP(A180,'[2]LX COMPUTED'!A:A,'[2]LX COMPUTED'!AK:AK,"-",0)</f>
        <v>6.1441170119409856</v>
      </c>
      <c r="U180" s="5">
        <f>_xlfn.XLOOKUP(A180,'[2]LX COMPUTED'!A:A,'[2]LX COMPUTED'!AL:AL,"-",0)</f>
        <v>8.25156478092227E-2</v>
      </c>
      <c r="V180" s="2">
        <f>_xlfn.XLOOKUP(A180,'[2]LX COMPUTED'!A:A,'[2]LX COMPUTED'!AE:AE,"-",0)</f>
        <v>0.7668933839766805</v>
      </c>
      <c r="W180" s="2">
        <f>_xlfn.XLOOKUP(A180,'[2]LX COMPUTED'!A:A,'[2]LX COMPUTED'!AF:AF,"-",0)</f>
        <v>2.7967361995463484E-3</v>
      </c>
    </row>
    <row r="181" spans="1:23" x14ac:dyDescent="0.2">
      <c r="A181" t="s">
        <v>17</v>
      </c>
      <c r="B181">
        <v>0.378</v>
      </c>
      <c r="C181">
        <v>2.9285999999999999</v>
      </c>
      <c r="D181">
        <v>-15.389200000000001</v>
      </c>
      <c r="E181">
        <v>1011</v>
      </c>
      <c r="F181">
        <v>5.81</v>
      </c>
      <c r="G181">
        <v>0.41</v>
      </c>
      <c r="H181">
        <v>0.26</v>
      </c>
      <c r="I181">
        <v>7.0000000000000007E-2</v>
      </c>
      <c r="J181" t="s">
        <v>739</v>
      </c>
      <c r="K181">
        <v>2261</v>
      </c>
      <c r="L181">
        <v>2047</v>
      </c>
      <c r="M181">
        <v>1.1000000000000001</v>
      </c>
      <c r="N181" s="5">
        <v>1.0700000000000001E-12</v>
      </c>
      <c r="O181" s="5">
        <v>3.8000000000000002E-14</v>
      </c>
      <c r="P181" s="5">
        <f>_xlfn.XLOOKUP(A181,'[2]LX COMPUTED'!A:A,'[2]LX COMPUTED'!T:T,"-",0)</f>
        <v>5.2028968802324211</v>
      </c>
      <c r="Q181" s="5">
        <f>_xlfn.XLOOKUP(A181,'[2]LX COMPUTED'!A:A,'[2]LX COMPUTED'!U:U,"-",0)</f>
        <v>0.18533478057209124</v>
      </c>
      <c r="R181" s="5">
        <f>_xlfn.XLOOKUP(A181,'[2]LX COMPUTED'!A:A,'[2]LX COMPUTED'!V:V,"-",0)</f>
        <v>7.6234642397004571</v>
      </c>
      <c r="S181" s="5">
        <f>_xlfn.XLOOKUP(A181,'[2]LX COMPUTED'!A:A,'[2]LX COMPUTED'!W:W,"-",0)</f>
        <v>0.33002190462300984</v>
      </c>
      <c r="T181" s="5">
        <f>_xlfn.XLOOKUP(A181,'[2]LX COMPUTED'!A:A,'[2]LX COMPUTED'!AK:AK,"-",0)</f>
        <v>2.1748275065167584</v>
      </c>
      <c r="U181" s="5">
        <f>_xlfn.XLOOKUP(A181,'[2]LX COMPUTED'!A:A,'[2]LX COMPUTED'!AL:AL,"-",0)</f>
        <v>7.747052997222309E-2</v>
      </c>
      <c r="V181" s="2">
        <f>_xlfn.XLOOKUP(A181,'[2]LX COMPUTED'!A:A,'[2]LX COMPUTED'!AE:AE,"-",0)</f>
        <v>0.57946498819826908</v>
      </c>
      <c r="W181" s="2">
        <f>_xlfn.XLOOKUP(A181,'[2]LX COMPUTED'!A:A,'[2]LX COMPUTED'!AF:AF,"-",0)</f>
        <v>1.0733212052991917E-2</v>
      </c>
    </row>
    <row r="182" spans="1:23" x14ac:dyDescent="0.2">
      <c r="A182" t="s">
        <v>337</v>
      </c>
      <c r="B182">
        <v>0.58399999999999996</v>
      </c>
      <c r="C182">
        <v>6.3737000000000004</v>
      </c>
      <c r="D182">
        <v>-12.376099999999999</v>
      </c>
      <c r="E182">
        <v>1029</v>
      </c>
      <c r="F182">
        <v>7.95</v>
      </c>
      <c r="G182">
        <v>0.59</v>
      </c>
      <c r="H182">
        <v>0.24</v>
      </c>
      <c r="I182">
        <v>7.0000000000000007E-2</v>
      </c>
      <c r="J182" t="s">
        <v>739</v>
      </c>
      <c r="K182">
        <v>4511</v>
      </c>
      <c r="L182">
        <v>4097</v>
      </c>
      <c r="M182">
        <v>1.1000000000000001</v>
      </c>
      <c r="N182" s="5">
        <v>5.8500000000000003E-13</v>
      </c>
      <c r="O182" s="5">
        <v>2.3E-14</v>
      </c>
      <c r="P182" s="5">
        <f>_xlfn.XLOOKUP(A182,'[2]LX COMPUTED'!A:A,'[2]LX COMPUTED'!T:T,"-",0)</f>
        <v>7.570676311043699</v>
      </c>
      <c r="Q182" s="5">
        <f>_xlfn.XLOOKUP(A182,'[2]LX COMPUTED'!A:A,'[2]LX COMPUTED'!U:U,"-",0)</f>
        <v>0.29924390611468193</v>
      </c>
      <c r="R182" s="5">
        <f>_xlfn.XLOOKUP(A182,'[2]LX COMPUTED'!A:A,'[2]LX COMPUTED'!V:V,"-",0)</f>
        <v>12.224757410114119</v>
      </c>
      <c r="S182" s="5">
        <f>_xlfn.XLOOKUP(A182,'[2]LX COMPUTED'!A:A,'[2]LX COMPUTED'!W:W,"-",0)</f>
        <v>0.65062476417304593</v>
      </c>
      <c r="T182" s="5">
        <f>_xlfn.XLOOKUP(A182,'[2]LX COMPUTED'!A:A,'[2]LX COMPUTED'!AK:AK,"-",0)</f>
        <v>2.9115897092001415</v>
      </c>
      <c r="U182" s="5">
        <f>_xlfn.XLOOKUP(A182,'[2]LX COMPUTED'!A:A,'[2]LX COMPUTED'!AL:AL,"-",0)</f>
        <v>0.1150855540228805</v>
      </c>
      <c r="V182" s="2">
        <f>_xlfn.XLOOKUP(A182,'[2]LX COMPUTED'!A:A,'[2]LX COMPUTED'!AE:AE,"-",0)</f>
        <v>0.31272043263578653</v>
      </c>
      <c r="W182" s="2">
        <f>_xlfn.XLOOKUP(A182,'[2]LX COMPUTED'!A:A,'[2]LX COMPUTED'!AF:AF,"-",0)</f>
        <v>1.5848674458179449E-2</v>
      </c>
    </row>
    <row r="183" spans="1:23" x14ac:dyDescent="0.2">
      <c r="A183" t="s">
        <v>43</v>
      </c>
      <c r="B183">
        <v>0.314</v>
      </c>
      <c r="C183">
        <v>40.649500000000003</v>
      </c>
      <c r="D183">
        <v>-21.540600000000001</v>
      </c>
      <c r="E183">
        <v>998</v>
      </c>
      <c r="F183">
        <v>5.09</v>
      </c>
      <c r="G183">
        <v>0.67</v>
      </c>
      <c r="H183">
        <v>0</v>
      </c>
      <c r="I183">
        <v>0.06</v>
      </c>
      <c r="J183" t="s">
        <v>739</v>
      </c>
      <c r="K183">
        <v>1118</v>
      </c>
      <c r="L183">
        <v>1022</v>
      </c>
      <c r="M183">
        <v>1.1000000000000001</v>
      </c>
      <c r="N183" s="5">
        <v>1.2999999999999999E-12</v>
      </c>
      <c r="O183" s="5">
        <v>8.6999999999999995E-14</v>
      </c>
      <c r="P183" s="5">
        <f>_xlfn.XLOOKUP(A183,'[2]LX COMPUTED'!A:A,'[2]LX COMPUTED'!T:T,"-",0)</f>
        <v>4.2859903289322254</v>
      </c>
      <c r="Q183" s="5">
        <f>_xlfn.XLOOKUP(A183,'[2]LX COMPUTED'!A:A,'[2]LX COMPUTED'!U:U,"-",0)</f>
        <v>0.28661322076372664</v>
      </c>
      <c r="R183" s="5">
        <f>_xlfn.XLOOKUP(A183,'[2]LX COMPUTED'!A:A,'[2]LX COMPUTED'!V:V,"-",0)</f>
        <v>6.1342261726863496</v>
      </c>
      <c r="S183" s="5">
        <f>_xlfn.XLOOKUP(A183,'[2]LX COMPUTED'!A:A,'[2]LX COMPUTED'!W:W,"-",0)</f>
        <v>0.47843420405223341</v>
      </c>
      <c r="T183" s="5">
        <f>_xlfn.XLOOKUP(A183,'[2]LX COMPUTED'!A:A,'[2]LX COMPUTED'!AK:AK,"-",0)</f>
        <v>1.9152483862622531</v>
      </c>
      <c r="U183" s="5">
        <f>_xlfn.XLOOKUP(A183,'[2]LX COMPUTED'!A:A,'[2]LX COMPUTED'!AL:AL,"-",0)</f>
        <v>0.12807670256360831</v>
      </c>
      <c r="V183" s="2">
        <f>_xlfn.XLOOKUP(A183,'[2]LX COMPUTED'!A:A,'[2]LX COMPUTED'!AE:AE,"-",0)</f>
        <v>0.78493557978196238</v>
      </c>
      <c r="W183" s="2">
        <f>_xlfn.XLOOKUP(A183,'[2]LX COMPUTED'!A:A,'[2]LX COMPUTED'!AF:AF,"-",0)</f>
        <v>1.271310462609437E-2</v>
      </c>
    </row>
    <row r="184" spans="1:23" x14ac:dyDescent="0.2">
      <c r="A184" t="s">
        <v>56</v>
      </c>
      <c r="B184">
        <v>0.32400000000000001</v>
      </c>
      <c r="C184">
        <v>47.2331</v>
      </c>
      <c r="D184">
        <v>26.761099999999999</v>
      </c>
      <c r="E184">
        <v>1342</v>
      </c>
      <c r="F184">
        <v>9.5</v>
      </c>
      <c r="G184">
        <v>1.1100000000000001</v>
      </c>
      <c r="H184">
        <v>0.18</v>
      </c>
      <c r="I184">
        <v>0.1</v>
      </c>
      <c r="J184" t="s">
        <v>739</v>
      </c>
      <c r="K184">
        <v>1258</v>
      </c>
      <c r="L184">
        <v>1022</v>
      </c>
      <c r="M184">
        <v>1.2</v>
      </c>
      <c r="N184" s="5">
        <v>2.8299999999999999E-12</v>
      </c>
      <c r="O184" s="5">
        <v>8.6999999999999995E-14</v>
      </c>
      <c r="P184" s="5">
        <f>_xlfn.XLOOKUP(A184,'[2]LX COMPUTED'!A:A,'[2]LX COMPUTED'!T:T,"-",0)</f>
        <v>9.9856625114933717</v>
      </c>
      <c r="Q184" s="5">
        <f>_xlfn.XLOOKUP(A184,'[2]LX COMPUTED'!A:A,'[2]LX COMPUTED'!U:U,"-",0)</f>
        <v>0.30707593493414875</v>
      </c>
      <c r="R184" s="5">
        <f>_xlfn.XLOOKUP(A184,'[2]LX COMPUTED'!A:A,'[2]LX COMPUTED'!V:V,"-",0)</f>
        <v>17.253862996362962</v>
      </c>
      <c r="S184" s="5">
        <f>_xlfn.XLOOKUP(A184,'[2]LX COMPUTED'!A:A,'[2]LX COMPUTED'!W:W,"-",0)</f>
        <v>1.2666288277301998</v>
      </c>
      <c r="T184" s="5">
        <f>_xlfn.XLOOKUP(A184,'[2]LX COMPUTED'!A:A,'[2]LX COMPUTED'!AK:AK,"-",0)</f>
        <v>3.7005538002767615</v>
      </c>
      <c r="U184" s="5">
        <f>_xlfn.XLOOKUP(A184,'[2]LX COMPUTED'!A:A,'[2]LX COMPUTED'!AL:AL,"-",0)</f>
        <v>0.11379825992378352</v>
      </c>
      <c r="V184" s="2">
        <f>_xlfn.XLOOKUP(A184,'[2]LX COMPUTED'!A:A,'[2]LX COMPUTED'!AE:AE,"-",0)</f>
        <v>0.52428163333893463</v>
      </c>
      <c r="W184" s="2">
        <f>_xlfn.XLOOKUP(A184,'[2]LX COMPUTED'!A:A,'[2]LX COMPUTED'!AF:AF,"-",0)</f>
        <v>1.034467809192152E-2</v>
      </c>
    </row>
    <row r="185" spans="1:23" x14ac:dyDescent="0.2">
      <c r="A185" t="s">
        <v>61</v>
      </c>
      <c r="B185">
        <v>0.45</v>
      </c>
      <c r="C185">
        <v>52.423699999999997</v>
      </c>
      <c r="D185">
        <v>-2.1966000000000001</v>
      </c>
      <c r="E185">
        <v>1090</v>
      </c>
      <c r="F185">
        <v>7.31</v>
      </c>
      <c r="G185">
        <v>0.47</v>
      </c>
      <c r="H185">
        <v>0.35</v>
      </c>
      <c r="I185">
        <v>7.0000000000000007E-2</v>
      </c>
      <c r="J185" t="s">
        <v>739</v>
      </c>
      <c r="K185">
        <v>3437</v>
      </c>
      <c r="L185">
        <v>3072</v>
      </c>
      <c r="M185">
        <v>1.1000000000000001</v>
      </c>
      <c r="N185" s="5">
        <v>8.76E-13</v>
      </c>
      <c r="O185" s="5">
        <v>2.2000000000000001E-14</v>
      </c>
      <c r="P185" s="5">
        <f>_xlfn.XLOOKUP(A185,'[2]LX COMPUTED'!A:A,'[2]LX COMPUTED'!T:T,"-",0)</f>
        <v>6.3649269731069955</v>
      </c>
      <c r="Q185" s="5">
        <f>_xlfn.XLOOKUP(A185,'[2]LX COMPUTED'!A:A,'[2]LX COMPUTED'!U:U,"-",0)</f>
        <v>0.16285138892921722</v>
      </c>
      <c r="R185" s="5">
        <f>_xlfn.XLOOKUP(A185,'[2]LX COMPUTED'!A:A,'[2]LX COMPUTED'!V:V,"-",0)</f>
        <v>9.973847212993201</v>
      </c>
      <c r="S185" s="5">
        <f>_xlfn.XLOOKUP(A185,'[2]LX COMPUTED'!A:A,'[2]LX COMPUTED'!W:W,"-",0)</f>
        <v>0.37844812317577431</v>
      </c>
      <c r="T185" s="5">
        <f>_xlfn.XLOOKUP(A185,'[2]LX COMPUTED'!A:A,'[2]LX COMPUTED'!AK:AK,"-",0)</f>
        <v>2.4751422203535669</v>
      </c>
      <c r="U185" s="5">
        <f>_xlfn.XLOOKUP(A185,'[2]LX COMPUTED'!A:A,'[2]LX COMPUTED'!AL:AL,"-",0)</f>
        <v>6.3328353975625279E-2</v>
      </c>
      <c r="V185" s="2">
        <f>_xlfn.XLOOKUP(A185,'[2]LX COMPUTED'!A:A,'[2]LX COMPUTED'!AE:AE,"-",0)</f>
        <v>0.66208812408364848</v>
      </c>
      <c r="W185" s="2">
        <f>_xlfn.XLOOKUP(A185,'[2]LX COMPUTED'!A:A,'[2]LX COMPUTED'!AF:AF,"-",0)</f>
        <v>7.0397606622229969E-3</v>
      </c>
    </row>
    <row r="186" spans="1:23" x14ac:dyDescent="0.2">
      <c r="A186" t="s">
        <v>69</v>
      </c>
      <c r="B186">
        <v>0.42499999999999999</v>
      </c>
      <c r="C186">
        <v>59.726300000000002</v>
      </c>
      <c r="D186">
        <v>-29.925899999999999</v>
      </c>
      <c r="E186">
        <v>1196</v>
      </c>
      <c r="F186">
        <v>8.5299999999999994</v>
      </c>
      <c r="G186">
        <v>0.5</v>
      </c>
      <c r="H186">
        <v>0.17</v>
      </c>
      <c r="I186">
        <v>0.06</v>
      </c>
      <c r="J186" t="s">
        <v>739</v>
      </c>
      <c r="K186">
        <v>3435</v>
      </c>
      <c r="L186">
        <v>3072</v>
      </c>
      <c r="M186">
        <v>1.1000000000000001</v>
      </c>
      <c r="N186" s="5">
        <v>1.8699999999999999E-12</v>
      </c>
      <c r="O186" s="5">
        <v>5.3000000000000001E-14</v>
      </c>
      <c r="P186" s="5">
        <f>_xlfn.XLOOKUP(A186,'[2]LX COMPUTED'!A:A,'[2]LX COMPUTED'!T:T,"-",0)</f>
        <v>11.170097038092651</v>
      </c>
      <c r="Q186" s="5">
        <f>_xlfn.XLOOKUP(A186,'[2]LX COMPUTED'!A:A,'[2]LX COMPUTED'!U:U,"-",0)</f>
        <v>0.31427445952287747</v>
      </c>
      <c r="R186" s="5">
        <f>_xlfn.XLOOKUP(A186,'[2]LX COMPUTED'!A:A,'[2]LX COMPUTED'!V:V,"-",0)</f>
        <v>18.523192593189378</v>
      </c>
      <c r="S186" s="5">
        <f>_xlfn.XLOOKUP(A186,'[2]LX COMPUTED'!A:A,'[2]LX COMPUTED'!W:W,"-",0)</f>
        <v>0.7626520198220913</v>
      </c>
      <c r="T186" s="5">
        <f>_xlfn.XLOOKUP(A186,'[2]LX COMPUTED'!A:A,'[2]LX COMPUTED'!AK:AK,"-",0)</f>
        <v>4.2543154419498581</v>
      </c>
      <c r="U186" s="5">
        <f>_xlfn.XLOOKUP(A186,'[2]LX COMPUTED'!A:A,'[2]LX COMPUTED'!AL:AL,"-",0)</f>
        <v>0.11969660438929601</v>
      </c>
      <c r="V186" s="2">
        <f>_xlfn.XLOOKUP(A186,'[2]LX COMPUTED'!A:A,'[2]LX COMPUTED'!AE:AE,"-",0)</f>
        <v>0.50931025439286648</v>
      </c>
      <c r="W186" s="2">
        <f>_xlfn.XLOOKUP(A186,'[2]LX COMPUTED'!A:A,'[2]LX COMPUTED'!AF:AF,"-",0)</f>
        <v>9.8212860349693124E-3</v>
      </c>
    </row>
    <row r="187" spans="1:23" x14ac:dyDescent="0.2">
      <c r="A187" t="s">
        <v>72</v>
      </c>
      <c r="B187">
        <v>0.42</v>
      </c>
      <c r="C187">
        <v>64.039400000000001</v>
      </c>
      <c r="D187">
        <v>-24.0655</v>
      </c>
      <c r="E187">
        <v>1220</v>
      </c>
      <c r="F187">
        <v>8.77</v>
      </c>
      <c r="G187">
        <v>0.81</v>
      </c>
      <c r="H187">
        <v>0.22</v>
      </c>
      <c r="I187">
        <v>0.08</v>
      </c>
      <c r="J187" t="s">
        <v>739</v>
      </c>
      <c r="K187">
        <v>2260</v>
      </c>
      <c r="L187">
        <v>2047</v>
      </c>
      <c r="M187">
        <v>1.1000000000000001</v>
      </c>
      <c r="N187" s="5">
        <v>1.3600000000000001E-12</v>
      </c>
      <c r="O187" s="5">
        <v>5.3999999999999997E-14</v>
      </c>
      <c r="P187" s="5">
        <f>_xlfn.XLOOKUP(A187,'[2]LX COMPUTED'!A:A,'[2]LX COMPUTED'!T:T,"-",0)</f>
        <v>8.0400197610740136</v>
      </c>
      <c r="Q187" s="5">
        <f>_xlfn.XLOOKUP(A187,'[2]LX COMPUTED'!A:A,'[2]LX COMPUTED'!U:U,"-",0)</f>
        <v>0.31785034390718259</v>
      </c>
      <c r="R187" s="5">
        <f>_xlfn.XLOOKUP(A187,'[2]LX COMPUTED'!A:A,'[2]LX COMPUTED'!V:V,"-",0)</f>
        <v>13.467741730884701</v>
      </c>
      <c r="S187" s="5">
        <f>_xlfn.XLOOKUP(A187,'[2]LX COMPUTED'!A:A,'[2]LX COMPUTED'!W:W,"-",0)</f>
        <v>0.84060610182839479</v>
      </c>
      <c r="T187" s="5">
        <f>_xlfn.XLOOKUP(A187,'[2]LX COMPUTED'!A:A,'[2]LX COMPUTED'!AK:AK,"-",0)</f>
        <v>3.0294320938336297</v>
      </c>
      <c r="U187" s="5">
        <f>_xlfn.XLOOKUP(A187,'[2]LX COMPUTED'!A:A,'[2]LX COMPUTED'!AL:AL,"-",0)</f>
        <v>0.11976413758712542</v>
      </c>
      <c r="V187" s="2">
        <f>_xlfn.XLOOKUP(A187,'[2]LX COMPUTED'!A:A,'[2]LX COMPUTED'!AE:AE,"-",0)</f>
        <v>0.34362747470835958</v>
      </c>
      <c r="W187" s="2">
        <f>_xlfn.XLOOKUP(A187,'[2]LX COMPUTED'!A:A,'[2]LX COMPUTED'!AF:AF,"-",0)</f>
        <v>1.4042300835307374E-2</v>
      </c>
    </row>
    <row r="188" spans="1:23" x14ac:dyDescent="0.2">
      <c r="A188" t="s">
        <v>423</v>
      </c>
      <c r="B188">
        <v>0.44</v>
      </c>
      <c r="C188">
        <v>64.392600000000002</v>
      </c>
      <c r="D188">
        <v>-11.909599999999999</v>
      </c>
      <c r="E188">
        <v>1392</v>
      </c>
      <c r="F188">
        <v>10.87</v>
      </c>
      <c r="G188">
        <v>0.98</v>
      </c>
      <c r="H188">
        <v>0.18</v>
      </c>
      <c r="I188">
        <v>0.06</v>
      </c>
      <c r="J188" t="s">
        <v>740</v>
      </c>
      <c r="K188">
        <v>3442</v>
      </c>
      <c r="L188">
        <v>3072</v>
      </c>
      <c r="M188">
        <v>1.1000000000000001</v>
      </c>
      <c r="N188" s="5">
        <v>2.8799999999999998E-12</v>
      </c>
      <c r="O188" s="5">
        <v>5.6999999999999997E-14</v>
      </c>
      <c r="P188" s="5">
        <f>_xlfn.XLOOKUP(A188,'[2]LX COMPUTED'!A:A,'[2]LX COMPUTED'!T:T,"-",0)</f>
        <v>18.481126586293573</v>
      </c>
      <c r="Q188" s="5">
        <f>_xlfn.XLOOKUP(A188,'[2]LX COMPUTED'!A:A,'[2]LX COMPUTED'!U:U,"-",0)</f>
        <v>0.36834356102785809</v>
      </c>
      <c r="R188" s="5">
        <f>_xlfn.XLOOKUP(A188,'[2]LX COMPUTED'!A:A,'[2]LX COMPUTED'!V:V,"-",0)</f>
        <v>33.769221764654439</v>
      </c>
      <c r="S188" s="5">
        <f>_xlfn.XLOOKUP(A188,'[2]LX COMPUTED'!A:A,'[2]LX COMPUTED'!W:W,"-",0)</f>
        <v>2.0935280718859746</v>
      </c>
      <c r="T188" s="5">
        <f>_xlfn.XLOOKUP(A188,'[2]LX COMPUTED'!A:A,'[2]LX COMPUTED'!AK:AK,"-",0)</f>
        <v>6.6779836498156895</v>
      </c>
      <c r="U188" s="5">
        <f>_xlfn.XLOOKUP(A188,'[2]LX COMPUTED'!A:A,'[2]LX COMPUTED'!AL:AL,"-",0)</f>
        <v>0.13309752879909473</v>
      </c>
      <c r="V188" s="2">
        <f>_xlfn.XLOOKUP(A188,'[2]LX COMPUTED'!A:A,'[2]LX COMPUTED'!AE:AE,"-",0)</f>
        <v>0.5232577387849694</v>
      </c>
      <c r="W188" s="2">
        <f>_xlfn.XLOOKUP(A188,'[2]LX COMPUTED'!A:A,'[2]LX COMPUTED'!AF:AF,"-",0)</f>
        <v>6.6313889991754136E-3</v>
      </c>
    </row>
    <row r="189" spans="1:23" x14ac:dyDescent="0.2">
      <c r="A189" t="s">
        <v>74</v>
      </c>
      <c r="B189">
        <v>0.39900000000000002</v>
      </c>
      <c r="C189">
        <v>67.400000000000006</v>
      </c>
      <c r="D189">
        <v>-2.8854000000000002</v>
      </c>
      <c r="E189">
        <v>1090</v>
      </c>
      <c r="F189">
        <v>6.92</v>
      </c>
      <c r="G189">
        <v>0.81</v>
      </c>
      <c r="H189">
        <v>0.34</v>
      </c>
      <c r="I189">
        <v>0.15</v>
      </c>
      <c r="J189" t="s">
        <v>739</v>
      </c>
      <c r="K189">
        <v>1159</v>
      </c>
      <c r="L189">
        <v>1022</v>
      </c>
      <c r="M189">
        <v>1.1000000000000001</v>
      </c>
      <c r="N189" s="5">
        <v>8.3899999999999996E-13</v>
      </c>
      <c r="O189" s="5">
        <v>3.8000000000000002E-14</v>
      </c>
      <c r="P189" s="5">
        <f>_xlfn.XLOOKUP(A189,'[2]LX COMPUTED'!A:A,'[2]LX COMPUTED'!T:T,"-",0)</f>
        <v>4.6493451157350085</v>
      </c>
      <c r="Q189" s="5">
        <f>_xlfn.XLOOKUP(A189,'[2]LX COMPUTED'!A:A,'[2]LX COMPUTED'!U:U,"-",0)</f>
        <v>0.21206474622504215</v>
      </c>
      <c r="R189" s="5">
        <f>_xlfn.XLOOKUP(A189,'[2]LX COMPUTED'!A:A,'[2]LX COMPUTED'!V:V,"-",0)</f>
        <v>7.1614225822006565</v>
      </c>
      <c r="S189" s="5">
        <f>_xlfn.XLOOKUP(A189,'[2]LX COMPUTED'!A:A,'[2]LX COMPUTED'!W:W,"-",0)</f>
        <v>0.47637876296183557</v>
      </c>
      <c r="T189" s="5">
        <f>_xlfn.XLOOKUP(A189,'[2]LX COMPUTED'!A:A,'[2]LX COMPUTED'!AK:AK,"-",0)</f>
        <v>1.8387113000044051</v>
      </c>
      <c r="U189" s="5">
        <f>_xlfn.XLOOKUP(A189,'[2]LX COMPUTED'!A:A,'[2]LX COMPUTED'!AL:AL,"-",0)</f>
        <v>8.3866831889271062E-2</v>
      </c>
      <c r="V189" s="2">
        <f>_xlfn.XLOOKUP(A189,'[2]LX COMPUTED'!A:A,'[2]LX COMPUTED'!AE:AE,"-",0)</f>
        <v>0.7116336633663366</v>
      </c>
      <c r="W189" s="2">
        <f>_xlfn.XLOOKUP(A189,'[2]LX COMPUTED'!A:A,'[2]LX COMPUTED'!AF:AF,"-",0)</f>
        <v>1.1558451742923631E-2</v>
      </c>
    </row>
    <row r="190" spans="1:23" x14ac:dyDescent="0.2">
      <c r="A190" t="s">
        <v>94</v>
      </c>
      <c r="B190">
        <v>0.40699999999999997</v>
      </c>
      <c r="C190">
        <v>88.357399999999998</v>
      </c>
      <c r="D190">
        <v>-33.708500000000001</v>
      </c>
      <c r="E190">
        <v>1443</v>
      </c>
      <c r="F190">
        <v>10.89</v>
      </c>
      <c r="G190">
        <v>0.75</v>
      </c>
      <c r="H190">
        <v>0.19</v>
      </c>
      <c r="I190">
        <v>0.06</v>
      </c>
      <c r="J190" t="s">
        <v>739</v>
      </c>
      <c r="K190">
        <v>1137</v>
      </c>
      <c r="L190">
        <v>1022</v>
      </c>
      <c r="M190">
        <v>1.1000000000000001</v>
      </c>
      <c r="N190" s="5">
        <v>2.2499999999999999E-12</v>
      </c>
      <c r="O190" s="5">
        <v>3.8999999999999998E-14</v>
      </c>
      <c r="P190" s="5">
        <f>_xlfn.XLOOKUP(A190,'[2]LX COMPUTED'!A:A,'[2]LX COMPUTED'!T:T,"-",0)</f>
        <v>11.980980755090583</v>
      </c>
      <c r="Q190" s="5">
        <f>_xlfn.XLOOKUP(A190,'[2]LX COMPUTED'!A:A,'[2]LX COMPUTED'!U:U,"-",0)</f>
        <v>0.20763335475257291</v>
      </c>
      <c r="R190" s="5">
        <f>_xlfn.XLOOKUP(A190,'[2]LX COMPUTED'!A:A,'[2]LX COMPUTED'!V:V,"-",0)</f>
        <v>21.908539114932115</v>
      </c>
      <c r="S190" s="5">
        <f>_xlfn.XLOOKUP(A190,'[2]LX COMPUTED'!A:A,'[2]LX COMPUTED'!W:W,"-",0)</f>
        <v>1.0503373758238277</v>
      </c>
      <c r="T190" s="5">
        <f>_xlfn.XLOOKUP(A190,'[2]LX COMPUTED'!A:A,'[2]LX COMPUTED'!AK:AK,"-",0)</f>
        <v>4.3243359173956</v>
      </c>
      <c r="U190" s="5">
        <f>_xlfn.XLOOKUP(A190,'[2]LX COMPUTED'!A:A,'[2]LX COMPUTED'!AL:AL,"-",0)</f>
        <v>7.4941809185729305E-2</v>
      </c>
      <c r="V190" s="2">
        <f>_xlfn.XLOOKUP(A190,'[2]LX COMPUTED'!A:A,'[2]LX COMPUTED'!AE:AE,"-",0)</f>
        <v>0.42439774474628394</v>
      </c>
      <c r="W190" s="2">
        <f>_xlfn.XLOOKUP(A190,'[2]LX COMPUTED'!A:A,'[2]LX COMPUTED'!AF:AF,"-",0)</f>
        <v>6.436876325530117E-3</v>
      </c>
    </row>
    <row r="191" spans="1:23" x14ac:dyDescent="0.2">
      <c r="A191" t="s">
        <v>108</v>
      </c>
      <c r="B191">
        <v>0.32800000000000001</v>
      </c>
      <c r="C191">
        <v>108.0864</v>
      </c>
      <c r="D191">
        <v>59.538899999999998</v>
      </c>
      <c r="E191">
        <v>989</v>
      </c>
      <c r="F191">
        <v>4.8099999999999996</v>
      </c>
      <c r="G191">
        <v>0.66</v>
      </c>
      <c r="H191">
        <v>0.3</v>
      </c>
      <c r="I191">
        <v>0.14000000000000001</v>
      </c>
      <c r="J191" t="s">
        <v>739</v>
      </c>
      <c r="K191">
        <v>1191</v>
      </c>
      <c r="L191">
        <v>1022</v>
      </c>
      <c r="M191">
        <v>1.2</v>
      </c>
      <c r="N191" s="5">
        <v>5.8100000000000005E-13</v>
      </c>
      <c r="O191" s="5">
        <v>4.4999999999999998E-14</v>
      </c>
      <c r="P191" s="5">
        <f>_xlfn.XLOOKUP(A191,'[2]LX COMPUTED'!A:A,'[2]LX COMPUTED'!T:T,"-",0)</f>
        <v>2.1457910880921967</v>
      </c>
      <c r="Q191" s="5">
        <f>_xlfn.XLOOKUP(A191,'[2]LX COMPUTED'!A:A,'[2]LX COMPUTED'!U:U,"-",0)</f>
        <v>0.16800312601594927</v>
      </c>
      <c r="R191" s="5">
        <f>_xlfn.XLOOKUP(A191,'[2]LX COMPUTED'!A:A,'[2]LX COMPUTED'!V:V,"-",0)</f>
        <v>3.0102086884837571</v>
      </c>
      <c r="S191" s="5">
        <f>_xlfn.XLOOKUP(A191,'[2]LX COMPUTED'!A:A,'[2]LX COMPUTED'!W:W,"-",0)</f>
        <v>0.26395018956571198</v>
      </c>
      <c r="T191" s="5">
        <f>_xlfn.XLOOKUP(A191,'[2]LX COMPUTED'!A:A,'[2]LX COMPUTED'!AK:AK,"-",0)</f>
        <v>0.95098150196567566</v>
      </c>
      <c r="U191" s="5">
        <f>_xlfn.XLOOKUP(A191,'[2]LX COMPUTED'!A:A,'[2]LX COMPUTED'!AL:AL,"-",0)</f>
        <v>7.4456393262227721E-2</v>
      </c>
      <c r="V191" s="2">
        <f>_xlfn.XLOOKUP(A191,'[2]LX COMPUTED'!A:A,'[2]LX COMPUTED'!AE:AE,"-",0)</f>
        <v>0.56634328358208952</v>
      </c>
      <c r="W191" s="2">
        <f>_xlfn.XLOOKUP(A191,'[2]LX COMPUTED'!A:A,'[2]LX COMPUTED'!AF:AF,"-",0)</f>
        <v>2.1852550580732082E-2</v>
      </c>
    </row>
    <row r="192" spans="1:23" x14ac:dyDescent="0.2">
      <c r="A192" t="s">
        <v>109</v>
      </c>
      <c r="B192">
        <v>0.54600000000000004</v>
      </c>
      <c r="C192">
        <v>109.37560000000001</v>
      </c>
      <c r="D192">
        <v>37.76</v>
      </c>
      <c r="E192">
        <v>1432</v>
      </c>
      <c r="F192">
        <v>12.46</v>
      </c>
      <c r="G192">
        <v>1.53</v>
      </c>
      <c r="H192">
        <v>0.19</v>
      </c>
      <c r="I192">
        <v>0.05</v>
      </c>
      <c r="J192" t="s">
        <v>740</v>
      </c>
      <c r="K192">
        <v>3386</v>
      </c>
      <c r="L192">
        <v>3072</v>
      </c>
      <c r="M192">
        <v>1.1000000000000001</v>
      </c>
      <c r="N192" s="5">
        <v>2.13E-12</v>
      </c>
      <c r="O192" s="5">
        <v>3.1E-14</v>
      </c>
      <c r="P192" s="5">
        <f>_xlfn.XLOOKUP(A192,'[2]LX COMPUTED'!A:A,'[2]LX COMPUTED'!T:T,"-",0)</f>
        <v>22.88662206754044</v>
      </c>
      <c r="Q192" s="5">
        <f>_xlfn.XLOOKUP(A192,'[2]LX COMPUTED'!A:A,'[2]LX COMPUTED'!U:U,"-",0)</f>
        <v>0.33519856787579849</v>
      </c>
      <c r="R192" s="5">
        <f>_xlfn.XLOOKUP(A192,'[2]LX COMPUTED'!A:A,'[2]LX COMPUTED'!V:V,"-",0)</f>
        <v>44.40251440358162</v>
      </c>
      <c r="S192" s="5">
        <f>_xlfn.XLOOKUP(A192,'[2]LX COMPUTED'!A:A,'[2]LX COMPUTED'!W:W,"-",0)</f>
        <v>4.1260171698405346</v>
      </c>
      <c r="T192" s="5">
        <f>_xlfn.XLOOKUP(A192,'[2]LX COMPUTED'!A:A,'[2]LX COMPUTED'!AK:AK,"-",0)</f>
        <v>8.0453963775634278</v>
      </c>
      <c r="U192" s="5">
        <f>_xlfn.XLOOKUP(A192,'[2]LX COMPUTED'!A:A,'[2]LX COMPUTED'!AL:AL,"-",0)</f>
        <v>0.11783326240953723</v>
      </c>
      <c r="V192" s="2">
        <f>_xlfn.XLOOKUP(A192,'[2]LX COMPUTED'!A:A,'[2]LX COMPUTED'!AE:AE,"-",0)</f>
        <v>0.29804334936425325</v>
      </c>
      <c r="W192" s="2">
        <f>_xlfn.XLOOKUP(A192,'[2]LX COMPUTED'!A:A,'[2]LX COMPUTED'!AF:AF,"-",0)</f>
        <v>5.7901819892611723E-3</v>
      </c>
    </row>
    <row r="193" spans="1:23" x14ac:dyDescent="0.2">
      <c r="A193" t="s">
        <v>473</v>
      </c>
      <c r="B193">
        <v>0.69799999999999995</v>
      </c>
      <c r="C193">
        <v>116.2201</v>
      </c>
      <c r="D193">
        <v>39.457299999999996</v>
      </c>
      <c r="E193">
        <v>1025</v>
      </c>
      <c r="F193">
        <v>8.25</v>
      </c>
      <c r="G193">
        <v>0.76</v>
      </c>
      <c r="H193">
        <v>0.19</v>
      </c>
      <c r="I193">
        <v>0.08</v>
      </c>
      <c r="J193" t="s">
        <v>739</v>
      </c>
      <c r="K193">
        <v>3334</v>
      </c>
      <c r="L193">
        <v>3072</v>
      </c>
      <c r="M193">
        <v>1.1000000000000001</v>
      </c>
      <c r="N193" s="5">
        <v>5.7299999999999998E-13</v>
      </c>
      <c r="O193" s="5">
        <v>2.6999999999999999E-14</v>
      </c>
      <c r="P193" s="5">
        <f>_xlfn.XLOOKUP(A193,'[2]LX COMPUTED'!A:A,'[2]LX COMPUTED'!T:T,"-",0)</f>
        <v>11.432610508207452</v>
      </c>
      <c r="Q193" s="5">
        <f>_xlfn.XLOOKUP(A193,'[2]LX COMPUTED'!A:A,'[2]LX COMPUTED'!U:U,"-",0)</f>
        <v>0.54165420174534562</v>
      </c>
      <c r="R193" s="5">
        <f>_xlfn.XLOOKUP(A193,'[2]LX COMPUTED'!A:A,'[2]LX COMPUTED'!V:V,"-",0)</f>
        <v>18.721648695726543</v>
      </c>
      <c r="S193" s="5">
        <f>_xlfn.XLOOKUP(A193,'[2]LX COMPUTED'!A:A,'[2]LX COMPUTED'!W:W,"-",0)</f>
        <v>1.2279752340734451</v>
      </c>
      <c r="T193" s="5">
        <f>_xlfn.XLOOKUP(A193,'[2]LX COMPUTED'!A:A,'[2]LX COMPUTED'!AK:AK,"-",0)</f>
        <v>4.3801958740908011</v>
      </c>
      <c r="U193" s="5">
        <f>_xlfn.XLOOKUP(A193,'[2]LX COMPUTED'!A:A,'[2]LX COMPUTED'!AL:AL,"-",0)</f>
        <v>0.20752491287669239</v>
      </c>
      <c r="V193" s="2">
        <f>_xlfn.XLOOKUP(A193,'[2]LX COMPUTED'!A:A,'[2]LX COMPUTED'!AE:AE,"-",0)</f>
        <v>0.57658190419869892</v>
      </c>
      <c r="W193" s="2">
        <f>_xlfn.XLOOKUP(A193,'[2]LX COMPUTED'!A:A,'[2]LX COMPUTED'!AF:AF,"-",0)</f>
        <v>1.4729609271421832E-2</v>
      </c>
    </row>
    <row r="194" spans="1:23" x14ac:dyDescent="0.2">
      <c r="A194" t="s">
        <v>156</v>
      </c>
      <c r="B194">
        <v>0.44900000000000001</v>
      </c>
      <c r="C194">
        <v>167.2304</v>
      </c>
      <c r="D194">
        <v>9.0989000000000004</v>
      </c>
      <c r="E194">
        <v>1025</v>
      </c>
      <c r="F194">
        <v>6.72</v>
      </c>
      <c r="G194">
        <v>0.66</v>
      </c>
      <c r="H194">
        <v>0.23</v>
      </c>
      <c r="I194">
        <v>0.11</v>
      </c>
      <c r="J194" t="s">
        <v>739</v>
      </c>
      <c r="K194">
        <v>2276</v>
      </c>
      <c r="L194">
        <v>2047</v>
      </c>
      <c r="M194">
        <v>1.1000000000000001</v>
      </c>
      <c r="N194" s="5">
        <v>6.7900000000000004E-13</v>
      </c>
      <c r="O194" s="5">
        <v>2.8000000000000001E-14</v>
      </c>
      <c r="P194" s="5">
        <f>_xlfn.XLOOKUP(A194,'[2]LX COMPUTED'!A:A,'[2]LX COMPUTED'!T:T,"-",0)</f>
        <v>4.8784892838036935</v>
      </c>
      <c r="Q194" s="5">
        <f>_xlfn.XLOOKUP(A194,'[2]LX COMPUTED'!A:A,'[2]LX COMPUTED'!U:U,"-",0)</f>
        <v>0.20256919723390382</v>
      </c>
      <c r="R194" s="5">
        <f>_xlfn.XLOOKUP(A194,'[2]LX COMPUTED'!A:A,'[2]LX COMPUTED'!V:V,"-",0)</f>
        <v>7.4572166289929127</v>
      </c>
      <c r="S194" s="5">
        <f>_xlfn.XLOOKUP(A194,'[2]LX COMPUTED'!A:A,'[2]LX COMPUTED'!W:W,"-",0)</f>
        <v>0.42819424869999906</v>
      </c>
      <c r="T194" s="5">
        <f>_xlfn.XLOOKUP(A194,'[2]LX COMPUTED'!A:A,'[2]LX COMPUTED'!AK:AK,"-",0)</f>
        <v>1.9636891894728801</v>
      </c>
      <c r="U194" s="5">
        <f>_xlfn.XLOOKUP(A194,'[2]LX COMPUTED'!A:A,'[2]LX COMPUTED'!AL:AL,"-",0)</f>
        <v>8.1538140106002341E-2</v>
      </c>
      <c r="V194" s="2">
        <f>_xlfn.XLOOKUP(A194,'[2]LX COMPUTED'!A:A,'[2]LX COMPUTED'!AE:AE,"-",0)</f>
        <v>0.42505081300813008</v>
      </c>
      <c r="W194" s="2">
        <f>_xlfn.XLOOKUP(A194,'[2]LX COMPUTED'!A:A,'[2]LX COMPUTED'!AF:AF,"-",0)</f>
        <v>1.8256353385938388E-2</v>
      </c>
    </row>
    <row r="195" spans="1:23" x14ac:dyDescent="0.2">
      <c r="A195" t="s">
        <v>162</v>
      </c>
      <c r="B195">
        <v>0.35199999999999998</v>
      </c>
      <c r="C195">
        <v>168.96610000000001</v>
      </c>
      <c r="D195">
        <v>1.4990000000000001</v>
      </c>
      <c r="E195">
        <v>1349</v>
      </c>
      <c r="F195">
        <v>9.84</v>
      </c>
      <c r="G195">
        <v>0.99</v>
      </c>
      <c r="H195">
        <v>0.13</v>
      </c>
      <c r="I195">
        <v>0.08</v>
      </c>
      <c r="J195" t="s">
        <v>739</v>
      </c>
      <c r="K195">
        <v>2539</v>
      </c>
      <c r="L195">
        <v>2047</v>
      </c>
      <c r="M195">
        <v>1.2</v>
      </c>
      <c r="N195" s="5">
        <v>1.7E-12</v>
      </c>
      <c r="O195" s="5">
        <v>5.0000000000000002E-14</v>
      </c>
      <c r="P195" s="5">
        <f>_xlfn.XLOOKUP(A195,'[2]LX COMPUTED'!A:A,'[2]LX COMPUTED'!T:T,"-",0)</f>
        <v>6.6896405125120753</v>
      </c>
      <c r="Q195" s="5">
        <f>_xlfn.XLOOKUP(A195,'[2]LX COMPUTED'!A:A,'[2]LX COMPUTED'!U:U,"-",0)</f>
        <v>0.19713545237598309</v>
      </c>
      <c r="R195" s="5">
        <f>_xlfn.XLOOKUP(A195,'[2]LX COMPUTED'!A:A,'[2]LX COMPUTED'!V:V,"-",0)</f>
        <v>11.726555880163069</v>
      </c>
      <c r="S195" s="5">
        <f>_xlfn.XLOOKUP(A195,'[2]LX COMPUTED'!A:A,'[2]LX COMPUTED'!W:W,"-",0)</f>
        <v>0.77504584230590856</v>
      </c>
      <c r="T195" s="5">
        <f>_xlfn.XLOOKUP(A195,'[2]LX COMPUTED'!A:A,'[2]LX COMPUTED'!AK:AK,"-",0)</f>
        <v>2.4726934613518656</v>
      </c>
      <c r="U195" s="5">
        <f>_xlfn.XLOOKUP(A195,'[2]LX COMPUTED'!A:A,'[2]LX COMPUTED'!AL:AL,"-",0)</f>
        <v>7.2867225552556272E-2</v>
      </c>
      <c r="V195" s="2">
        <f>_xlfn.XLOOKUP(A195,'[2]LX COMPUTED'!A:A,'[2]LX COMPUTED'!AE:AE,"-",0)</f>
        <v>0.69980609906575009</v>
      </c>
      <c r="W195" s="2">
        <f>_xlfn.XLOOKUP(A195,'[2]LX COMPUTED'!A:A,'[2]LX COMPUTED'!AF:AF,"-",0)</f>
        <v>7.6299474098380365E-3</v>
      </c>
    </row>
    <row r="196" spans="1:23" x14ac:dyDescent="0.2">
      <c r="A196" t="s">
        <v>167</v>
      </c>
      <c r="B196">
        <v>0.5444</v>
      </c>
      <c r="C196">
        <v>177.39940000000001</v>
      </c>
      <c r="D196">
        <v>22.398599999999998</v>
      </c>
      <c r="E196">
        <v>1112</v>
      </c>
      <c r="F196">
        <v>8.99</v>
      </c>
      <c r="G196">
        <v>0.9</v>
      </c>
      <c r="H196">
        <v>0.21</v>
      </c>
      <c r="I196">
        <v>0.09</v>
      </c>
      <c r="J196" t="s">
        <v>739</v>
      </c>
      <c r="K196">
        <v>2206</v>
      </c>
      <c r="L196">
        <v>2047</v>
      </c>
      <c r="M196">
        <v>1.1000000000000001</v>
      </c>
      <c r="N196" s="5">
        <v>1.1700000000000001E-12</v>
      </c>
      <c r="O196" s="5">
        <v>4.7999999999999997E-14</v>
      </c>
      <c r="P196" s="5">
        <f>_xlfn.XLOOKUP(A196,'[2]LX COMPUTED'!A:A,'[2]LX COMPUTED'!T:T,"-",0)</f>
        <v>12.557094158738991</v>
      </c>
      <c r="Q196" s="5">
        <f>_xlfn.XLOOKUP(A196,'[2]LX COMPUTED'!A:A,'[2]LX COMPUTED'!U:U,"-",0)</f>
        <v>0.51011834849366022</v>
      </c>
      <c r="R196" s="5">
        <f>_xlfn.XLOOKUP(A196,'[2]LX COMPUTED'!A:A,'[2]LX COMPUTED'!V:V,"-",0)</f>
        <v>21.235338757296041</v>
      </c>
      <c r="S196" s="5">
        <f>_xlfn.XLOOKUP(A196,'[2]LX COMPUTED'!A:A,'[2]LX COMPUTED'!W:W,"-",0)</f>
        <v>1.4359841374867433</v>
      </c>
      <c r="T196" s="5">
        <f>_xlfn.XLOOKUP(A196,'[2]LX COMPUTED'!A:A,'[2]LX COMPUTED'!AK:AK,"-",0)</f>
        <v>4.7072628508882364</v>
      </c>
      <c r="U196" s="5">
        <f>_xlfn.XLOOKUP(A196,'[2]LX COMPUTED'!A:A,'[2]LX COMPUTED'!AL:AL,"-",0)</f>
        <v>0.19122745446242681</v>
      </c>
      <c r="V196" s="2">
        <f>_xlfn.XLOOKUP(A196,'[2]LX COMPUTED'!A:A,'[2]LX COMPUTED'!AE:AE,"-",0)</f>
        <v>0.29694061187762449</v>
      </c>
      <c r="W196" s="2">
        <f>_xlfn.XLOOKUP(A196,'[2]LX COMPUTED'!A:A,'[2]LX COMPUTED'!AF:AF,"-",0)</f>
        <v>1.4239946104857393E-2</v>
      </c>
    </row>
    <row r="197" spans="1:23" x14ac:dyDescent="0.2">
      <c r="A197" t="s">
        <v>174</v>
      </c>
      <c r="B197">
        <v>0.44</v>
      </c>
      <c r="C197">
        <v>181.5504</v>
      </c>
      <c r="D197">
        <v>-8.8004999999999995</v>
      </c>
      <c r="E197">
        <v>1337</v>
      </c>
      <c r="F197">
        <v>10.51</v>
      </c>
      <c r="G197">
        <v>1.2</v>
      </c>
      <c r="H197">
        <v>0.28999999999999998</v>
      </c>
      <c r="I197">
        <v>0.11</v>
      </c>
      <c r="J197" t="s">
        <v>739</v>
      </c>
      <c r="K197">
        <v>1235</v>
      </c>
      <c r="L197">
        <v>1022</v>
      </c>
      <c r="M197">
        <v>1.2</v>
      </c>
      <c r="N197" s="5">
        <v>2.3100000000000001E-12</v>
      </c>
      <c r="O197" s="5">
        <v>7.4E-14</v>
      </c>
      <c r="P197" s="5">
        <f>_xlfn.XLOOKUP(A197,'[2]LX COMPUTED'!A:A,'[2]LX COMPUTED'!T:T,"-",0)</f>
        <v>15.022617426959059</v>
      </c>
      <c r="Q197" s="5">
        <f>_xlfn.XLOOKUP(A197,'[2]LX COMPUTED'!A:A,'[2]LX COMPUTED'!U:U,"-",0)</f>
        <v>0.47875412100238629</v>
      </c>
      <c r="R197" s="5">
        <f>_xlfn.XLOOKUP(A197,'[2]LX COMPUTED'!A:A,'[2]LX COMPUTED'!V:V,"-",0)</f>
        <v>27.047657819120619</v>
      </c>
      <c r="S197" s="5">
        <f>_xlfn.XLOOKUP(A197,'[2]LX COMPUTED'!A:A,'[2]LX COMPUTED'!W:W,"-",0)</f>
        <v>2.129670480118333</v>
      </c>
      <c r="T197" s="5">
        <f>_xlfn.XLOOKUP(A197,'[2]LX COMPUTED'!A:A,'[2]LX COMPUTED'!AK:AK,"-",0)</f>
        <v>5.4198592135537407</v>
      </c>
      <c r="U197" s="5">
        <f>_xlfn.XLOOKUP(A197,'[2]LX COMPUTED'!A:A,'[2]LX COMPUTED'!AL:AL,"-",0)</f>
        <v>0.17272488941142211</v>
      </c>
      <c r="V197" s="2">
        <f>_xlfn.XLOOKUP(A197,'[2]LX COMPUTED'!A:A,'[2]LX COMPUTED'!AE:AE,"-",0)</f>
        <v>0.53053357679042401</v>
      </c>
      <c r="W197" s="2">
        <f>_xlfn.XLOOKUP(A197,'[2]LX COMPUTED'!A:A,'[2]LX COMPUTED'!AF:AF,"-",0)</f>
        <v>1.0505519376058294E-2</v>
      </c>
    </row>
    <row r="198" spans="1:23" x14ac:dyDescent="0.2">
      <c r="A198" t="s">
        <v>570</v>
      </c>
      <c r="B198">
        <v>0.49399999999999999</v>
      </c>
      <c r="C198">
        <v>197.7569</v>
      </c>
      <c r="D198">
        <v>-3.1772999999999998</v>
      </c>
      <c r="E198">
        <v>958</v>
      </c>
      <c r="F198">
        <v>5.89</v>
      </c>
      <c r="G198">
        <v>0.5</v>
      </c>
      <c r="H198">
        <v>0.25</v>
      </c>
      <c r="I198">
        <v>0.08</v>
      </c>
      <c r="J198" t="s">
        <v>739</v>
      </c>
      <c r="K198">
        <v>3372</v>
      </c>
      <c r="L198">
        <v>3072</v>
      </c>
      <c r="M198">
        <v>1.1000000000000001</v>
      </c>
      <c r="N198" s="5">
        <v>4.04E-13</v>
      </c>
      <c r="O198" s="5">
        <v>2E-14</v>
      </c>
      <c r="P198" s="5">
        <f>_xlfn.XLOOKUP(A198,'[2]LX COMPUTED'!A:A,'[2]LX COMPUTED'!T:T,"-",0)</f>
        <v>3.6899816759080819</v>
      </c>
      <c r="Q198" s="5">
        <f>_xlfn.XLOOKUP(A198,'[2]LX COMPUTED'!A:A,'[2]LX COMPUTED'!U:U,"-",0)</f>
        <v>0.18393027418942495</v>
      </c>
      <c r="R198" s="5">
        <f>_xlfn.XLOOKUP(A198,'[2]LX COMPUTED'!A:A,'[2]LX COMPUTED'!V:V,"-",0)</f>
        <v>5.4247146924184539</v>
      </c>
      <c r="S198" s="5">
        <f>_xlfn.XLOOKUP(A198,'[2]LX COMPUTED'!A:A,'[2]LX COMPUTED'!W:W,"-",0)</f>
        <v>0.31542802960349231</v>
      </c>
      <c r="T198" s="5">
        <f>_xlfn.XLOOKUP(A198,'[2]LX COMPUTED'!A:A,'[2]LX COMPUTED'!AK:AK,"-",0)</f>
        <v>1.5362025779284039</v>
      </c>
      <c r="U198" s="5">
        <f>_xlfn.XLOOKUP(A198,'[2]LX COMPUTED'!A:A,'[2]LX COMPUTED'!AL:AL,"-",0)</f>
        <v>7.6573323714226288E-2</v>
      </c>
      <c r="V198" s="2">
        <f>_xlfn.XLOOKUP(A198,'[2]LX COMPUTED'!A:A,'[2]LX COMPUTED'!AE:AE,"-",0)</f>
        <v>0.68703058459156019</v>
      </c>
      <c r="W198" s="2">
        <f>_xlfn.XLOOKUP(A198,'[2]LX COMPUTED'!A:A,'[2]LX COMPUTED'!AF:AF,"-",0)</f>
        <v>1.2581849388655478E-2</v>
      </c>
    </row>
    <row r="199" spans="1:23" x14ac:dyDescent="0.2">
      <c r="A199" t="s">
        <v>598</v>
      </c>
      <c r="B199">
        <v>0.44700000000000001</v>
      </c>
      <c r="C199">
        <v>209.79259999999999</v>
      </c>
      <c r="D199">
        <v>-19.490300000000001</v>
      </c>
      <c r="E199">
        <v>1005</v>
      </c>
      <c r="F199">
        <v>6.36</v>
      </c>
      <c r="G199">
        <v>1.31</v>
      </c>
      <c r="H199">
        <v>0.14000000000000001</v>
      </c>
      <c r="I199">
        <v>0.15</v>
      </c>
      <c r="J199" t="s">
        <v>739</v>
      </c>
      <c r="K199">
        <v>1101</v>
      </c>
      <c r="L199">
        <v>1022</v>
      </c>
      <c r="M199">
        <v>1.1000000000000001</v>
      </c>
      <c r="N199" s="5">
        <v>3.1299999999999998E-13</v>
      </c>
      <c r="O199" s="5">
        <v>2.6999999999999999E-14</v>
      </c>
      <c r="P199" s="5">
        <f>_xlfn.XLOOKUP(A199,'[2]LX COMPUTED'!A:A,'[2]LX COMPUTED'!T:T,"-",0)</f>
        <v>2.3704870553897122</v>
      </c>
      <c r="Q199" s="5">
        <f>_xlfn.XLOOKUP(A199,'[2]LX COMPUTED'!A:A,'[2]LX COMPUTED'!U:U,"-",0)</f>
        <v>0.20431403038047494</v>
      </c>
      <c r="R199" s="5">
        <f>_xlfn.XLOOKUP(A199,'[2]LX COMPUTED'!A:A,'[2]LX COMPUTED'!V:V,"-",0)</f>
        <v>3.5686579654568562</v>
      </c>
      <c r="S199" s="5">
        <f>_xlfn.XLOOKUP(A199,'[2]LX COMPUTED'!A:A,'[2]LX COMPUTED'!W:W,"-",0)</f>
        <v>0.41584497777674878</v>
      </c>
      <c r="T199" s="5">
        <f>_xlfn.XLOOKUP(A199,'[2]LX COMPUTED'!A:A,'[2]LX COMPUTED'!AK:AK,"-",0)</f>
        <v>0.97631455327580363</v>
      </c>
      <c r="U199" s="5">
        <f>_xlfn.XLOOKUP(A199,'[2]LX COMPUTED'!A:A,'[2]LX COMPUTED'!AL:AL,"-",0)</f>
        <v>8.4149272549433246E-2</v>
      </c>
      <c r="V199" s="2">
        <f>_xlfn.XLOOKUP(A199,'[2]LX COMPUTED'!A:A,'[2]LX COMPUTED'!AE:AE,"-",0)</f>
        <v>0.70583254938852313</v>
      </c>
      <c r="W199" s="2">
        <f>_xlfn.XLOOKUP(A199,'[2]LX COMPUTED'!A:A,'[2]LX COMPUTED'!AF:AF,"-",0)</f>
        <v>2.0411536358209866E-2</v>
      </c>
    </row>
    <row r="200" spans="1:23" x14ac:dyDescent="0.2">
      <c r="A200" t="s">
        <v>210</v>
      </c>
      <c r="B200">
        <v>0.318</v>
      </c>
      <c r="C200">
        <v>216.9144</v>
      </c>
      <c r="D200">
        <v>-25.3508</v>
      </c>
      <c r="E200">
        <v>922</v>
      </c>
      <c r="F200">
        <v>4.83</v>
      </c>
      <c r="G200">
        <v>0.5</v>
      </c>
      <c r="H200">
        <v>0.36</v>
      </c>
      <c r="I200">
        <v>0.14000000000000001</v>
      </c>
      <c r="J200" t="s">
        <v>739</v>
      </c>
      <c r="K200">
        <v>2402</v>
      </c>
      <c r="L200">
        <v>2047</v>
      </c>
      <c r="M200">
        <v>1.2</v>
      </c>
      <c r="N200" s="5">
        <v>5.1400000000000003E-13</v>
      </c>
      <c r="O200" s="5">
        <v>3.2000000000000002E-14</v>
      </c>
      <c r="P200" s="5">
        <f>_xlfn.XLOOKUP(A200,'[2]LX COMPUTED'!A:A,'[2]LX COMPUTED'!T:T,"-",0)</f>
        <v>1.7735086485068672</v>
      </c>
      <c r="Q200" s="5">
        <f>_xlfn.XLOOKUP(A200,'[2]LX COMPUTED'!A:A,'[2]LX COMPUTED'!U:U,"-",0)</f>
        <v>0.11129086135179217</v>
      </c>
      <c r="R200" s="5">
        <f>_xlfn.XLOOKUP(A200,'[2]LX COMPUTED'!A:A,'[2]LX COMPUTED'!V:V,"-",0)</f>
        <v>2.4866547380349577</v>
      </c>
      <c r="S200" s="5">
        <f>_xlfn.XLOOKUP(A200,'[2]LX COMPUTED'!A:A,'[2]LX COMPUTED'!W:W,"-",0)</f>
        <v>0.17282881738728595</v>
      </c>
      <c r="T200" s="5">
        <f>_xlfn.XLOOKUP(A200,'[2]LX COMPUTED'!A:A,'[2]LX COMPUTED'!AK:AK,"-",0)</f>
        <v>0.78143983740207268</v>
      </c>
      <c r="U200" s="5">
        <f>_xlfn.XLOOKUP(A200,'[2]LX COMPUTED'!A:A,'[2]LX COMPUTED'!AL:AL,"-",0)</f>
        <v>4.903675698018134E-2</v>
      </c>
      <c r="V200" s="2">
        <f>_xlfn.XLOOKUP(A200,'[2]LX COMPUTED'!A:A,'[2]LX COMPUTED'!AE:AE,"-",0)</f>
        <v>0.69239976062238184</v>
      </c>
      <c r="W200" s="2">
        <f>_xlfn.XLOOKUP(A200,'[2]LX COMPUTED'!A:A,'[2]LX COMPUTED'!AF:AF,"-",0)</f>
        <v>1.6201185451438893E-2</v>
      </c>
    </row>
    <row r="201" spans="1:23" x14ac:dyDescent="0.2">
      <c r="A201" t="s">
        <v>222</v>
      </c>
      <c r="B201">
        <v>0.34499999999999997</v>
      </c>
      <c r="C201">
        <v>233.2242</v>
      </c>
      <c r="D201">
        <v>30.349699999999999</v>
      </c>
      <c r="E201">
        <v>1181</v>
      </c>
      <c r="F201">
        <v>7.28</v>
      </c>
      <c r="G201">
        <v>0.78</v>
      </c>
      <c r="H201">
        <v>0.22</v>
      </c>
      <c r="I201">
        <v>0.06</v>
      </c>
      <c r="J201" t="s">
        <v>740</v>
      </c>
      <c r="K201">
        <v>1125</v>
      </c>
      <c r="L201">
        <v>1022</v>
      </c>
      <c r="M201">
        <v>1.1000000000000001</v>
      </c>
      <c r="N201" s="5">
        <v>1.43E-12</v>
      </c>
      <c r="O201" s="5">
        <v>2.0999999999999999E-14</v>
      </c>
      <c r="P201" s="5">
        <f>_xlfn.XLOOKUP(A201,'[2]LX COMPUTED'!A:A,'[2]LX COMPUTED'!T:T,"-",0)</f>
        <v>5.3762193862888346</v>
      </c>
      <c r="Q201" s="5">
        <f>_xlfn.XLOOKUP(A201,'[2]LX COMPUTED'!A:A,'[2]LX COMPUTED'!U:U,"-",0)</f>
        <v>7.8285396148758082E-2</v>
      </c>
      <c r="R201" s="5">
        <f>_xlfn.XLOOKUP(A201,'[2]LX COMPUTED'!A:A,'[2]LX COMPUTED'!V:V,"-",0)</f>
        <v>8.4252882455811573</v>
      </c>
      <c r="S201" s="5">
        <f>_xlfn.XLOOKUP(A201,'[2]LX COMPUTED'!A:A,'[2]LX COMPUTED'!W:W,"-",0)</f>
        <v>0.41344702482232709</v>
      </c>
      <c r="T201" s="5">
        <f>_xlfn.XLOOKUP(A201,'[2]LX COMPUTED'!A:A,'[2]LX COMPUTED'!AK:AK,"-",0)</f>
        <v>2.1167517904251989</v>
      </c>
      <c r="U201" s="5">
        <f>_xlfn.XLOOKUP(A201,'[2]LX COMPUTED'!A:A,'[2]LX COMPUTED'!AL:AL,"-",0)</f>
        <v>3.0822914869256961E-2</v>
      </c>
      <c r="V201" s="2">
        <f>_xlfn.XLOOKUP(A201,'[2]LX COMPUTED'!A:A,'[2]LX COMPUTED'!AE:AE,"-",0)</f>
        <v>0.78636704119850187</v>
      </c>
      <c r="W201" s="2">
        <f>_xlfn.XLOOKUP(A201,'[2]LX COMPUTED'!A:A,'[2]LX COMPUTED'!AF:AF,"-",0)</f>
        <v>2.9167636828832852E-3</v>
      </c>
    </row>
    <row r="202" spans="1:23" x14ac:dyDescent="0.2">
      <c r="A202" t="s">
        <v>234</v>
      </c>
      <c r="B202">
        <v>0.46500000000000002</v>
      </c>
      <c r="C202">
        <v>245.3537</v>
      </c>
      <c r="D202">
        <v>38.168900000000001</v>
      </c>
      <c r="E202">
        <v>1072</v>
      </c>
      <c r="F202">
        <v>7.66</v>
      </c>
      <c r="G202">
        <v>0.73</v>
      </c>
      <c r="H202">
        <v>0.19</v>
      </c>
      <c r="I202">
        <v>7.0000000000000007E-2</v>
      </c>
      <c r="J202" t="s">
        <v>739</v>
      </c>
      <c r="K202">
        <v>4728</v>
      </c>
      <c r="L202">
        <v>4097</v>
      </c>
      <c r="M202">
        <v>1.2</v>
      </c>
      <c r="N202" s="5">
        <v>5.4899999999999998E-13</v>
      </c>
      <c r="O202" s="5">
        <v>2.2000000000000001E-14</v>
      </c>
      <c r="P202" s="5">
        <f>_xlfn.XLOOKUP(A202,'[2]LX COMPUTED'!A:A,'[2]LX COMPUTED'!T:T,"-",0)</f>
        <v>4.1179104557851725</v>
      </c>
      <c r="Q202" s="5">
        <f>_xlfn.XLOOKUP(A202,'[2]LX COMPUTED'!A:A,'[2]LX COMPUTED'!U:U,"-",0)</f>
        <v>0.16690614904984508</v>
      </c>
      <c r="R202" s="5">
        <f>_xlfn.XLOOKUP(A202,'[2]LX COMPUTED'!A:A,'[2]LX COMPUTED'!V:V,"-",0)</f>
        <v>6.5638294929855512</v>
      </c>
      <c r="S202" s="5">
        <f>_xlfn.XLOOKUP(A202,'[2]LX COMPUTED'!A:A,'[2]LX COMPUTED'!W:W,"-",0)</f>
        <v>0.3902622175458148</v>
      </c>
      <c r="T202" s="5">
        <f>_xlfn.XLOOKUP(A202,'[2]LX COMPUTED'!A:A,'[2]LX COMPUTED'!AK:AK,"-",0)</f>
        <v>1.6032091030218436</v>
      </c>
      <c r="U202" s="5">
        <f>_xlfn.XLOOKUP(A202,'[2]LX COMPUTED'!A:A,'[2]LX COMPUTED'!AL:AL,"-",0)</f>
        <v>6.4980882993972505E-2</v>
      </c>
      <c r="V202" s="2">
        <f>_xlfn.XLOOKUP(A202,'[2]LX COMPUTED'!A:A,'[2]LX COMPUTED'!AE:AE,"-",0)</f>
        <v>0.64702855672755333</v>
      </c>
      <c r="W202" s="2">
        <f>_xlfn.XLOOKUP(A202,'[2]LX COMPUTED'!A:A,'[2]LX COMPUTED'!AF:AF,"-",0)</f>
        <v>1.1016138043665741E-2</v>
      </c>
    </row>
    <row r="203" spans="1:23" x14ac:dyDescent="0.2">
      <c r="A203" t="s">
        <v>243</v>
      </c>
      <c r="B203">
        <v>0.39100000000000001</v>
      </c>
      <c r="C203">
        <v>260.07010000000002</v>
      </c>
      <c r="D203">
        <v>35.607300000000002</v>
      </c>
      <c r="E203">
        <v>1197</v>
      </c>
      <c r="F203">
        <v>8.35</v>
      </c>
      <c r="G203">
        <v>0.79</v>
      </c>
      <c r="H203">
        <v>0.31</v>
      </c>
      <c r="I203">
        <v>0.09</v>
      </c>
      <c r="J203" t="s">
        <v>739</v>
      </c>
      <c r="K203">
        <v>2537</v>
      </c>
      <c r="L203">
        <v>2047</v>
      </c>
      <c r="M203">
        <v>1.2</v>
      </c>
      <c r="N203" s="5">
        <v>1.14E-12</v>
      </c>
      <c r="O203" s="5">
        <v>3.7E-14</v>
      </c>
      <c r="P203" s="5">
        <f>_xlfn.XLOOKUP(A203,'[2]LX COMPUTED'!A:A,'[2]LX COMPUTED'!T:T,"-",0)</f>
        <v>5.7437646904296633</v>
      </c>
      <c r="Q203" s="5">
        <f>_xlfn.XLOOKUP(A203,'[2]LX COMPUTED'!A:A,'[2]LX COMPUTED'!U:U,"-",0)</f>
        <v>0.18349251063534028</v>
      </c>
      <c r="R203" s="5">
        <f>_xlfn.XLOOKUP(A203,'[2]LX COMPUTED'!A:A,'[2]LX COMPUTED'!V:V,"-",0)</f>
        <v>9.4387565900758226</v>
      </c>
      <c r="S203" s="5">
        <f>_xlfn.XLOOKUP(A203,'[2]LX COMPUTED'!A:A,'[2]LX COMPUTED'!W:W,"-",0)</f>
        <v>0.53858589137256341</v>
      </c>
      <c r="T203" s="5">
        <f>_xlfn.XLOOKUP(A203,'[2]LX COMPUTED'!A:A,'[2]LX COMPUTED'!AK:AK,"-",0)</f>
        <v>2.172604377223462</v>
      </c>
      <c r="U203" s="5">
        <f>_xlfn.XLOOKUP(A203,'[2]LX COMPUTED'!A:A,'[2]LX COMPUTED'!AL:AL,"-",0)</f>
        <v>6.9406853045061168E-2</v>
      </c>
      <c r="V203" s="2">
        <f>_xlfn.XLOOKUP(A203,'[2]LX COMPUTED'!A:A,'[2]LX COMPUTED'!AE:AE,"-",0)</f>
        <v>0.6333333333333333</v>
      </c>
      <c r="W203" s="2">
        <f>_xlfn.XLOOKUP(A203,'[2]LX COMPUTED'!A:A,'[2]LX COMPUTED'!AF:AF,"-",0)</f>
        <v>9.2241689514613728E-3</v>
      </c>
    </row>
    <row r="204" spans="1:23" x14ac:dyDescent="0.2">
      <c r="A204" t="s">
        <v>250</v>
      </c>
      <c r="B204">
        <v>0.20300000000000001</v>
      </c>
      <c r="C204">
        <v>277.27350000000001</v>
      </c>
      <c r="D204">
        <v>69.235299999999995</v>
      </c>
      <c r="E204">
        <v>890</v>
      </c>
      <c r="F204">
        <v>4.17</v>
      </c>
      <c r="G204">
        <v>0.4</v>
      </c>
      <c r="H204">
        <v>0.38</v>
      </c>
      <c r="I204">
        <v>0.14000000000000001</v>
      </c>
      <c r="J204" t="s">
        <v>739</v>
      </c>
      <c r="K204">
        <v>2472</v>
      </c>
      <c r="L204">
        <v>2047</v>
      </c>
      <c r="M204">
        <v>1.2</v>
      </c>
      <c r="N204" s="5">
        <v>5.9499999999999999E-13</v>
      </c>
      <c r="O204" s="5">
        <v>3.8000000000000002E-14</v>
      </c>
      <c r="P204" s="5">
        <f>_xlfn.XLOOKUP(A204,'[2]LX COMPUTED'!A:A,'[2]LX COMPUTED'!T:T,"-",0)</f>
        <v>0.77445219630691975</v>
      </c>
      <c r="Q204" s="5">
        <f>_xlfn.XLOOKUP(A204,'[2]LX COMPUTED'!A:A,'[2]LX COMPUTED'!U:U,"-",0)</f>
        <v>4.9912126156957996E-2</v>
      </c>
      <c r="R204" s="5">
        <f>_xlfn.XLOOKUP(A204,'[2]LX COMPUTED'!A:A,'[2]LX COMPUTED'!V:V,"-",0)</f>
        <v>1.059998975503071</v>
      </c>
      <c r="S204" s="5">
        <f>_xlfn.XLOOKUP(A204,'[2]LX COMPUTED'!A:A,'[2]LX COMPUTED'!W:W,"-",0)</f>
        <v>7.2898212306052812E-2</v>
      </c>
      <c r="T204" s="5">
        <f>_xlfn.XLOOKUP(A204,'[2]LX COMPUTED'!A:A,'[2]LX COMPUTED'!AK:AK,"-",0)</f>
        <v>0.36038775624314501</v>
      </c>
      <c r="U204" s="5">
        <f>_xlfn.XLOOKUP(A204,'[2]LX COMPUTED'!A:A,'[2]LX COMPUTED'!AL:AL,"-",0)</f>
        <v>2.3226377613502495E-2</v>
      </c>
      <c r="V204" s="2">
        <f>_xlfn.XLOOKUP(A204,'[2]LX COMPUTED'!A:A,'[2]LX COMPUTED'!AE:AE,"-",0)</f>
        <v>0.63400221593007511</v>
      </c>
      <c r="W204" s="2">
        <f>_xlfn.XLOOKUP(A204,'[2]LX COMPUTED'!A:A,'[2]LX COMPUTED'!AF:AF,"-",0)</f>
        <v>1.7696652570083446E-2</v>
      </c>
    </row>
    <row r="205" spans="1:23" x14ac:dyDescent="0.2">
      <c r="A205" t="s">
        <v>252</v>
      </c>
      <c r="B205">
        <v>0.35199999999999998</v>
      </c>
      <c r="C205">
        <v>292.95690000000002</v>
      </c>
      <c r="D205">
        <v>-26.575900000000001</v>
      </c>
      <c r="E205">
        <v>1203</v>
      </c>
      <c r="F205">
        <v>7.68</v>
      </c>
      <c r="G205">
        <v>0.83</v>
      </c>
      <c r="H205">
        <v>0.34</v>
      </c>
      <c r="I205">
        <v>0.14000000000000001</v>
      </c>
      <c r="J205" t="s">
        <v>740</v>
      </c>
      <c r="K205">
        <v>1280</v>
      </c>
      <c r="L205">
        <v>1022</v>
      </c>
      <c r="M205">
        <v>1.3</v>
      </c>
      <c r="N205" s="5">
        <v>1.9100000000000001E-12</v>
      </c>
      <c r="O205" s="5">
        <v>2.6999999999999999E-14</v>
      </c>
      <c r="P205" s="5">
        <f>_xlfn.XLOOKUP(A205,'[2]LX COMPUTED'!A:A,'[2]LX COMPUTED'!T:T,"-",0)</f>
        <v>8.0134196730592855</v>
      </c>
      <c r="Q205" s="5">
        <f>_xlfn.XLOOKUP(A205,'[2]LX COMPUTED'!A:A,'[2]LX COMPUTED'!U:U,"-",0)</f>
        <v>0.11487306338239756</v>
      </c>
      <c r="R205" s="5">
        <f>_xlfn.XLOOKUP(A205,'[2]LX COMPUTED'!A:A,'[2]LX COMPUTED'!V:V,"-",0)</f>
        <v>12.767262851264141</v>
      </c>
      <c r="S205" s="5">
        <f>_xlfn.XLOOKUP(A205,'[2]LX COMPUTED'!A:A,'[2]LX COMPUTED'!W:W,"-",0)</f>
        <v>0.66399240160663142</v>
      </c>
      <c r="T205" s="5">
        <f>_xlfn.XLOOKUP(A205,'[2]LX COMPUTED'!A:A,'[2]LX COMPUTED'!AK:AK,"-",0)</f>
        <v>3.0781102301415131</v>
      </c>
      <c r="U205" s="5">
        <f>_xlfn.XLOOKUP(A205,'[2]LX COMPUTED'!A:A,'[2]LX COMPUTED'!AL:AL,"-",0)</f>
        <v>4.4124976101502678E-2</v>
      </c>
      <c r="V205" s="2">
        <f>_xlfn.XLOOKUP(A205,'[2]LX COMPUTED'!A:A,'[2]LX COMPUTED'!AE:AE,"-",0)</f>
        <v>0.74406438631790739</v>
      </c>
      <c r="W205" s="2">
        <f>_xlfn.XLOOKUP(A205,'[2]LX COMPUTED'!A:A,'[2]LX COMPUTED'!AF:AF,"-",0)</f>
        <v>3.3502359166885775E-3</v>
      </c>
    </row>
    <row r="206" spans="1:23" x14ac:dyDescent="0.2">
      <c r="A206" t="s">
        <v>260</v>
      </c>
      <c r="B206">
        <v>0.42299999999999999</v>
      </c>
      <c r="C206">
        <v>311.50209999999998</v>
      </c>
      <c r="D206">
        <v>-34.504800000000003</v>
      </c>
      <c r="E206">
        <v>985</v>
      </c>
      <c r="F206">
        <v>5.75</v>
      </c>
      <c r="G206">
        <v>0.55000000000000004</v>
      </c>
      <c r="H206">
        <v>0.08</v>
      </c>
      <c r="I206">
        <v>0.09</v>
      </c>
      <c r="J206" t="s">
        <v>739</v>
      </c>
      <c r="K206">
        <v>2307</v>
      </c>
      <c r="L206">
        <v>2047</v>
      </c>
      <c r="M206">
        <v>1.1000000000000001</v>
      </c>
      <c r="N206" s="5">
        <v>5.5399999999999996E-13</v>
      </c>
      <c r="O206" s="5">
        <v>3.1E-14</v>
      </c>
      <c r="P206" s="5">
        <f>_xlfn.XLOOKUP(A206,'[2]LX COMPUTED'!A:A,'[2]LX COMPUTED'!T:T,"-",0)</f>
        <v>3.6003338471738031</v>
      </c>
      <c r="Q206" s="5">
        <f>_xlfn.XLOOKUP(A206,'[2]LX COMPUTED'!A:A,'[2]LX COMPUTED'!U:U,"-",0)</f>
        <v>0.20187221955723614</v>
      </c>
      <c r="R206" s="5">
        <f>_xlfn.XLOOKUP(A206,'[2]LX COMPUTED'!A:A,'[2]LX COMPUTED'!V:V,"-",0)</f>
        <v>5.2808717182385871</v>
      </c>
      <c r="S206" s="5">
        <f>_xlfn.XLOOKUP(A206,'[2]LX COMPUTED'!A:A,'[2]LX COMPUTED'!W:W,"-",0)</f>
        <v>0.34325609476652574</v>
      </c>
      <c r="T206" s="5">
        <f>_xlfn.XLOOKUP(A206,'[2]LX COMPUTED'!A:A,'[2]LX COMPUTED'!AK:AK,"-",0)</f>
        <v>1.5350170698807717</v>
      </c>
      <c r="U206" s="5">
        <f>_xlfn.XLOOKUP(A206,'[2]LX COMPUTED'!A:A,'[2]LX COMPUTED'!AL:AL,"-",0)</f>
        <v>8.6069046957499368E-2</v>
      </c>
      <c r="V206" s="2">
        <f>_xlfn.XLOOKUP(A206,'[2]LX COMPUTED'!A:A,'[2]LX COMPUTED'!AE:AE,"-",0)</f>
        <v>0.73473099751100901</v>
      </c>
      <c r="W206" s="2">
        <f>_xlfn.XLOOKUP(A206,'[2]LX COMPUTED'!A:A,'[2]LX COMPUTED'!AF:AF,"-",0)</f>
        <v>1.3238367448796447E-2</v>
      </c>
    </row>
    <row r="207" spans="1:23" x14ac:dyDescent="0.2">
      <c r="A207" t="s">
        <v>267</v>
      </c>
      <c r="B207">
        <v>0.313</v>
      </c>
      <c r="C207">
        <v>325.06330000000003</v>
      </c>
      <c r="D207">
        <v>-23.661100000000001</v>
      </c>
      <c r="E207">
        <v>1076</v>
      </c>
      <c r="F207">
        <v>5.65</v>
      </c>
      <c r="G207">
        <v>0.84</v>
      </c>
      <c r="H207">
        <v>0.28000000000000003</v>
      </c>
      <c r="I207">
        <v>0.14000000000000001</v>
      </c>
      <c r="J207" t="s">
        <v>740</v>
      </c>
      <c r="K207">
        <v>3302</v>
      </c>
      <c r="L207">
        <v>3072</v>
      </c>
      <c r="M207">
        <v>1.1000000000000001</v>
      </c>
      <c r="N207" s="5">
        <v>1.0300000000000001E-12</v>
      </c>
      <c r="O207" s="5">
        <v>3.2999999999999998E-14</v>
      </c>
      <c r="P207" s="5">
        <f>_xlfn.XLOOKUP(A207,'[2]LX COMPUTED'!A:A,'[2]LX COMPUTED'!T:T,"-",0)</f>
        <v>3.2633585967591889</v>
      </c>
      <c r="Q207" s="5">
        <f>_xlfn.XLOOKUP(A207,'[2]LX COMPUTED'!A:A,'[2]LX COMPUTED'!U:U,"-",0)</f>
        <v>0.10453343491336024</v>
      </c>
      <c r="R207" s="5">
        <f>_xlfn.XLOOKUP(A207,'[2]LX COMPUTED'!A:A,'[2]LX COMPUTED'!V:V,"-",0)</f>
        <v>4.7491991845851835</v>
      </c>
      <c r="S207" s="5">
        <f>_xlfn.XLOOKUP(A207,'[2]LX COMPUTED'!A:A,'[2]LX COMPUTED'!W:W,"-",0)</f>
        <v>0.2835358155472173</v>
      </c>
      <c r="T207" s="5">
        <f>_xlfn.XLOOKUP(A207,'[2]LX COMPUTED'!A:A,'[2]LX COMPUTED'!AK:AK,"-",0)</f>
        <v>1.375025158200939</v>
      </c>
      <c r="U207" s="5">
        <f>_xlfn.XLOOKUP(A207,'[2]LX COMPUTED'!A:A,'[2]LX COMPUTED'!AL:AL,"-",0)</f>
        <v>4.4045451524013846E-2</v>
      </c>
      <c r="V207" s="2">
        <f>_xlfn.XLOOKUP(A207,'[2]LX COMPUTED'!A:A,'[2]LX COMPUTED'!AE:AE,"-",0)</f>
        <v>0.79504594486616065</v>
      </c>
      <c r="W207" s="2">
        <f>_xlfn.XLOOKUP(A207,'[2]LX COMPUTED'!A:A,'[2]LX COMPUTED'!AF:AF,"-",0)</f>
        <v>5.7131411257928437E-3</v>
      </c>
    </row>
    <row r="208" spans="1:23" x14ac:dyDescent="0.2">
      <c r="A208" t="s">
        <v>273</v>
      </c>
      <c r="B208">
        <v>0.48299999999999998</v>
      </c>
      <c r="C208">
        <v>333.73899999999998</v>
      </c>
      <c r="D208">
        <v>-14.0038</v>
      </c>
      <c r="E208">
        <v>1168</v>
      </c>
      <c r="F208">
        <v>8.1999999999999993</v>
      </c>
      <c r="G208">
        <v>0.92</v>
      </c>
      <c r="H208">
        <v>0.27</v>
      </c>
      <c r="I208">
        <v>0.1</v>
      </c>
      <c r="J208" t="s">
        <v>739</v>
      </c>
      <c r="K208">
        <v>2243</v>
      </c>
      <c r="L208">
        <v>2047</v>
      </c>
      <c r="M208">
        <v>1.1000000000000001</v>
      </c>
      <c r="N208" s="5">
        <v>1.14E-12</v>
      </c>
      <c r="O208" s="5">
        <v>4.8999999999999999E-14</v>
      </c>
      <c r="P208" s="5">
        <f>_xlfn.XLOOKUP(A208,'[2]LX COMPUTED'!A:A,'[2]LX COMPUTED'!T:T,"-",0)</f>
        <v>9.4533251559999396</v>
      </c>
      <c r="Q208" s="5">
        <f>_xlfn.XLOOKUP(A208,'[2]LX COMPUTED'!A:A,'[2]LX COMPUTED'!U:U,"-",0)</f>
        <v>0.40468609379796966</v>
      </c>
      <c r="R208" s="5">
        <f>_xlfn.XLOOKUP(A208,'[2]LX COMPUTED'!A:A,'[2]LX COMPUTED'!V:V,"-",0)</f>
        <v>15.435304199764666</v>
      </c>
      <c r="S208" s="5">
        <f>_xlfn.XLOOKUP(A208,'[2]LX COMPUTED'!A:A,'[2]LX COMPUTED'!W:W,"-",0)</f>
        <v>1.0760299270774834</v>
      </c>
      <c r="T208" s="5">
        <f>_xlfn.XLOOKUP(A208,'[2]LX COMPUTED'!A:A,'[2]LX COMPUTED'!AK:AK,"-",0)</f>
        <v>3.6021978661226717</v>
      </c>
      <c r="U208" s="5">
        <f>_xlfn.XLOOKUP(A208,'[2]LX COMPUTED'!A:A,'[2]LX COMPUTED'!AL:AL,"-",0)</f>
        <v>0.1542059920157659</v>
      </c>
      <c r="V208" s="2">
        <f>_xlfn.XLOOKUP(A208,'[2]LX COMPUTED'!A:A,'[2]LX COMPUTED'!AE:AE,"-",0)</f>
        <v>0.47295423023578365</v>
      </c>
      <c r="W208" s="2">
        <f>_xlfn.XLOOKUP(A208,'[2]LX COMPUTED'!A:A,'[2]LX COMPUTED'!AF:AF,"-",0)</f>
        <v>1.3400323005215476E-2</v>
      </c>
    </row>
    <row r="209" spans="1:23" x14ac:dyDescent="0.2">
      <c r="A209" t="s">
        <v>279</v>
      </c>
      <c r="B209">
        <v>0.32400000000000001</v>
      </c>
      <c r="C209">
        <v>337.43849999999998</v>
      </c>
      <c r="D209">
        <v>-27.9267</v>
      </c>
      <c r="E209">
        <v>1029</v>
      </c>
      <c r="F209">
        <v>6.09</v>
      </c>
      <c r="G209">
        <v>0.65</v>
      </c>
      <c r="H209">
        <v>0.43</v>
      </c>
      <c r="I209">
        <v>0.12</v>
      </c>
      <c r="J209" t="s">
        <v>739</v>
      </c>
      <c r="K209">
        <v>2422</v>
      </c>
      <c r="L209">
        <v>2047</v>
      </c>
      <c r="M209">
        <v>1.2</v>
      </c>
      <c r="N209" s="5">
        <v>1.0200000000000001E-12</v>
      </c>
      <c r="O209" s="5">
        <v>5.0999999999999997E-14</v>
      </c>
      <c r="P209" s="5">
        <f>_xlfn.XLOOKUP(A209,'[2]LX COMPUTED'!A:A,'[2]LX COMPUTED'!T:T,"-",0)</f>
        <v>3.374445928104961</v>
      </c>
      <c r="Q209" s="5">
        <f>_xlfn.XLOOKUP(A209,'[2]LX COMPUTED'!A:A,'[2]LX COMPUTED'!U:U,"-",0)</f>
        <v>0.16938984258291467</v>
      </c>
      <c r="R209" s="5">
        <f>_xlfn.XLOOKUP(A209,'[2]LX COMPUTED'!A:A,'[2]LX COMPUTED'!V:V,"-",0)</f>
        <v>4.9924797101169593</v>
      </c>
      <c r="S209" s="5">
        <f>_xlfn.XLOOKUP(A209,'[2]LX COMPUTED'!A:A,'[2]LX COMPUTED'!W:W,"-",0)</f>
        <v>0.31754310460030938</v>
      </c>
      <c r="T209" s="5">
        <f>_xlfn.XLOOKUP(A209,'[2]LX COMPUTED'!A:A,'[2]LX COMPUTED'!AK:AK,"-",0)</f>
        <v>1.370539925351715</v>
      </c>
      <c r="U209" s="5">
        <f>_xlfn.XLOOKUP(A209,'[2]LX COMPUTED'!A:A,'[2]LX COMPUTED'!AL:AL,"-",0)</f>
        <v>6.8798121871018317E-2</v>
      </c>
      <c r="V209" s="2">
        <f>_xlfn.XLOOKUP(A209,'[2]LX COMPUTED'!A:A,'[2]LX COMPUTED'!AE:AE,"-",0)</f>
        <v>0.74503893494096962</v>
      </c>
      <c r="W209" s="2">
        <f>_xlfn.XLOOKUP(A209,'[2]LX COMPUTED'!A:A,'[2]LX COMPUTED'!AF:AF,"-",0)</f>
        <v>1.0971998258820193E-2</v>
      </c>
    </row>
    <row r="210" spans="1:23" x14ac:dyDescent="0.2">
      <c r="A210" t="s">
        <v>284</v>
      </c>
      <c r="B210">
        <v>0.30399999999999999</v>
      </c>
      <c r="C210">
        <v>341.26920000000001</v>
      </c>
      <c r="D210">
        <v>26.634799999999998</v>
      </c>
      <c r="E210">
        <v>1102</v>
      </c>
      <c r="F210">
        <v>6.26</v>
      </c>
      <c r="G210">
        <v>0.87</v>
      </c>
      <c r="H210">
        <v>0.33</v>
      </c>
      <c r="I210">
        <v>0.15</v>
      </c>
      <c r="J210" t="s">
        <v>739</v>
      </c>
      <c r="K210">
        <v>1194</v>
      </c>
      <c r="L210">
        <v>1022</v>
      </c>
      <c r="M210">
        <v>1.2</v>
      </c>
      <c r="N210" s="5">
        <v>1.32E-12</v>
      </c>
      <c r="O210" s="5">
        <v>7.7999999999999996E-14</v>
      </c>
      <c r="P210" s="5">
        <f>_xlfn.XLOOKUP(A210,'[2]LX COMPUTED'!A:A,'[2]LX COMPUTED'!T:T,"-",0)</f>
        <v>3.9930034021272887</v>
      </c>
      <c r="Q210" s="5">
        <f>_xlfn.XLOOKUP(A210,'[2]LX COMPUTED'!A:A,'[2]LX COMPUTED'!U:U,"-",0)</f>
        <v>0.23604752015256489</v>
      </c>
      <c r="R210" s="5">
        <f>_xlfn.XLOOKUP(A210,'[2]LX COMPUTED'!A:A,'[2]LX COMPUTED'!V:V,"-",0)</f>
        <v>5.9653458606553746</v>
      </c>
      <c r="S210" s="5">
        <f>_xlfn.XLOOKUP(A210,'[2]LX COMPUTED'!A:A,'[2]LX COMPUTED'!W:W,"-",0)</f>
        <v>0.47068522289649328</v>
      </c>
      <c r="T210" s="5">
        <f>_xlfn.XLOOKUP(A210,'[2]LX COMPUTED'!A:A,'[2]LX COMPUTED'!AK:AK,"-",0)</f>
        <v>1.6238184343538793</v>
      </c>
      <c r="U210" s="5">
        <f>_xlfn.XLOOKUP(A210,'[2]LX COMPUTED'!A:A,'[2]LX COMPUTED'!AL:AL,"-",0)</f>
        <v>9.5992483853895527E-2</v>
      </c>
      <c r="V210" s="2">
        <f>_xlfn.XLOOKUP(A210,'[2]LX COMPUTED'!A:A,'[2]LX COMPUTED'!AE:AE,"-",0)</f>
        <v>0.67533742331288349</v>
      </c>
      <c r="W210" s="2">
        <f>_xlfn.XLOOKUP(A210,'[2]LX COMPUTED'!A:A,'[2]LX COMPUTED'!AF:AF,"-",0)</f>
        <v>1.5713022551913258E-2</v>
      </c>
    </row>
    <row r="211" spans="1:23" x14ac:dyDescent="0.2">
      <c r="A211" t="s">
        <v>342</v>
      </c>
      <c r="B211">
        <v>0.36399999999999999</v>
      </c>
      <c r="C211">
        <v>8.8585999999999991</v>
      </c>
      <c r="D211">
        <v>-20.2623</v>
      </c>
      <c r="E211">
        <v>1140</v>
      </c>
      <c r="F211">
        <v>7.4</v>
      </c>
      <c r="G211">
        <v>0.8</v>
      </c>
      <c r="H211">
        <v>0.35</v>
      </c>
      <c r="I211">
        <v>0.1</v>
      </c>
      <c r="J211" t="s">
        <v>739</v>
      </c>
      <c r="K211">
        <v>1156</v>
      </c>
      <c r="L211">
        <v>1022</v>
      </c>
      <c r="M211">
        <v>1.1000000000000001</v>
      </c>
      <c r="N211" s="5">
        <v>2.1100000000000001E-12</v>
      </c>
      <c r="O211" s="5">
        <v>7.9000000000000004E-14</v>
      </c>
      <c r="P211" s="5">
        <f>_xlfn.XLOOKUP(A211,'[2]LX COMPUTED'!A:A,'[2]LX COMPUTED'!T:T,"-",0)</f>
        <v>9.0040542286118548</v>
      </c>
      <c r="Q211" s="5">
        <f>_xlfn.XLOOKUP(A211,'[2]LX COMPUTED'!A:A,'[2]LX COMPUTED'!U:U,"-",0)</f>
        <v>0.33827209239888861</v>
      </c>
      <c r="R211" s="5">
        <f>_xlfn.XLOOKUP(A211,'[2]LX COMPUTED'!A:A,'[2]LX COMPUTED'!V:V,"-",0)</f>
        <v>14.164579095291719</v>
      </c>
      <c r="S211" s="5">
        <f>_xlfn.XLOOKUP(A211,'[2]LX COMPUTED'!A:A,'[2]LX COMPUTED'!W:W,"-",0)</f>
        <v>0.86071670330567429</v>
      </c>
      <c r="T211" s="5">
        <f>_xlfn.XLOOKUP(A211,'[2]LX COMPUTED'!A:A,'[2]LX COMPUTED'!AK:AK,"-",0)</f>
        <v>3.4884404740002926</v>
      </c>
      <c r="U211" s="5">
        <f>_xlfn.XLOOKUP(A211,'[2]LX COMPUTED'!A:A,'[2]LX COMPUTED'!AL:AL,"-",0)</f>
        <v>0.1310567471483316</v>
      </c>
      <c r="V211" s="2">
        <f>_xlfn.XLOOKUP(A211,'[2]LX COMPUTED'!A:A,'[2]LX COMPUTED'!AE:AE,"-",0)</f>
        <v>0.49654679685639436</v>
      </c>
      <c r="W211" s="2">
        <f>_xlfn.XLOOKUP(A211,'[2]LX COMPUTED'!A:A,'[2]LX COMPUTED'!AF:AF,"-",0)</f>
        <v>1.2447845799324918E-2</v>
      </c>
    </row>
    <row r="212" spans="1:23" x14ac:dyDescent="0.2">
      <c r="A212" t="s">
        <v>375</v>
      </c>
      <c r="B212">
        <v>0.22900000000000001</v>
      </c>
      <c r="C212">
        <v>35.235700000000001</v>
      </c>
      <c r="D212">
        <v>-38.480400000000003</v>
      </c>
      <c r="E212">
        <v>941</v>
      </c>
      <c r="F212">
        <v>4.67</v>
      </c>
      <c r="G212">
        <v>0.41</v>
      </c>
      <c r="H212">
        <v>0.62</v>
      </c>
      <c r="I212">
        <v>0.16</v>
      </c>
      <c r="J212" t="s">
        <v>739</v>
      </c>
      <c r="K212">
        <v>1244</v>
      </c>
      <c r="L212">
        <v>1022</v>
      </c>
      <c r="M212">
        <v>1.2</v>
      </c>
      <c r="N212" s="5">
        <v>1.27E-12</v>
      </c>
      <c r="O212" s="5">
        <v>7.4E-14</v>
      </c>
      <c r="P212" s="5">
        <f>_xlfn.XLOOKUP(A212,'[2]LX COMPUTED'!A:A,'[2]LX COMPUTED'!T:T,"-",0)</f>
        <v>1.9938318260605203</v>
      </c>
      <c r="Q212" s="5">
        <f>_xlfn.XLOOKUP(A212,'[2]LX COMPUTED'!A:A,'[2]LX COMPUTED'!U:U,"-",0)</f>
        <v>0.11655119865574368</v>
      </c>
      <c r="R212" s="5">
        <f>_xlfn.XLOOKUP(A212,'[2]LX COMPUTED'!A:A,'[2]LX COMPUTED'!V:V,"-",0)</f>
        <v>2.7596910800101</v>
      </c>
      <c r="S212" s="5">
        <f>_xlfn.XLOOKUP(A212,'[2]LX COMPUTED'!A:A,'[2]LX COMPUTED'!W:W,"-",0)</f>
        <v>0.17489476806948645</v>
      </c>
      <c r="T212" s="5">
        <f>_xlfn.XLOOKUP(A212,'[2]LX COMPUTED'!A:A,'[2]LX COMPUTED'!AK:AK,"-",0)</f>
        <v>0.87249419130171346</v>
      </c>
      <c r="U212" s="5">
        <f>_xlfn.XLOOKUP(A212,'[2]LX COMPUTED'!A:A,'[2]LX COMPUTED'!AL:AL,"-",0)</f>
        <v>5.1002417800357525E-2</v>
      </c>
      <c r="V212" s="2">
        <f>_xlfn.XLOOKUP(A212,'[2]LX COMPUTED'!A:A,'[2]LX COMPUTED'!AE:AE,"-",0)</f>
        <v>0.57272421901242865</v>
      </c>
      <c r="W212" s="2">
        <f>_xlfn.XLOOKUP(A212,'[2]LX COMPUTED'!A:A,'[2]LX COMPUTED'!AF:AF,"-",0)</f>
        <v>1.8566840239672332E-2</v>
      </c>
    </row>
    <row r="213" spans="1:23" x14ac:dyDescent="0.2">
      <c r="A213" t="s">
        <v>52</v>
      </c>
      <c r="B213">
        <v>0.17</v>
      </c>
      <c r="C213">
        <v>45.409199999999998</v>
      </c>
      <c r="D213">
        <v>1.9208000000000001</v>
      </c>
      <c r="E213">
        <v>935</v>
      </c>
      <c r="F213">
        <v>4.4000000000000004</v>
      </c>
      <c r="G213">
        <v>0.41</v>
      </c>
      <c r="H213">
        <v>0.24</v>
      </c>
      <c r="I213">
        <v>0.11</v>
      </c>
      <c r="J213" t="s">
        <v>739</v>
      </c>
      <c r="K213">
        <v>1210</v>
      </c>
      <c r="L213">
        <v>1022</v>
      </c>
      <c r="M213">
        <v>1.2</v>
      </c>
      <c r="N213" s="5">
        <v>1.8199999999999999E-12</v>
      </c>
      <c r="O213" s="5">
        <v>1E-13</v>
      </c>
      <c r="P213" s="5">
        <f>_xlfn.XLOOKUP(A213,'[2]LX COMPUTED'!A:A,'[2]LX COMPUTED'!T:T,"-",0)</f>
        <v>1.579667761972684</v>
      </c>
      <c r="Q213" s="5">
        <f>_xlfn.XLOOKUP(A213,'[2]LX COMPUTED'!A:A,'[2]LX COMPUTED'!U:U,"-",0)</f>
        <v>8.9565247057450281E-2</v>
      </c>
      <c r="R213" s="5">
        <f>_xlfn.XLOOKUP(A213,'[2]LX COMPUTED'!A:A,'[2]LX COMPUTED'!V:V,"-",0)</f>
        <v>2.1880401573321886</v>
      </c>
      <c r="S213" s="5">
        <f>_xlfn.XLOOKUP(A213,'[2]LX COMPUTED'!A:A,'[2]LX COMPUTED'!W:W,"-",0)</f>
        <v>0.13533750788359017</v>
      </c>
      <c r="T213" s="5">
        <f>_xlfn.XLOOKUP(A213,'[2]LX COMPUTED'!A:A,'[2]LX COMPUTED'!AK:AK,"-",0)</f>
        <v>0.72707892953770603</v>
      </c>
      <c r="U213" s="5">
        <f>_xlfn.XLOOKUP(A213,'[2]LX COMPUTED'!A:A,'[2]LX COMPUTED'!AL:AL,"-",0)</f>
        <v>4.1224493860017898E-2</v>
      </c>
      <c r="V213" s="2">
        <f>_xlfn.XLOOKUP(A213,'[2]LX COMPUTED'!A:A,'[2]LX COMPUTED'!AE:AE,"-",0)</f>
        <v>0.68793840889649271</v>
      </c>
      <c r="W213" s="2">
        <f>_xlfn.XLOOKUP(A213,'[2]LX COMPUTED'!A:A,'[2]LX COMPUTED'!AF:AF,"-",0)</f>
        <v>1.3282036042199734E-2</v>
      </c>
    </row>
    <row r="214" spans="1:23" x14ac:dyDescent="0.2">
      <c r="A214" t="s">
        <v>53</v>
      </c>
      <c r="B214">
        <v>0.27400000000000002</v>
      </c>
      <c r="C214">
        <v>45.941299999999998</v>
      </c>
      <c r="D214">
        <v>-77.879199999999997</v>
      </c>
      <c r="E214">
        <v>1405</v>
      </c>
      <c r="F214">
        <v>9.5500000000000007</v>
      </c>
      <c r="G214">
        <v>0.96</v>
      </c>
      <c r="H214">
        <v>0.25</v>
      </c>
      <c r="I214">
        <v>0.09</v>
      </c>
      <c r="J214" t="s">
        <v>739</v>
      </c>
      <c r="K214">
        <v>1133</v>
      </c>
      <c r="L214">
        <v>1022</v>
      </c>
      <c r="M214">
        <v>1.1000000000000001</v>
      </c>
      <c r="N214" s="5">
        <v>2.6700000000000001E-12</v>
      </c>
      <c r="O214" s="5">
        <v>8.6E-14</v>
      </c>
      <c r="P214" s="5">
        <f>_xlfn.XLOOKUP(A214,'[2]LX COMPUTED'!A:A,'[2]LX COMPUTED'!T:T,"-",0)</f>
        <v>6.3160954460764742</v>
      </c>
      <c r="Q214" s="5">
        <f>_xlfn.XLOOKUP(A214,'[2]LX COMPUTED'!A:A,'[2]LX COMPUTED'!U:U,"-",0)</f>
        <v>0.203749933984261</v>
      </c>
      <c r="R214" s="5">
        <f>_xlfn.XLOOKUP(A214,'[2]LX COMPUTED'!A:A,'[2]LX COMPUTED'!V:V,"-",0)</f>
        <v>10.932336159216611</v>
      </c>
      <c r="S214" s="5">
        <f>_xlfn.XLOOKUP(A214,'[2]LX COMPUTED'!A:A,'[2]LX COMPUTED'!W:W,"-",0)</f>
        <v>0.7223047183260366</v>
      </c>
      <c r="T214" s="5">
        <f>_xlfn.XLOOKUP(A214,'[2]LX COMPUTED'!A:A,'[2]LX COMPUTED'!AK:AK,"-",0)</f>
        <v>2.3245613063354282</v>
      </c>
      <c r="U214" s="5">
        <f>_xlfn.XLOOKUP(A214,'[2]LX COMPUTED'!A:A,'[2]LX COMPUTED'!AL:AL,"-",0)</f>
        <v>7.4987659187833691E-2</v>
      </c>
      <c r="V214" s="2">
        <f>_xlfn.XLOOKUP(A214,'[2]LX COMPUTED'!A:A,'[2]LX COMPUTED'!AE:AE,"-",0)</f>
        <v>0.47679655374975527</v>
      </c>
      <c r="W214" s="2">
        <f>_xlfn.XLOOKUP(A214,'[2]LX COMPUTED'!A:A,'[2]LX COMPUTED'!AF:AF,"-",0)</f>
        <v>1.1222995919539118E-2</v>
      </c>
    </row>
    <row r="215" spans="1:23" x14ac:dyDescent="0.2">
      <c r="A215" t="s">
        <v>63</v>
      </c>
      <c r="B215">
        <v>0.188</v>
      </c>
      <c r="C215">
        <v>52.774999999999999</v>
      </c>
      <c r="D215">
        <v>-21.008900000000001</v>
      </c>
      <c r="E215">
        <v>1143</v>
      </c>
      <c r="F215">
        <v>6.1</v>
      </c>
      <c r="G215">
        <v>0.6</v>
      </c>
      <c r="H215">
        <v>0.13</v>
      </c>
      <c r="I215">
        <v>0.1</v>
      </c>
      <c r="J215" t="s">
        <v>739</v>
      </c>
      <c r="K215">
        <v>2669</v>
      </c>
      <c r="L215">
        <v>2047</v>
      </c>
      <c r="M215">
        <v>1.3</v>
      </c>
      <c r="N215" s="5">
        <v>2.1900000000000002E-12</v>
      </c>
      <c r="O215" s="5">
        <v>8.5000000000000004E-14</v>
      </c>
      <c r="P215" s="5">
        <f>_xlfn.XLOOKUP(A215,'[2]LX COMPUTED'!A:A,'[2]LX COMPUTED'!T:T,"-",0)</f>
        <v>2.2008752089586645</v>
      </c>
      <c r="Q215" s="5">
        <f>_xlfn.XLOOKUP(A215,'[2]LX COMPUTED'!A:A,'[2]LX COMPUTED'!U:U,"-",0)</f>
        <v>8.563078929695532E-2</v>
      </c>
      <c r="R215" s="5">
        <f>_xlfn.XLOOKUP(A215,'[2]LX COMPUTED'!A:A,'[2]LX COMPUTED'!V:V,"-",0)</f>
        <v>3.2733183322063555</v>
      </c>
      <c r="S215" s="5">
        <f>_xlfn.XLOOKUP(A215,'[2]LX COMPUTED'!A:A,'[2]LX COMPUTED'!W:W,"-",0)</f>
        <v>0.17297805863278029</v>
      </c>
      <c r="T215" s="5">
        <f>_xlfn.XLOOKUP(A215,'[2]LX COMPUTED'!A:A,'[2]LX COMPUTED'!AK:AK,"-",0)</f>
        <v>0.91716742020263353</v>
      </c>
      <c r="U215" s="5">
        <f>_xlfn.XLOOKUP(A215,'[2]LX COMPUTED'!A:A,'[2]LX COMPUTED'!AL:AL,"-",0)</f>
        <v>3.568479020969282E-2</v>
      </c>
      <c r="V215" s="2">
        <f>_xlfn.XLOOKUP(A215,'[2]LX COMPUTED'!A:A,'[2]LX COMPUTED'!AE:AE,"-",0)</f>
        <v>0.71528678951466396</v>
      </c>
      <c r="W215" s="2">
        <f>_xlfn.XLOOKUP(A215,'[2]LX COMPUTED'!A:A,'[2]LX COMPUTED'!AF:AF,"-",0)</f>
        <v>9.9602082920262278E-3</v>
      </c>
    </row>
    <row r="216" spans="1:23" x14ac:dyDescent="0.2">
      <c r="A216" t="s">
        <v>65</v>
      </c>
      <c r="B216">
        <v>7.0000000000000007E-2</v>
      </c>
      <c r="C216">
        <v>55.2241</v>
      </c>
      <c r="D216">
        <v>-45.6768</v>
      </c>
      <c r="E216">
        <v>741</v>
      </c>
      <c r="F216">
        <v>2.42</v>
      </c>
      <c r="G216">
        <v>0.42</v>
      </c>
      <c r="H216">
        <v>0.3</v>
      </c>
      <c r="I216">
        <v>0.18</v>
      </c>
      <c r="J216" t="s">
        <v>740</v>
      </c>
      <c r="K216">
        <v>1656</v>
      </c>
      <c r="L216">
        <v>1022</v>
      </c>
      <c r="M216">
        <v>1.6</v>
      </c>
      <c r="N216" s="5">
        <v>1.28E-12</v>
      </c>
      <c r="O216" s="5">
        <v>1.4000000000000001E-13</v>
      </c>
      <c r="P216" s="5">
        <f>_xlfn.XLOOKUP(A216,'[2]LX COMPUTED'!A:A,'[2]LX COMPUTED'!T:T,"-",0)</f>
        <v>0.15965694518330761</v>
      </c>
      <c r="Q216" s="5">
        <f>_xlfn.XLOOKUP(A216,'[2]LX COMPUTED'!A:A,'[2]LX COMPUTED'!U:U,"-",0)</f>
        <v>1.786703817375369E-2</v>
      </c>
      <c r="R216" s="5">
        <f>_xlfn.XLOOKUP(A216,'[2]LX COMPUTED'!A:A,'[2]LX COMPUTED'!V:V,"-",0)</f>
        <v>0.21375123380123637</v>
      </c>
      <c r="S216" s="5">
        <f>_xlfn.XLOOKUP(A216,'[2]LX COMPUTED'!A:A,'[2]LX COMPUTED'!W:W,"-",0)</f>
        <v>2.4519403638143145E-2</v>
      </c>
      <c r="T216" s="5">
        <f>_xlfn.XLOOKUP(A216,'[2]LX COMPUTED'!A:A,'[2]LX COMPUTED'!AK:AK,"-",0)</f>
        <v>9.3783855748699366E-2</v>
      </c>
      <c r="U216" s="5">
        <f>_xlfn.XLOOKUP(A216,'[2]LX COMPUTED'!A:A,'[2]LX COMPUTED'!AL:AL,"-",0)</f>
        <v>1.0495251107428879E-2</v>
      </c>
      <c r="V216" s="2">
        <f>_xlfn.XLOOKUP(A216,'[2]LX COMPUTED'!A:A,'[2]LX COMPUTED'!AE:AE,"-",0)</f>
        <v>0.25131810193321619</v>
      </c>
      <c r="W216" s="2">
        <f>_xlfn.XLOOKUP(A216,'[2]LX COMPUTED'!A:A,'[2]LX COMPUTED'!AF:AF,"-",0)</f>
        <v>3.4460650614840556E-2</v>
      </c>
    </row>
    <row r="217" spans="1:23" x14ac:dyDescent="0.2">
      <c r="A217" t="s">
        <v>68</v>
      </c>
      <c r="B217">
        <v>0.109</v>
      </c>
      <c r="C217">
        <v>58.245699999999999</v>
      </c>
      <c r="D217">
        <v>19.683</v>
      </c>
      <c r="E217">
        <v>863</v>
      </c>
      <c r="F217">
        <v>2.94</v>
      </c>
      <c r="G217">
        <v>0.68</v>
      </c>
      <c r="H217">
        <v>0.26</v>
      </c>
      <c r="I217">
        <v>0.12</v>
      </c>
      <c r="J217" t="s">
        <v>740</v>
      </c>
      <c r="K217">
        <v>1133</v>
      </c>
      <c r="L217">
        <v>1022</v>
      </c>
      <c r="M217">
        <v>1.1000000000000001</v>
      </c>
      <c r="N217" s="5">
        <v>2.6499999999999998E-12</v>
      </c>
      <c r="O217" s="5">
        <v>1.1999999999999999E-13</v>
      </c>
      <c r="P217" s="5">
        <f>_xlfn.XLOOKUP(A217,'[2]LX COMPUTED'!A:A,'[2]LX COMPUTED'!T:T,"-",0)</f>
        <v>0.98896344390938529</v>
      </c>
      <c r="Q217" s="5">
        <f>_xlfn.XLOOKUP(A217,'[2]LX COMPUTED'!A:A,'[2]LX COMPUTED'!U:U,"-",0)</f>
        <v>4.4542900051525315E-2</v>
      </c>
      <c r="R217" s="5">
        <f>_xlfn.XLOOKUP(A217,'[2]LX COMPUTED'!A:A,'[2]LX COMPUTED'!V:V,"-",0)</f>
        <v>1.3213844755602333</v>
      </c>
      <c r="S217" s="5">
        <f>_xlfn.XLOOKUP(A217,'[2]LX COMPUTED'!A:A,'[2]LX COMPUTED'!W:W,"-",0)</f>
        <v>8.0449769146461278E-2</v>
      </c>
      <c r="T217" s="5">
        <f>_xlfn.XLOOKUP(A217,'[2]LX COMPUTED'!A:A,'[2]LX COMPUTED'!AK:AK,"-",0)</f>
        <v>0.53277242948730885</v>
      </c>
      <c r="U217" s="5">
        <f>_xlfn.XLOOKUP(A217,'[2]LX COMPUTED'!A:A,'[2]LX COMPUTED'!AL:AL,"-",0)</f>
        <v>2.3996062971803751E-2</v>
      </c>
      <c r="V217" s="2">
        <f>_xlfn.XLOOKUP(A217,'[2]LX COMPUTED'!A:A,'[2]LX COMPUTED'!AE:AE,"-",0)</f>
        <v>0.7241558982909545</v>
      </c>
      <c r="W217" s="2">
        <f>_xlfn.XLOOKUP(A217,'[2]LX COMPUTED'!A:A,'[2]LX COMPUTED'!AF:AF,"-",0)</f>
        <v>9.9581160139431222E-3</v>
      </c>
    </row>
    <row r="218" spans="1:23" x14ac:dyDescent="0.2">
      <c r="A218" t="s">
        <v>73</v>
      </c>
      <c r="B218">
        <v>0.04</v>
      </c>
      <c r="C218">
        <v>66.463399999999993</v>
      </c>
      <c r="D218">
        <v>-8.5603999999999996</v>
      </c>
      <c r="E218">
        <v>868</v>
      </c>
      <c r="F218">
        <v>3.08</v>
      </c>
      <c r="G218">
        <v>0.15</v>
      </c>
      <c r="H218">
        <v>0.26</v>
      </c>
      <c r="I218">
        <v>0.09</v>
      </c>
      <c r="J218" t="s">
        <v>740</v>
      </c>
      <c r="K218">
        <v>2896</v>
      </c>
      <c r="L218">
        <v>1022</v>
      </c>
      <c r="M218">
        <v>2.8</v>
      </c>
      <c r="N218" s="5">
        <v>8.4799999999999994E-12</v>
      </c>
      <c r="O218" s="5">
        <v>4.1000000000000002E-13</v>
      </c>
      <c r="P218" s="5">
        <f>_xlfn.XLOOKUP(A218,'[2]LX COMPUTED'!A:A,'[2]LX COMPUTED'!T:T,"-",0)</f>
        <v>0.36461261704618098</v>
      </c>
      <c r="Q218" s="5">
        <f>_xlfn.XLOOKUP(A218,'[2]LX COMPUTED'!A:A,'[2]LX COMPUTED'!U:U,"-",0)</f>
        <v>1.751793196913096E-2</v>
      </c>
      <c r="R218" s="5">
        <f>_xlfn.XLOOKUP(A218,'[2]LX COMPUTED'!A:A,'[2]LX COMPUTED'!V:V,"-",0)</f>
        <v>0.48832181995403051</v>
      </c>
      <c r="S218" s="5">
        <f>_xlfn.XLOOKUP(A218,'[2]LX COMPUTED'!A:A,'[2]LX COMPUTED'!W:W,"-",0)</f>
        <v>2.3867607950085992E-2</v>
      </c>
      <c r="T218" s="5">
        <f>_xlfn.XLOOKUP(A218,'[2]LX COMPUTED'!A:A,'[2]LX COMPUTED'!AK:AK,"-",0)</f>
        <v>0.1928962045277865</v>
      </c>
      <c r="U218" s="5">
        <f>_xlfn.XLOOKUP(A218,'[2]LX COMPUTED'!A:A,'[2]LX COMPUTED'!AL:AL,"-",0)</f>
        <v>9.2677609880772189E-3</v>
      </c>
      <c r="V218" s="2">
        <f>_xlfn.XLOOKUP(A218,'[2]LX COMPUTED'!A:A,'[2]LX COMPUTED'!AE:AE,"-",0)</f>
        <v>0.66147704590818368</v>
      </c>
      <c r="W218" s="2">
        <f>_xlfn.XLOOKUP(A218,'[2]LX COMPUTED'!A:A,'[2]LX COMPUTED'!AF:AF,"-",0)</f>
        <v>1.2903684290844018E-2</v>
      </c>
    </row>
    <row r="219" spans="1:23" x14ac:dyDescent="0.2">
      <c r="A219" t="s">
        <v>432</v>
      </c>
      <c r="B219">
        <v>0.28499999999999998</v>
      </c>
      <c r="C219">
        <v>69.2898</v>
      </c>
      <c r="D219">
        <v>0.73219999999999996</v>
      </c>
      <c r="E219">
        <v>1162</v>
      </c>
      <c r="F219">
        <v>6.67</v>
      </c>
      <c r="G219">
        <v>0.6</v>
      </c>
      <c r="H219">
        <v>0.26</v>
      </c>
      <c r="I219">
        <v>0.08</v>
      </c>
      <c r="J219" t="s">
        <v>739</v>
      </c>
      <c r="K219">
        <v>2464</v>
      </c>
      <c r="L219">
        <v>2047</v>
      </c>
      <c r="M219">
        <v>1.2</v>
      </c>
      <c r="N219" s="5">
        <v>1.66E-12</v>
      </c>
      <c r="O219" s="5">
        <v>5.9000000000000001E-14</v>
      </c>
      <c r="P219" s="5">
        <f>_xlfn.XLOOKUP(A219,'[2]LX COMPUTED'!A:A,'[2]LX COMPUTED'!T:T,"-",0)</f>
        <v>4.3283408548123035</v>
      </c>
      <c r="Q219" s="5">
        <f>_xlfn.XLOOKUP(A219,'[2]LX COMPUTED'!A:A,'[2]LX COMPUTED'!U:U,"-",0)</f>
        <v>0.15420470428776578</v>
      </c>
      <c r="R219" s="5">
        <f>_xlfn.XLOOKUP(A219,'[2]LX COMPUTED'!A:A,'[2]LX COMPUTED'!V:V,"-",0)</f>
        <v>6.5984551910682256</v>
      </c>
      <c r="S219" s="5">
        <f>_xlfn.XLOOKUP(A219,'[2]LX COMPUTED'!A:A,'[2]LX COMPUTED'!W:W,"-",0)</f>
        <v>0.33335833803523618</v>
      </c>
      <c r="T219" s="5">
        <f>_xlfn.XLOOKUP(A219,'[2]LX COMPUTED'!A:A,'[2]LX COMPUTED'!AK:AK,"-",0)</f>
        <v>1.7412605209032681</v>
      </c>
      <c r="U219" s="5">
        <f>_xlfn.XLOOKUP(A219,'[2]LX COMPUTED'!A:A,'[2]LX COMPUTED'!AL:AL,"-",0)</f>
        <v>6.2035447928116855E-2</v>
      </c>
      <c r="V219" s="2">
        <f>_xlfn.XLOOKUP(A219,'[2]LX COMPUTED'!A:A,'[2]LX COMPUTED'!AE:AE,"-",0)</f>
        <v>0.61634637647603607</v>
      </c>
      <c r="W219" s="2">
        <f>_xlfn.XLOOKUP(A219,'[2]LX COMPUTED'!A:A,'[2]LX COMPUTED'!AF:AF,"-",0)</f>
        <v>9.3884646803141601E-3</v>
      </c>
    </row>
    <row r="220" spans="1:23" x14ac:dyDescent="0.2">
      <c r="A220" t="s">
        <v>76</v>
      </c>
      <c r="B220">
        <v>0.20799999999999999</v>
      </c>
      <c r="C220">
        <v>69.759</v>
      </c>
      <c r="D220">
        <v>5.3453999999999997</v>
      </c>
      <c r="E220">
        <v>972</v>
      </c>
      <c r="F220">
        <v>5.0199999999999996</v>
      </c>
      <c r="G220">
        <v>0.52</v>
      </c>
      <c r="H220">
        <v>0.17</v>
      </c>
      <c r="I220">
        <v>0.1</v>
      </c>
      <c r="J220" t="s">
        <v>739</v>
      </c>
      <c r="K220">
        <v>2350</v>
      </c>
      <c r="L220">
        <v>2047</v>
      </c>
      <c r="M220">
        <v>1.1000000000000001</v>
      </c>
      <c r="N220" s="5">
        <v>1.2999999999999999E-12</v>
      </c>
      <c r="O220" s="5">
        <v>7.6000000000000004E-14</v>
      </c>
      <c r="P220" s="5">
        <f>_xlfn.XLOOKUP(A220,'[2]LX COMPUTED'!A:A,'[2]LX COMPUTED'!T:T,"-",0)</f>
        <v>1.8101363151866556</v>
      </c>
      <c r="Q220" s="5">
        <f>_xlfn.XLOOKUP(A220,'[2]LX COMPUTED'!A:A,'[2]LX COMPUTED'!U:U,"-",0)</f>
        <v>0.10677909260272672</v>
      </c>
      <c r="R220" s="5">
        <f>_xlfn.XLOOKUP(A220,'[2]LX COMPUTED'!A:A,'[2]LX COMPUTED'!V:V,"-",0)</f>
        <v>2.5715580441706027</v>
      </c>
      <c r="S220" s="5">
        <f>_xlfn.XLOOKUP(A220,'[2]LX COMPUTED'!A:A,'[2]LX COMPUTED'!W:W,"-",0)</f>
        <v>0.17146201818036344</v>
      </c>
      <c r="T220" s="5">
        <f>_xlfn.XLOOKUP(A220,'[2]LX COMPUTED'!A:A,'[2]LX COMPUTED'!AK:AK,"-",0)</f>
        <v>0.80020923994656756</v>
      </c>
      <c r="U220" s="5">
        <f>_xlfn.XLOOKUP(A220,'[2]LX COMPUTED'!A:A,'[2]LX COMPUTED'!AL:AL,"-",0)</f>
        <v>4.7203967909456156E-2</v>
      </c>
      <c r="V220" s="2">
        <f>_xlfn.XLOOKUP(A220,'[2]LX COMPUTED'!A:A,'[2]LX COMPUTED'!AE:AE,"-",0)</f>
        <v>0.73371686870762276</v>
      </c>
      <c r="W220" s="2">
        <f>_xlfn.XLOOKUP(A220,'[2]LX COMPUTED'!A:A,'[2]LX COMPUTED'!AF:AF,"-",0)</f>
        <v>1.3002569314832815E-2</v>
      </c>
    </row>
    <row r="221" spans="1:23" x14ac:dyDescent="0.2">
      <c r="A221" t="s">
        <v>75</v>
      </c>
      <c r="B221">
        <v>0.23</v>
      </c>
      <c r="C221">
        <v>69.752300000000005</v>
      </c>
      <c r="D221">
        <v>7.2683999999999997</v>
      </c>
      <c r="E221">
        <v>1137</v>
      </c>
      <c r="F221">
        <v>6.34</v>
      </c>
      <c r="G221">
        <v>0.56000000000000005</v>
      </c>
      <c r="H221">
        <v>0.28999999999999998</v>
      </c>
      <c r="I221">
        <v>0.09</v>
      </c>
      <c r="J221" t="s">
        <v>739</v>
      </c>
      <c r="K221">
        <v>1130</v>
      </c>
      <c r="L221">
        <v>1022</v>
      </c>
      <c r="M221">
        <v>1.1000000000000001</v>
      </c>
      <c r="N221" s="5">
        <v>2.9000000000000002E-12</v>
      </c>
      <c r="O221" s="5">
        <v>1E-13</v>
      </c>
      <c r="P221" s="5">
        <f>_xlfn.XLOOKUP(A221,'[2]LX COMPUTED'!A:A,'[2]LX COMPUTED'!T:T,"-",0)</f>
        <v>4.821192353507965</v>
      </c>
      <c r="Q221" s="5">
        <f>_xlfn.XLOOKUP(A221,'[2]LX COMPUTED'!A:A,'[2]LX COMPUTED'!U:U,"-",0)</f>
        <v>0.16878835899128472</v>
      </c>
      <c r="R221" s="5">
        <f>_xlfn.XLOOKUP(A221,'[2]LX COMPUTED'!A:A,'[2]LX COMPUTED'!V:V,"-",0)</f>
        <v>7.2344455545704545</v>
      </c>
      <c r="S221" s="5">
        <f>_xlfn.XLOOKUP(A221,'[2]LX COMPUTED'!A:A,'[2]LX COMPUTED'!W:W,"-",0)</f>
        <v>0.35074817496079796</v>
      </c>
      <c r="T221" s="5">
        <f>_xlfn.XLOOKUP(A221,'[2]LX COMPUTED'!A:A,'[2]LX COMPUTED'!AK:AK,"-",0)</f>
        <v>1.9609318288424471</v>
      </c>
      <c r="U221" s="5">
        <f>_xlfn.XLOOKUP(A221,'[2]LX COMPUTED'!A:A,'[2]LX COMPUTED'!AL:AL,"-",0)</f>
        <v>6.8651578533942562E-2</v>
      </c>
      <c r="V221" s="2">
        <f>_xlfn.XLOOKUP(A221,'[2]LX COMPUTED'!A:A,'[2]LX COMPUTED'!AE:AE,"-",0)</f>
        <v>0.55384378370050835</v>
      </c>
      <c r="W221" s="2">
        <f>_xlfn.XLOOKUP(A221,'[2]LX COMPUTED'!A:A,'[2]LX COMPUTED'!AF:AF,"-",0)</f>
        <v>1.0137284710437223E-2</v>
      </c>
    </row>
    <row r="222" spans="1:23" x14ac:dyDescent="0.2">
      <c r="A222" t="s">
        <v>438</v>
      </c>
      <c r="B222">
        <v>0.55000000000000004</v>
      </c>
      <c r="C222">
        <v>73.5471</v>
      </c>
      <c r="D222">
        <v>-3.0158999999999998</v>
      </c>
      <c r="E222">
        <v>1280</v>
      </c>
      <c r="F222">
        <v>10.97</v>
      </c>
      <c r="G222">
        <v>0.79</v>
      </c>
      <c r="H222">
        <v>0.2</v>
      </c>
      <c r="I222">
        <v>0.09</v>
      </c>
      <c r="J222" t="s">
        <v>739</v>
      </c>
      <c r="K222">
        <v>1407</v>
      </c>
      <c r="L222">
        <v>1022</v>
      </c>
      <c r="M222">
        <v>1.4</v>
      </c>
      <c r="N222" s="5">
        <v>1.3100000000000001E-12</v>
      </c>
      <c r="O222" s="5">
        <v>2.5000000000000001E-14</v>
      </c>
      <c r="P222" s="5">
        <f>_xlfn.XLOOKUP(A222,'[2]LX COMPUTED'!A:A,'[2]LX COMPUTED'!T:T,"-",0)</f>
        <v>14.22695914641425</v>
      </c>
      <c r="Q222" s="5">
        <f>_xlfn.XLOOKUP(A222,'[2]LX COMPUTED'!A:A,'[2]LX COMPUTED'!U:U,"-",0)</f>
        <v>0.27346680650009181</v>
      </c>
      <c r="R222" s="5">
        <f>_xlfn.XLOOKUP(A222,'[2]LX COMPUTED'!A:A,'[2]LX COMPUTED'!V:V,"-",0)</f>
        <v>26.096874343432809</v>
      </c>
      <c r="S222" s="5">
        <f>_xlfn.XLOOKUP(A222,'[2]LX COMPUTED'!A:A,'[2]LX COMPUTED'!W:W,"-",0)</f>
        <v>1.3406390341161956</v>
      </c>
      <c r="T222" s="5">
        <f>_xlfn.XLOOKUP(A222,'[2]LX COMPUTED'!A:A,'[2]LX COMPUTED'!AK:AK,"-",0)</f>
        <v>5.1239651498207257</v>
      </c>
      <c r="U222" s="5">
        <f>_xlfn.XLOOKUP(A222,'[2]LX COMPUTED'!A:A,'[2]LX COMPUTED'!AL:AL,"-",0)</f>
        <v>9.8491488709476202E-2</v>
      </c>
      <c r="V222" s="2">
        <f>_xlfn.XLOOKUP(A222,'[2]LX COMPUTED'!A:A,'[2]LX COMPUTED'!AE:AE,"-",0)</f>
        <v>0.45819536423841056</v>
      </c>
      <c r="W222" s="2">
        <f>_xlfn.XLOOKUP(A222,'[2]LX COMPUTED'!A:A,'[2]LX COMPUTED'!AF:AF,"-",0)</f>
        <v>7.2630276936663839E-3</v>
      </c>
    </row>
    <row r="223" spans="1:23" x14ac:dyDescent="0.2">
      <c r="A223" t="s">
        <v>442</v>
      </c>
      <c r="B223">
        <v>0.22</v>
      </c>
      <c r="C223">
        <v>77.698499999999996</v>
      </c>
      <c r="D223">
        <v>-8.0274999999999999</v>
      </c>
      <c r="E223">
        <v>1243</v>
      </c>
      <c r="F223">
        <v>7.29</v>
      </c>
      <c r="G223">
        <v>0.52</v>
      </c>
      <c r="H223">
        <v>0.3</v>
      </c>
      <c r="I223">
        <v>7.0000000000000007E-2</v>
      </c>
      <c r="J223" t="s">
        <v>739</v>
      </c>
      <c r="K223">
        <v>1099</v>
      </c>
      <c r="L223">
        <v>1022</v>
      </c>
      <c r="M223">
        <v>1.1000000000000001</v>
      </c>
      <c r="N223" s="5">
        <v>5.2099999999999998E-12</v>
      </c>
      <c r="O223" s="5">
        <v>1.4999999999999999E-13</v>
      </c>
      <c r="P223" s="5">
        <f>_xlfn.XLOOKUP(A223,'[2]LX COMPUTED'!A:A,'[2]LX COMPUTED'!T:T,"-",0)</f>
        <v>7.6212736930471534</v>
      </c>
      <c r="Q223" s="5">
        <f>_xlfn.XLOOKUP(A223,'[2]LX COMPUTED'!A:A,'[2]LX COMPUTED'!U:U,"-",0)</f>
        <v>0.21964966540592709</v>
      </c>
      <c r="R223" s="5">
        <f>_xlfn.XLOOKUP(A223,'[2]LX COMPUTED'!A:A,'[2]LX COMPUTED'!V:V,"-",0)</f>
        <v>11.938386805945031</v>
      </c>
      <c r="S223" s="5">
        <f>_xlfn.XLOOKUP(A223,'[2]LX COMPUTED'!A:A,'[2]LX COMPUTED'!W:W,"-",0)</f>
        <v>0.50865531900314909</v>
      </c>
      <c r="T223" s="5">
        <f>_xlfn.XLOOKUP(A223,'[2]LX COMPUTED'!A:A,'[2]LX COMPUTED'!AK:AK,"-",0)</f>
        <v>2.9787068404135515</v>
      </c>
      <c r="U223" s="5">
        <f>_xlfn.XLOOKUP(A223,'[2]LX COMPUTED'!A:A,'[2]LX COMPUTED'!AL:AL,"-",0)</f>
        <v>8.5848112427201195E-2</v>
      </c>
      <c r="V223" s="2">
        <f>_xlfn.XLOOKUP(A223,'[2]LX COMPUTED'!A:A,'[2]LX COMPUTED'!AE:AE,"-",0)</f>
        <v>0.36119293078055964</v>
      </c>
      <c r="W223" s="2">
        <f>_xlfn.XLOOKUP(A223,'[2]LX COMPUTED'!A:A,'[2]LX COMPUTED'!AF:AF,"-",0)</f>
        <v>1.0217204306919142E-2</v>
      </c>
    </row>
    <row r="224" spans="1:23" x14ac:dyDescent="0.2">
      <c r="A224" t="s">
        <v>88</v>
      </c>
      <c r="B224">
        <v>0.158</v>
      </c>
      <c r="C224">
        <v>82.060699999999997</v>
      </c>
      <c r="D224">
        <v>-29.721900000000002</v>
      </c>
      <c r="E224">
        <v>971</v>
      </c>
      <c r="F224">
        <v>4.63</v>
      </c>
      <c r="G224">
        <v>0.33</v>
      </c>
      <c r="H224">
        <v>0.73</v>
      </c>
      <c r="I224">
        <v>0.16</v>
      </c>
      <c r="J224" t="s">
        <v>739</v>
      </c>
      <c r="K224">
        <v>1237</v>
      </c>
      <c r="L224">
        <v>1022</v>
      </c>
      <c r="M224">
        <v>1.2</v>
      </c>
      <c r="N224" s="5">
        <v>2.0600000000000001E-12</v>
      </c>
      <c r="O224" s="5">
        <v>1.1E-13</v>
      </c>
      <c r="P224" s="5">
        <f>_xlfn.XLOOKUP(A224,'[2]LX COMPUTED'!A:A,'[2]LX COMPUTED'!T:T,"-",0)</f>
        <v>1.4340275477010427</v>
      </c>
      <c r="Q224" s="5">
        <f>_xlfn.XLOOKUP(A224,'[2]LX COMPUTED'!A:A,'[2]LX COMPUTED'!U:U,"-",0)</f>
        <v>7.5068921131240154E-2</v>
      </c>
      <c r="R224" s="5">
        <f>_xlfn.XLOOKUP(A224,'[2]LX COMPUTED'!A:A,'[2]LX COMPUTED'!V:V,"-",0)</f>
        <v>1.977527533892848</v>
      </c>
      <c r="S224" s="5">
        <f>_xlfn.XLOOKUP(A224,'[2]LX COMPUTED'!A:A,'[2]LX COMPUTED'!W:W,"-",0)</f>
        <v>0.110469221882044</v>
      </c>
      <c r="T224" s="5">
        <f>_xlfn.XLOOKUP(A224,'[2]LX COMPUTED'!A:A,'[2]LX COMPUTED'!AK:AK,"-",0)</f>
        <v>0.62570479424291314</v>
      </c>
      <c r="U224" s="5">
        <f>_xlfn.XLOOKUP(A224,'[2]LX COMPUTED'!A:A,'[2]LX COMPUTED'!AL:AL,"-",0)</f>
        <v>3.2754589635158336E-2</v>
      </c>
      <c r="V224" s="2">
        <f>_xlfn.XLOOKUP(A224,'[2]LX COMPUTED'!A:A,'[2]LX COMPUTED'!AE:AE,"-",0)</f>
        <v>0.40984544934172867</v>
      </c>
      <c r="W224" s="2">
        <f>_xlfn.XLOOKUP(A224,'[2]LX COMPUTED'!A:A,'[2]LX COMPUTED'!AF:AF,"-",0)</f>
        <v>1.830887426856672E-2</v>
      </c>
    </row>
    <row r="225" spans="1:23" x14ac:dyDescent="0.2">
      <c r="A225" t="s">
        <v>448</v>
      </c>
      <c r="B225">
        <v>0.27500000000000002</v>
      </c>
      <c r="C225">
        <v>83.231399999999994</v>
      </c>
      <c r="D225">
        <v>-37.026400000000002</v>
      </c>
      <c r="E225">
        <v>1357</v>
      </c>
      <c r="F225">
        <v>9.2799999999999994</v>
      </c>
      <c r="G225">
        <v>1.1000000000000001</v>
      </c>
      <c r="H225">
        <v>0.09</v>
      </c>
      <c r="I225">
        <v>0.1</v>
      </c>
      <c r="J225" t="s">
        <v>739</v>
      </c>
      <c r="K225">
        <v>1133</v>
      </c>
      <c r="L225">
        <v>1022</v>
      </c>
      <c r="M225">
        <v>1.1000000000000001</v>
      </c>
      <c r="N225" s="5">
        <v>2.6299999999999999E-12</v>
      </c>
      <c r="O225" s="5">
        <v>8.0999999999999996E-14</v>
      </c>
      <c r="P225" s="5">
        <f>_xlfn.XLOOKUP(A225,'[2]LX COMPUTED'!A:A,'[2]LX COMPUTED'!T:T,"-",0)</f>
        <v>5.9245127360624537</v>
      </c>
      <c r="Q225" s="5">
        <f>_xlfn.XLOOKUP(A225,'[2]LX COMPUTED'!A:A,'[2]LX COMPUTED'!U:U,"-",0)</f>
        <v>0.18187166333953855</v>
      </c>
      <c r="R225" s="5">
        <f>_xlfn.XLOOKUP(A225,'[2]LX COMPUTED'!A:A,'[2]LX COMPUTED'!V:V,"-",0)</f>
        <v>10.149115330386886</v>
      </c>
      <c r="S225" s="5">
        <f>_xlfn.XLOOKUP(A225,'[2]LX COMPUTED'!A:A,'[2]LX COMPUTED'!W:W,"-",0)</f>
        <v>0.73930581683739971</v>
      </c>
      <c r="T225" s="5">
        <f>_xlfn.XLOOKUP(A225,'[2]LX COMPUTED'!A:A,'[2]LX COMPUTED'!AK:AK,"-",0)</f>
        <v>2.2254367989497825</v>
      </c>
      <c r="U225" s="5">
        <f>_xlfn.XLOOKUP(A225,'[2]LX COMPUTED'!A:A,'[2]LX COMPUTED'!AL:AL,"-",0)</f>
        <v>6.8316823731062792E-2</v>
      </c>
      <c r="V225" s="2">
        <f>_xlfn.XLOOKUP(A225,'[2]LX COMPUTED'!A:A,'[2]LX COMPUTED'!AE:AE,"-",0)</f>
        <v>0.55860097528165464</v>
      </c>
      <c r="W225" s="2">
        <f>_xlfn.XLOOKUP(A225,'[2]LX COMPUTED'!A:A,'[2]LX COMPUTED'!AF:AF,"-",0)</f>
        <v>1.0060227029535957E-2</v>
      </c>
    </row>
    <row r="226" spans="1:23" x14ac:dyDescent="0.2">
      <c r="A226" t="s">
        <v>451</v>
      </c>
      <c r="B226">
        <v>0.21</v>
      </c>
      <c r="C226">
        <v>86.756299999999996</v>
      </c>
      <c r="D226">
        <v>-39.073999999999998</v>
      </c>
      <c r="E226">
        <v>986</v>
      </c>
      <c r="F226">
        <v>5.04</v>
      </c>
      <c r="G226">
        <v>0.76</v>
      </c>
      <c r="H226">
        <v>0</v>
      </c>
      <c r="I226">
        <v>0.09</v>
      </c>
      <c r="J226" t="s">
        <v>739</v>
      </c>
      <c r="K226">
        <v>1351</v>
      </c>
      <c r="L226">
        <v>1022</v>
      </c>
      <c r="M226">
        <v>1.3</v>
      </c>
      <c r="N226" s="5">
        <v>6.1000000000000003E-13</v>
      </c>
      <c r="O226" s="5">
        <v>4.1999999999999998E-14</v>
      </c>
      <c r="P226" s="5">
        <f>_xlfn.XLOOKUP(A226,'[2]LX COMPUTED'!A:A,'[2]LX COMPUTED'!T:T,"-",0)</f>
        <v>0.79402594403039906</v>
      </c>
      <c r="Q226" s="5">
        <f>_xlfn.XLOOKUP(A226,'[2]LX COMPUTED'!A:A,'[2]LX COMPUTED'!U:U,"-",0)</f>
        <v>5.4785813608252708E-2</v>
      </c>
      <c r="R226" s="5">
        <f>_xlfn.XLOOKUP(A226,'[2]LX COMPUTED'!A:A,'[2]LX COMPUTED'!V:V,"-",0)</f>
        <v>1.1340547113542361</v>
      </c>
      <c r="S226" s="5">
        <f>_xlfn.XLOOKUP(A226,'[2]LX COMPUTED'!A:A,'[2]LX COMPUTED'!W:W,"-",0)</f>
        <v>9.3753806380447252E-2</v>
      </c>
      <c r="T226" s="5">
        <f>_xlfn.XLOOKUP(A226,'[2]LX COMPUTED'!A:A,'[2]LX COMPUTED'!AK:AK,"-",0)</f>
        <v>0.35589784750188386</v>
      </c>
      <c r="U226" s="5">
        <f>_xlfn.XLOOKUP(A226,'[2]LX COMPUTED'!A:A,'[2]LX COMPUTED'!AL:AL,"-",0)</f>
        <v>2.455606555857081E-2</v>
      </c>
      <c r="V226" s="2">
        <f>_xlfn.XLOOKUP(A226,'[2]LX COMPUTED'!A:A,'[2]LX COMPUTED'!AE:AE,"-",0)</f>
        <v>0.72895368477197975</v>
      </c>
      <c r="W226" s="2">
        <f>_xlfn.XLOOKUP(A226,'[2]LX COMPUTED'!A:A,'[2]LX COMPUTED'!AF:AF,"-",0)</f>
        <v>1.500986021628645E-2</v>
      </c>
    </row>
    <row r="227" spans="1:23" x14ac:dyDescent="0.2">
      <c r="A227" t="s">
        <v>120</v>
      </c>
      <c r="B227">
        <v>0.11899999999999999</v>
      </c>
      <c r="C227">
        <v>124.858</v>
      </c>
      <c r="D227">
        <v>63.623800000000003</v>
      </c>
      <c r="E227">
        <v>853</v>
      </c>
      <c r="F227">
        <v>3.49</v>
      </c>
      <c r="G227">
        <v>0.36</v>
      </c>
      <c r="H227">
        <v>0.1</v>
      </c>
      <c r="I227">
        <v>0.09</v>
      </c>
      <c r="J227" t="s">
        <v>739</v>
      </c>
      <c r="K227">
        <v>1263</v>
      </c>
      <c r="L227">
        <v>1022</v>
      </c>
      <c r="M227">
        <v>1.2</v>
      </c>
      <c r="N227" s="5">
        <v>1.67E-12</v>
      </c>
      <c r="O227" s="5">
        <v>1.1E-13</v>
      </c>
      <c r="P227" s="5">
        <f>_xlfn.XLOOKUP(A227,'[2]LX COMPUTED'!A:A,'[2]LX COMPUTED'!T:T,"-",0)</f>
        <v>0.66396081170307808</v>
      </c>
      <c r="Q227" s="5">
        <f>_xlfn.XLOOKUP(A227,'[2]LX COMPUTED'!A:A,'[2]LX COMPUTED'!U:U,"-",0)</f>
        <v>4.185785411642659E-2</v>
      </c>
      <c r="R227" s="5">
        <f>_xlfn.XLOOKUP(A227,'[2]LX COMPUTED'!A:A,'[2]LX COMPUTED'!V:V,"-",0)</f>
        <v>0.90189979882657845</v>
      </c>
      <c r="S227" s="5">
        <f>_xlfn.XLOOKUP(A227,'[2]LX COMPUTED'!A:A,'[2]LX COMPUTED'!W:W,"-",0)</f>
        <v>6.0155736775966771E-2</v>
      </c>
      <c r="T227" s="5">
        <f>_xlfn.XLOOKUP(A227,'[2]LX COMPUTED'!A:A,'[2]LX COMPUTED'!AK:AK,"-",0)</f>
        <v>0.33668606264340839</v>
      </c>
      <c r="U227" s="5">
        <f>_xlfn.XLOOKUP(A227,'[2]LX COMPUTED'!A:A,'[2]LX COMPUTED'!AL:AL,"-",0)</f>
        <v>2.1225584168157494E-2</v>
      </c>
      <c r="V227" s="2">
        <f>_xlfn.XLOOKUP(A227,'[2]LX COMPUTED'!A:A,'[2]LX COMPUTED'!AE:AE,"-",0)</f>
        <v>0.51255107997664917</v>
      </c>
      <c r="W227" s="2">
        <f>_xlfn.XLOOKUP(A227,'[2]LX COMPUTED'!A:A,'[2]LX COMPUTED'!AF:AF,"-",0)</f>
        <v>2.1138434703194386E-2</v>
      </c>
    </row>
    <row r="228" spans="1:23" x14ac:dyDescent="0.2">
      <c r="A228" t="s">
        <v>145</v>
      </c>
      <c r="B228">
        <v>0.154</v>
      </c>
      <c r="C228">
        <v>150.13069999999999</v>
      </c>
      <c r="D228">
        <v>44.145800000000001</v>
      </c>
      <c r="E228">
        <v>841</v>
      </c>
      <c r="F228">
        <v>3.3</v>
      </c>
      <c r="G228">
        <v>0.3</v>
      </c>
      <c r="H228">
        <v>0.27</v>
      </c>
      <c r="I228">
        <v>0.12</v>
      </c>
      <c r="J228" t="s">
        <v>739</v>
      </c>
      <c r="K228">
        <v>1275</v>
      </c>
      <c r="L228">
        <v>1022</v>
      </c>
      <c r="M228">
        <v>1.2</v>
      </c>
      <c r="N228" s="5">
        <v>1.3899999999999999E-12</v>
      </c>
      <c r="O228" s="5">
        <v>1.1E-13</v>
      </c>
      <c r="P228" s="5">
        <f>_xlfn.XLOOKUP(A228,'[2]LX COMPUTED'!A:A,'[2]LX COMPUTED'!T:T,"-",0)</f>
        <v>0.92035314432384296</v>
      </c>
      <c r="Q228" s="5">
        <f>_xlfn.XLOOKUP(A228,'[2]LX COMPUTED'!A:A,'[2]LX COMPUTED'!U:U,"-",0)</f>
        <v>6.9920643914695879E-2</v>
      </c>
      <c r="R228" s="5">
        <f>_xlfn.XLOOKUP(A228,'[2]LX COMPUTED'!A:A,'[2]LX COMPUTED'!V:V,"-",0)</f>
        <v>1.2363607338600719</v>
      </c>
      <c r="S228" s="5">
        <f>_xlfn.XLOOKUP(A228,'[2]LX COMPUTED'!A:A,'[2]LX COMPUTED'!W:W,"-",0)</f>
        <v>9.6511543139297523E-2</v>
      </c>
      <c r="T228" s="5">
        <f>_xlfn.XLOOKUP(A228,'[2]LX COMPUTED'!A:A,'[2]LX COMPUTED'!AK:AK,"-",0)</f>
        <v>0.47320907397651868</v>
      </c>
      <c r="U228" s="5">
        <f>_xlfn.XLOOKUP(A228,'[2]LX COMPUTED'!A:A,'[2]LX COMPUTED'!AL:AL,"-",0)</f>
        <v>3.5950421164718541E-2</v>
      </c>
      <c r="V228" s="2">
        <f>_xlfn.XLOOKUP(A228,'[2]LX COMPUTED'!A:A,'[2]LX COMPUTED'!AE:AE,"-",0)</f>
        <v>0.55109961190168177</v>
      </c>
      <c r="W228" s="2">
        <f>_xlfn.XLOOKUP(A228,'[2]LX COMPUTED'!A:A,'[2]LX COMPUTED'!AF:AF,"-",0)</f>
        <v>2.1846630546852399E-2</v>
      </c>
    </row>
    <row r="229" spans="1:23" x14ac:dyDescent="0.2">
      <c r="A229" t="s">
        <v>148</v>
      </c>
      <c r="B229">
        <v>0.30099999999999999</v>
      </c>
      <c r="C229">
        <v>152.63550000000001</v>
      </c>
      <c r="D229">
        <v>-12.6633</v>
      </c>
      <c r="E229">
        <v>1120</v>
      </c>
      <c r="F229">
        <v>6.69</v>
      </c>
      <c r="G229">
        <v>0.44</v>
      </c>
      <c r="H229">
        <v>0.14000000000000001</v>
      </c>
      <c r="I229">
        <v>7.0000000000000007E-2</v>
      </c>
      <c r="J229" t="s">
        <v>739</v>
      </c>
      <c r="K229">
        <v>1103</v>
      </c>
      <c r="L229">
        <v>1022</v>
      </c>
      <c r="M229">
        <v>1.1000000000000001</v>
      </c>
      <c r="N229" s="5">
        <v>1.23E-12</v>
      </c>
      <c r="O229" s="5">
        <v>2.8000000000000001E-14</v>
      </c>
      <c r="P229" s="5">
        <f>_xlfn.XLOOKUP(A229,'[2]LX COMPUTED'!A:A,'[2]LX COMPUTED'!T:T,"-",0)</f>
        <v>3.5977390757840397</v>
      </c>
      <c r="Q229" s="5">
        <f>_xlfn.XLOOKUP(A229,'[2]LX COMPUTED'!A:A,'[2]LX COMPUTED'!U:U,"-",0)</f>
        <v>8.2967579062212221E-2</v>
      </c>
      <c r="R229" s="5">
        <f>_xlfn.XLOOKUP(A229,'[2]LX COMPUTED'!A:A,'[2]LX COMPUTED'!V:V,"-",0)</f>
        <v>5.4990036400953368</v>
      </c>
      <c r="S229" s="5">
        <f>_xlfn.XLOOKUP(A229,'[2]LX COMPUTED'!A:A,'[2]LX COMPUTED'!W:W,"-",0)</f>
        <v>0.19375705082882491</v>
      </c>
      <c r="T229" s="5">
        <f>_xlfn.XLOOKUP(A229,'[2]LX COMPUTED'!A:A,'[2]LX COMPUTED'!AK:AK,"-",0)</f>
        <v>1.461693949333198</v>
      </c>
      <c r="U229" s="5">
        <f>_xlfn.XLOOKUP(A229,'[2]LX COMPUTED'!A:A,'[2]LX COMPUTED'!AL:AL,"-",0)</f>
        <v>3.3708172202463228E-2</v>
      </c>
      <c r="V229" s="2">
        <f>_xlfn.XLOOKUP(A229,'[2]LX COMPUTED'!A:A,'[2]LX COMPUTED'!AE:AE,"-",0)</f>
        <v>0.42377176106236214</v>
      </c>
      <c r="W229" s="2">
        <f>_xlfn.XLOOKUP(A229,'[2]LX COMPUTED'!A:A,'[2]LX COMPUTED'!AF:AF,"-",0)</f>
        <v>9.1852561801879055E-3</v>
      </c>
    </row>
    <row r="230" spans="1:23" x14ac:dyDescent="0.2">
      <c r="A230" t="s">
        <v>518</v>
      </c>
      <c r="B230">
        <v>7.0000000000000007E-2</v>
      </c>
      <c r="C230">
        <v>163.38419999999999</v>
      </c>
      <c r="D230">
        <v>54.875399999999999</v>
      </c>
      <c r="E230">
        <v>663</v>
      </c>
      <c r="F230">
        <v>2</v>
      </c>
      <c r="G230">
        <v>0.22</v>
      </c>
      <c r="H230">
        <v>0.17</v>
      </c>
      <c r="I230">
        <v>7.0000000000000007E-2</v>
      </c>
      <c r="J230" t="s">
        <v>739</v>
      </c>
      <c r="K230">
        <v>1137</v>
      </c>
      <c r="L230">
        <v>1022</v>
      </c>
      <c r="M230">
        <v>1.1000000000000001</v>
      </c>
      <c r="N230" s="5">
        <v>1.3100000000000001E-12</v>
      </c>
      <c r="O230" s="5">
        <v>2.0999999999999999E-13</v>
      </c>
      <c r="P230" s="5">
        <f>_xlfn.XLOOKUP(A230,'[2]LX COMPUTED'!A:A,'[2]LX COMPUTED'!T:T,"-",0)</f>
        <v>0.17721386397255492</v>
      </c>
      <c r="Q230" s="5">
        <f>_xlfn.XLOOKUP(A230,'[2]LX COMPUTED'!A:A,'[2]LX COMPUTED'!U:U,"-",0)</f>
        <v>2.7953123906290803E-2</v>
      </c>
      <c r="R230" s="5">
        <f>_xlfn.XLOOKUP(A230,'[2]LX COMPUTED'!A:A,'[2]LX COMPUTED'!V:V,"-",0)</f>
        <v>0.24465837320987688</v>
      </c>
      <c r="S230" s="5">
        <f>_xlfn.XLOOKUP(A230,'[2]LX COMPUTED'!A:A,'[2]LX COMPUTED'!W:W,"-",0)</f>
        <v>3.8728947469367676E-2</v>
      </c>
      <c r="T230" s="5">
        <f>_xlfn.XLOOKUP(A230,'[2]LX COMPUTED'!A:A,'[2]LX COMPUTED'!AK:AK,"-",0)</f>
        <v>0.11371858082817757</v>
      </c>
      <c r="U230" s="5">
        <f>_xlfn.XLOOKUP(A230,'[2]LX COMPUTED'!A:A,'[2]LX COMPUTED'!AL:AL,"-",0)</f>
        <v>1.7937589695746894E-2</v>
      </c>
      <c r="V230" s="2">
        <f>_xlfn.XLOOKUP(A230,'[2]LX COMPUTED'!A:A,'[2]LX COMPUTED'!AE:AE,"-",0)</f>
        <v>0.27960057061340943</v>
      </c>
      <c r="W230" s="2">
        <f>_xlfn.XLOOKUP(A230,'[2]LX COMPUTED'!A:A,'[2]LX COMPUTED'!AF:AF,"-",0)</f>
        <v>4.0607415139100794E-2</v>
      </c>
    </row>
    <row r="231" spans="1:23" x14ac:dyDescent="0.2">
      <c r="A231" t="s">
        <v>164</v>
      </c>
      <c r="B231">
        <v>0.06</v>
      </c>
      <c r="C231">
        <v>172.51310000000001</v>
      </c>
      <c r="D231">
        <v>36.637</v>
      </c>
      <c r="E231">
        <v>658</v>
      </c>
      <c r="F231">
        <v>1.64</v>
      </c>
      <c r="G231">
        <v>0.35</v>
      </c>
      <c r="H231">
        <v>7.0000000000000007E-2</v>
      </c>
      <c r="I231">
        <v>0.05</v>
      </c>
      <c r="J231" t="s">
        <v>740</v>
      </c>
      <c r="K231">
        <v>1181</v>
      </c>
      <c r="L231">
        <v>1022</v>
      </c>
      <c r="M231">
        <v>1.2</v>
      </c>
      <c r="N231" s="5">
        <v>6.7299999999999996E-13</v>
      </c>
      <c r="O231" s="5">
        <v>6.5000000000000001E-14</v>
      </c>
      <c r="P231" s="5">
        <f>_xlfn.XLOOKUP(A231,'[2]LX COMPUTED'!A:A,'[2]LX COMPUTED'!T:T,"-",0)</f>
        <v>6.4578347390614452E-2</v>
      </c>
      <c r="Q231" s="5">
        <f>_xlfn.XLOOKUP(A231,'[2]LX COMPUTED'!A:A,'[2]LX COMPUTED'!U:U,"-",0)</f>
        <v>6.2454486762659458E-3</v>
      </c>
      <c r="R231" s="5">
        <f>_xlfn.XLOOKUP(A231,'[2]LX COMPUTED'!A:A,'[2]LX COMPUTED'!V:V,"-",0)</f>
        <v>9.3932723005229132E-2</v>
      </c>
      <c r="S231" s="5">
        <f>_xlfn.XLOOKUP(A231,'[2]LX COMPUTED'!A:A,'[2]LX COMPUTED'!W:W,"-",0)</f>
        <v>9.2912270693283547E-3</v>
      </c>
      <c r="T231" s="5">
        <f>_xlfn.XLOOKUP(A231,'[2]LX COMPUTED'!A:A,'[2]LX COMPUTED'!AK:AK,"-",0)</f>
        <v>4.5109551718872674E-2</v>
      </c>
      <c r="U231" s="5">
        <f>_xlfn.XLOOKUP(A231,'[2]LX COMPUTED'!A:A,'[2]LX COMPUTED'!AL:AL,"-",0)</f>
        <v>4.3625983236376372E-3</v>
      </c>
      <c r="V231" s="2">
        <f>_xlfn.XLOOKUP(A231,'[2]LX COMPUTED'!A:A,'[2]LX COMPUTED'!AE:AE,"-",0)</f>
        <v>0.50832359813084105</v>
      </c>
      <c r="W231" s="2">
        <f>_xlfn.XLOOKUP(A231,'[2]LX COMPUTED'!A:A,'[2]LX COMPUTED'!AF:AF,"-",0)</f>
        <v>2.8230670799295129E-2</v>
      </c>
    </row>
    <row r="232" spans="1:23" x14ac:dyDescent="0.2">
      <c r="A232" t="s">
        <v>176</v>
      </c>
      <c r="B232">
        <v>0.11899999999999999</v>
      </c>
      <c r="C232">
        <v>183.85300000000001</v>
      </c>
      <c r="D232">
        <v>-39.035499999999999</v>
      </c>
      <c r="E232">
        <v>1116</v>
      </c>
      <c r="F232">
        <v>5.53</v>
      </c>
      <c r="G232">
        <v>0.4</v>
      </c>
      <c r="H232">
        <v>0.35</v>
      </c>
      <c r="I232">
        <v>0.12</v>
      </c>
      <c r="J232" t="s">
        <v>739</v>
      </c>
      <c r="K232">
        <v>1136</v>
      </c>
      <c r="L232">
        <v>1022</v>
      </c>
      <c r="M232">
        <v>1.1000000000000001</v>
      </c>
      <c r="N232" s="5">
        <v>3.6899999999999998E-12</v>
      </c>
      <c r="O232" s="5">
        <v>9.4000000000000003E-14</v>
      </c>
      <c r="P232" s="5">
        <f>_xlfn.XLOOKUP(A232,'[2]LX COMPUTED'!A:A,'[2]LX COMPUTED'!T:T,"-",0)</f>
        <v>1.4801115198150057</v>
      </c>
      <c r="Q232" s="5">
        <f>_xlfn.XLOOKUP(A232,'[2]LX COMPUTED'!A:A,'[2]LX COMPUTED'!U:U,"-",0)</f>
        <v>3.7807976867900973E-2</v>
      </c>
      <c r="R232" s="5">
        <f>_xlfn.XLOOKUP(A232,'[2]LX COMPUTED'!A:A,'[2]LX COMPUTED'!V:V,"-",0)</f>
        <v>2.1405574490818005</v>
      </c>
      <c r="S232" s="5">
        <f>_xlfn.XLOOKUP(A232,'[2]LX COMPUTED'!A:A,'[2]LX COMPUTED'!W:W,"-",0)</f>
        <v>7.5114348361937824E-2</v>
      </c>
      <c r="T232" s="5">
        <f>_xlfn.XLOOKUP(A232,'[2]LX COMPUTED'!A:A,'[2]LX COMPUTED'!AK:AK,"-",0)</f>
        <v>0.6247155038852702</v>
      </c>
      <c r="U232" s="5">
        <f>_xlfn.XLOOKUP(A232,'[2]LX COMPUTED'!A:A,'[2]LX COMPUTED'!AL:AL,"-",0)</f>
        <v>1.5957736294671558E-2</v>
      </c>
      <c r="V232" s="2">
        <f>_xlfn.XLOOKUP(A232,'[2]LX COMPUTED'!A:A,'[2]LX COMPUTED'!AE:AE,"-",0)</f>
        <v>0.28218111002921126</v>
      </c>
      <c r="W232" s="2">
        <f>_xlfn.XLOOKUP(A232,'[2]LX COMPUTED'!A:A,'[2]LX COMPUTED'!AF:AF,"-",0)</f>
        <v>1.6275563396811101E-2</v>
      </c>
    </row>
    <row r="233" spans="1:23" x14ac:dyDescent="0.2">
      <c r="A233" t="s">
        <v>180</v>
      </c>
      <c r="B233">
        <v>0.22900000000000001</v>
      </c>
      <c r="C233">
        <v>188.60079999999999</v>
      </c>
      <c r="D233">
        <v>9.7875999999999994</v>
      </c>
      <c r="E233">
        <v>977</v>
      </c>
      <c r="F233">
        <v>4.3</v>
      </c>
      <c r="G233">
        <v>0.49</v>
      </c>
      <c r="H233">
        <v>0.17</v>
      </c>
      <c r="I233">
        <v>0.12</v>
      </c>
      <c r="J233" t="s">
        <v>739</v>
      </c>
      <c r="K233">
        <v>1205</v>
      </c>
      <c r="L233">
        <v>1022</v>
      </c>
      <c r="M233">
        <v>1.2</v>
      </c>
      <c r="N233" s="5">
        <v>9.7499999999999999E-13</v>
      </c>
      <c r="O233" s="5">
        <v>6.8000000000000001E-14</v>
      </c>
      <c r="P233" s="5">
        <f>_xlfn.XLOOKUP(A233,'[2]LX COMPUTED'!A:A,'[2]LX COMPUTED'!T:T,"-",0)</f>
        <v>1.5651175026207813</v>
      </c>
      <c r="Q233" s="5">
        <f>_xlfn.XLOOKUP(A233,'[2]LX COMPUTED'!A:A,'[2]LX COMPUTED'!U:U,"-",0)</f>
        <v>0.10988499557637048</v>
      </c>
      <c r="R233" s="5">
        <f>_xlfn.XLOOKUP(A233,'[2]LX COMPUTED'!A:A,'[2]LX COMPUTED'!V:V,"-",0)</f>
        <v>2.1659159775944183</v>
      </c>
      <c r="S233" s="5">
        <f>_xlfn.XLOOKUP(A233,'[2]LX COMPUTED'!A:A,'[2]LX COMPUTED'!W:W,"-",0)</f>
        <v>0.16471049301384244</v>
      </c>
      <c r="T233" s="5">
        <f>_xlfn.XLOOKUP(A233,'[2]LX COMPUTED'!A:A,'[2]LX COMPUTED'!AK:AK,"-",0)</f>
        <v>0.73044042191346348</v>
      </c>
      <c r="U233" s="5">
        <f>_xlfn.XLOOKUP(A233,'[2]LX COMPUTED'!A:A,'[2]LX COMPUTED'!AL:AL,"-",0)</f>
        <v>5.1283333293737188E-2</v>
      </c>
      <c r="V233" s="2">
        <f>_xlfn.XLOOKUP(A233,'[2]LX COMPUTED'!A:A,'[2]LX COMPUTED'!AE:AE,"-",0)</f>
        <v>0.22288628575982153</v>
      </c>
      <c r="W233" s="2">
        <f>_xlfn.XLOOKUP(A233,'[2]LX COMPUTED'!A:A,'[2]LX COMPUTED'!AF:AF,"-",0)</f>
        <v>1.606047818358523E-2</v>
      </c>
    </row>
    <row r="234" spans="1:23" x14ac:dyDescent="0.2">
      <c r="A234" t="s">
        <v>556</v>
      </c>
      <c r="B234">
        <v>5.2999999999999999E-2</v>
      </c>
      <c r="C234">
        <v>193.1446</v>
      </c>
      <c r="D234">
        <v>-31.2666</v>
      </c>
      <c r="E234">
        <v>810</v>
      </c>
      <c r="F234">
        <v>2.79</v>
      </c>
      <c r="G234">
        <v>0.18</v>
      </c>
      <c r="H234">
        <v>0.49</v>
      </c>
      <c r="I234">
        <v>0.14000000000000001</v>
      </c>
      <c r="J234" t="s">
        <v>739</v>
      </c>
      <c r="K234">
        <v>1344</v>
      </c>
      <c r="L234">
        <v>1022</v>
      </c>
      <c r="M234">
        <v>1.3</v>
      </c>
      <c r="N234" s="5">
        <v>2.7200000000000001E-12</v>
      </c>
      <c r="O234" s="5">
        <v>2.2E-13</v>
      </c>
      <c r="P234" s="5">
        <f>_xlfn.XLOOKUP(A234,'[2]LX COMPUTED'!A:A,'[2]LX COMPUTED'!T:T,"-",0)</f>
        <v>0.20696749228850206</v>
      </c>
      <c r="Q234" s="5">
        <f>_xlfn.XLOOKUP(A234,'[2]LX COMPUTED'!A:A,'[2]LX COMPUTED'!U:U,"-",0)</f>
        <v>1.6559832863295192E-2</v>
      </c>
      <c r="R234" s="5">
        <f>_xlfn.XLOOKUP(A234,'[2]LX COMPUTED'!A:A,'[2]LX COMPUTED'!V:V,"-",0)</f>
        <v>0.27297600451069659</v>
      </c>
      <c r="S234" s="5">
        <f>_xlfn.XLOOKUP(A234,'[2]LX COMPUTED'!A:A,'[2]LX COMPUTED'!W:W,"-",0)</f>
        <v>2.2041558979260436E-2</v>
      </c>
      <c r="T234" s="5">
        <f>_xlfn.XLOOKUP(A234,'[2]LX COMPUTED'!A:A,'[2]LX COMPUTED'!AK:AK,"-",0)</f>
        <v>0.11344994430171264</v>
      </c>
      <c r="U234" s="5">
        <f>_xlfn.XLOOKUP(A234,'[2]LX COMPUTED'!A:A,'[2]LX COMPUTED'!AL:AL,"-",0)</f>
        <v>9.0773294647049311E-3</v>
      </c>
      <c r="V234" s="2">
        <f>_xlfn.XLOOKUP(A234,'[2]LX COMPUTED'!A:A,'[2]LX COMPUTED'!AE:AE,"-",0)</f>
        <v>0.70560242266926243</v>
      </c>
      <c r="W234" s="2">
        <f>_xlfn.XLOOKUP(A234,'[2]LX COMPUTED'!A:A,'[2]LX COMPUTED'!AF:AF,"-",0)</f>
        <v>1.9420857464577113E-2</v>
      </c>
    </row>
    <row r="235" spans="1:23" x14ac:dyDescent="0.2">
      <c r="A235" t="s">
        <v>218</v>
      </c>
      <c r="B235">
        <v>0.223</v>
      </c>
      <c r="C235">
        <v>228.7621</v>
      </c>
      <c r="D235">
        <v>-15.3895</v>
      </c>
      <c r="E235">
        <v>1370</v>
      </c>
      <c r="F235">
        <v>8.7899999999999991</v>
      </c>
      <c r="G235">
        <v>0.52</v>
      </c>
      <c r="H235">
        <v>0.15</v>
      </c>
      <c r="I235">
        <v>0.05</v>
      </c>
      <c r="J235" t="s">
        <v>739</v>
      </c>
      <c r="K235">
        <v>1059</v>
      </c>
      <c r="L235">
        <v>1022</v>
      </c>
      <c r="M235">
        <v>1</v>
      </c>
      <c r="N235" s="5">
        <v>3.3399999999999999E-12</v>
      </c>
      <c r="O235" s="5">
        <v>5.6999999999999997E-14</v>
      </c>
      <c r="P235" s="5">
        <f>_xlfn.XLOOKUP(A235,'[2]LX COMPUTED'!A:A,'[2]LX COMPUTED'!T:T,"-",0)</f>
        <v>4.9269356946477343</v>
      </c>
      <c r="Q235" s="5">
        <f>_xlfn.XLOOKUP(A235,'[2]LX COMPUTED'!A:A,'[2]LX COMPUTED'!U:U,"-",0)</f>
        <v>8.3405804460838479E-2</v>
      </c>
      <c r="R235" s="5">
        <f>_xlfn.XLOOKUP(A235,'[2]LX COMPUTED'!A:A,'[2]LX COMPUTED'!V:V,"-",0)</f>
        <v>8.2642903943066539</v>
      </c>
      <c r="S235" s="5">
        <f>_xlfn.XLOOKUP(A235,'[2]LX COMPUTED'!A:A,'[2]LX COMPUTED'!W:W,"-",0)</f>
        <v>0.29335498957654299</v>
      </c>
      <c r="T235" s="5">
        <f>_xlfn.XLOOKUP(A235,'[2]LX COMPUTED'!A:A,'[2]LX COMPUTED'!AK:AK,"-",0)</f>
        <v>1.8663801880196866</v>
      </c>
      <c r="U235" s="5">
        <f>_xlfn.XLOOKUP(A235,'[2]LX COMPUTED'!A:A,'[2]LX COMPUTED'!AL:AL,"-",0)</f>
        <v>3.1595082757150297E-2</v>
      </c>
      <c r="V235" s="2">
        <f>_xlfn.XLOOKUP(A235,'[2]LX COMPUTED'!A:A,'[2]LX COMPUTED'!AE:AE,"-",0)</f>
        <v>0.24039117580168298</v>
      </c>
      <c r="W235" s="2">
        <f>_xlfn.XLOOKUP(A235,'[2]LX COMPUTED'!A:A,'[2]LX COMPUTED'!AF:AF,"-",0)</f>
        <v>7.1089718501650516E-3</v>
      </c>
    </row>
    <row r="236" spans="1:23" x14ac:dyDescent="0.2">
      <c r="A236" t="s">
        <v>221</v>
      </c>
      <c r="B236">
        <v>0.10299999999999999</v>
      </c>
      <c r="C236">
        <v>231.05350000000001</v>
      </c>
      <c r="D236">
        <v>-31.906400000000001</v>
      </c>
      <c r="E236">
        <v>992</v>
      </c>
      <c r="F236">
        <v>4.1100000000000003</v>
      </c>
      <c r="G236">
        <v>0.41</v>
      </c>
      <c r="H236">
        <v>0.35</v>
      </c>
      <c r="I236">
        <v>0.1</v>
      </c>
      <c r="J236" t="s">
        <v>740</v>
      </c>
      <c r="K236">
        <v>1297</v>
      </c>
      <c r="L236">
        <v>1022</v>
      </c>
      <c r="M236">
        <v>1.3</v>
      </c>
      <c r="N236" s="5">
        <v>4.2300000000000004E-12</v>
      </c>
      <c r="O236" s="5">
        <v>5.6000000000000001E-14</v>
      </c>
      <c r="P236" s="5">
        <f>_xlfn.XLOOKUP(A236,'[2]LX COMPUTED'!A:A,'[2]LX COMPUTED'!T:T,"-",0)</f>
        <v>1.2860290522618496</v>
      </c>
      <c r="Q236" s="5">
        <f>_xlfn.XLOOKUP(A236,'[2]LX COMPUTED'!A:A,'[2]LX COMPUTED'!U:U,"-",0)</f>
        <v>1.7082409151627714E-2</v>
      </c>
      <c r="R236" s="5">
        <f>_xlfn.XLOOKUP(A236,'[2]LX COMPUTED'!A:A,'[2]LX COMPUTED'!V:V,"-",0)</f>
        <v>1.7581766151197831</v>
      </c>
      <c r="S236" s="5">
        <f>_xlfn.XLOOKUP(A236,'[2]LX COMPUTED'!A:A,'[2]LX COMPUTED'!W:W,"-",0)</f>
        <v>4.9525699794449395E-2</v>
      </c>
      <c r="T236" s="5">
        <f>_xlfn.XLOOKUP(A236,'[2]LX COMPUTED'!A:A,'[2]LX COMPUTED'!AK:AK,"-",0)</f>
        <v>0.60293965227207369</v>
      </c>
      <c r="U236" s="5">
        <f>_xlfn.XLOOKUP(A236,'[2]LX COMPUTED'!A:A,'[2]LX COMPUTED'!AL:AL,"-",0)</f>
        <v>8.0088873697968209E-3</v>
      </c>
      <c r="V236" s="2">
        <f>_xlfn.XLOOKUP(A236,'[2]LX COMPUTED'!A:A,'[2]LX COMPUTED'!AE:AE,"-",0)</f>
        <v>0.75141110065851369</v>
      </c>
      <c r="W236" s="2">
        <f>_xlfn.XLOOKUP(A236,'[2]LX COMPUTED'!A:A,'[2]LX COMPUTED'!AF:AF,"-",0)</f>
        <v>3.387637968058476E-3</v>
      </c>
    </row>
    <row r="237" spans="1:23" x14ac:dyDescent="0.2">
      <c r="A237" t="s">
        <v>230</v>
      </c>
      <c r="B237">
        <v>9.7000000000000003E-2</v>
      </c>
      <c r="C237">
        <v>239.59129999999999</v>
      </c>
      <c r="D237">
        <v>-14.165800000000001</v>
      </c>
      <c r="E237">
        <v>1086</v>
      </c>
      <c r="F237">
        <v>5</v>
      </c>
      <c r="G237">
        <v>0.38</v>
      </c>
      <c r="H237">
        <v>0.38</v>
      </c>
      <c r="I237">
        <v>0.11</v>
      </c>
      <c r="J237" t="s">
        <v>740</v>
      </c>
      <c r="K237">
        <v>1327</v>
      </c>
      <c r="L237">
        <v>1022</v>
      </c>
      <c r="M237">
        <v>1.3</v>
      </c>
      <c r="N237" s="5">
        <v>7.2299999999999997E-12</v>
      </c>
      <c r="O237" s="5">
        <v>7.4999999999999996E-14</v>
      </c>
      <c r="P237" s="5">
        <f>_xlfn.XLOOKUP(A237,'[2]LX COMPUTED'!A:A,'[2]LX COMPUTED'!T:T,"-",0)</f>
        <v>1.8815604714114169</v>
      </c>
      <c r="Q237" s="5">
        <f>_xlfn.XLOOKUP(A237,'[2]LX COMPUTED'!A:A,'[2]LX COMPUTED'!U:U,"-",0)</f>
        <v>1.940350847105396E-2</v>
      </c>
      <c r="R237" s="5">
        <f>_xlfn.XLOOKUP(A237,'[2]LX COMPUTED'!A:A,'[2]LX COMPUTED'!V:V,"-",0)</f>
        <v>2.6574856361286123</v>
      </c>
      <c r="S237" s="5">
        <f>_xlfn.XLOOKUP(A237,'[2]LX COMPUTED'!A:A,'[2]LX COMPUTED'!W:W,"-",0)</f>
        <v>6.6134722863063725E-2</v>
      </c>
      <c r="T237" s="5">
        <f>_xlfn.XLOOKUP(A237,'[2]LX COMPUTED'!A:A,'[2]LX COMPUTED'!AK:AK,"-",0)</f>
        <v>0.81904753403119912</v>
      </c>
      <c r="U237" s="5">
        <f>_xlfn.XLOOKUP(A237,'[2]LX COMPUTED'!A:A,'[2]LX COMPUTED'!AL:AL,"-",0)</f>
        <v>8.4463911770259765E-3</v>
      </c>
      <c r="V237" s="2">
        <f>_xlfn.XLOOKUP(A237,'[2]LX COMPUTED'!A:A,'[2]LX COMPUTED'!AE:AE,"-",0)</f>
        <v>0.66564899620686457</v>
      </c>
      <c r="W237" s="2">
        <f>_xlfn.XLOOKUP(A237,'[2]LX COMPUTED'!A:A,'[2]LX COMPUTED'!AF:AF,"-",0)</f>
        <v>3.0495016107160017E-3</v>
      </c>
    </row>
    <row r="238" spans="1:23" x14ac:dyDescent="0.2">
      <c r="A238" t="s">
        <v>246</v>
      </c>
      <c r="B238">
        <v>0.17100000000000001</v>
      </c>
      <c r="C238">
        <v>267.57040000000001</v>
      </c>
      <c r="D238">
        <v>35.082799999999999</v>
      </c>
      <c r="E238">
        <v>979</v>
      </c>
      <c r="F238">
        <v>4.6500000000000004</v>
      </c>
      <c r="G238">
        <v>0.4</v>
      </c>
      <c r="H238">
        <v>0.06</v>
      </c>
      <c r="I238">
        <v>0.08</v>
      </c>
      <c r="J238" t="s">
        <v>739</v>
      </c>
      <c r="K238">
        <v>1198</v>
      </c>
      <c r="L238">
        <v>1022</v>
      </c>
      <c r="M238">
        <v>1.2</v>
      </c>
      <c r="N238" s="5">
        <v>1.79E-12</v>
      </c>
      <c r="O238" s="5">
        <v>9.1000000000000004E-14</v>
      </c>
      <c r="P238" s="5">
        <f>_xlfn.XLOOKUP(A238,'[2]LX COMPUTED'!A:A,'[2]LX COMPUTED'!T:T,"-",0)</f>
        <v>1.5103182561551378</v>
      </c>
      <c r="Q238" s="5">
        <f>_xlfn.XLOOKUP(A238,'[2]LX COMPUTED'!A:A,'[2]LX COMPUTED'!U:U,"-",0)</f>
        <v>7.6455059264382466E-2</v>
      </c>
      <c r="R238" s="5">
        <f>_xlfn.XLOOKUP(A238,'[2]LX COMPUTED'!A:A,'[2]LX COMPUTED'!V:V,"-",0)</f>
        <v>2.1190305803328378</v>
      </c>
      <c r="S238" s="5">
        <f>_xlfn.XLOOKUP(A238,'[2]LX COMPUTED'!A:A,'[2]LX COMPUTED'!W:W,"-",0)</f>
        <v>0.11865989039781011</v>
      </c>
      <c r="T238" s="5">
        <f>_xlfn.XLOOKUP(A238,'[2]LX COMPUTED'!A:A,'[2]LX COMPUTED'!AK:AK,"-",0)</f>
        <v>0.69036705945555288</v>
      </c>
      <c r="U238" s="5">
        <f>_xlfn.XLOOKUP(A238,'[2]LX COMPUTED'!A:A,'[2]LX COMPUTED'!AL:AL,"-",0)</f>
        <v>3.4947637181596811E-2</v>
      </c>
      <c r="V238" s="2">
        <f>_xlfn.XLOOKUP(A238,'[2]LX COMPUTED'!A:A,'[2]LX COMPUTED'!AE:AE,"-",0)</f>
        <v>0.67851373182552499</v>
      </c>
      <c r="W238" s="2">
        <f>_xlfn.XLOOKUP(A238,'[2]LX COMPUTED'!A:A,'[2]LX COMPUTED'!AF:AF,"-",0)</f>
        <v>1.2889851980771709E-2</v>
      </c>
    </row>
    <row r="239" spans="1:23" x14ac:dyDescent="0.2">
      <c r="A239" t="s">
        <v>251</v>
      </c>
      <c r="B239">
        <v>0.109</v>
      </c>
      <c r="C239">
        <v>283.03579999999999</v>
      </c>
      <c r="D239">
        <v>57.194899999999997</v>
      </c>
      <c r="E239">
        <v>964</v>
      </c>
      <c r="F239">
        <v>4.0199999999999996</v>
      </c>
      <c r="G239">
        <v>0.35</v>
      </c>
      <c r="H239">
        <v>0.22</v>
      </c>
      <c r="I239">
        <v>0.1</v>
      </c>
      <c r="J239" t="s">
        <v>739</v>
      </c>
      <c r="K239">
        <v>1393</v>
      </c>
      <c r="L239">
        <v>1022</v>
      </c>
      <c r="M239">
        <v>1.4</v>
      </c>
      <c r="N239" s="5">
        <v>1.24E-12</v>
      </c>
      <c r="O239" s="5">
        <v>5.9999999999999997E-14</v>
      </c>
      <c r="P239" s="5">
        <f>_xlfn.XLOOKUP(A239,'[2]LX COMPUTED'!A:A,'[2]LX COMPUTED'!T:T,"-",0)</f>
        <v>0.39450370605847673</v>
      </c>
      <c r="Q239" s="5">
        <f>_xlfn.XLOOKUP(A239,'[2]LX COMPUTED'!A:A,'[2]LX COMPUTED'!U:U,"-",0)</f>
        <v>1.9063576123496597E-2</v>
      </c>
      <c r="R239" s="5">
        <f>_xlfn.XLOOKUP(A239,'[2]LX COMPUTED'!A:A,'[2]LX COMPUTED'!V:V,"-",0)</f>
        <v>0.54006582912866752</v>
      </c>
      <c r="S239" s="5">
        <f>_xlfn.XLOOKUP(A239,'[2]LX COMPUTED'!A:A,'[2]LX COMPUTED'!W:W,"-",0)</f>
        <v>2.8507309415410773E-2</v>
      </c>
      <c r="T239" s="5">
        <f>_xlfn.XLOOKUP(A239,'[2]LX COMPUTED'!A:A,'[2]LX COMPUTED'!AK:AK,"-",0)</f>
        <v>0.1880646632849714</v>
      </c>
      <c r="U239" s="5">
        <f>_xlfn.XLOOKUP(A239,'[2]LX COMPUTED'!A:A,'[2]LX COMPUTED'!AL:AL,"-",0)</f>
        <v>9.0878361080374264E-3</v>
      </c>
      <c r="V239" s="2">
        <f>_xlfn.XLOOKUP(A239,'[2]LX COMPUTED'!A:A,'[2]LX COMPUTED'!AE:AE,"-",0)</f>
        <v>0.61329588014981273</v>
      </c>
      <c r="W239" s="2">
        <f>_xlfn.XLOOKUP(A239,'[2]LX COMPUTED'!A:A,'[2]LX COMPUTED'!AF:AF,"-",0)</f>
        <v>1.5192045637511481E-2</v>
      </c>
    </row>
    <row r="240" spans="1:23" x14ac:dyDescent="0.2">
      <c r="A240" t="s">
        <v>656</v>
      </c>
      <c r="B240">
        <v>9.2999999999999999E-2</v>
      </c>
      <c r="C240">
        <v>283.50940000000003</v>
      </c>
      <c r="D240">
        <v>68.3827</v>
      </c>
      <c r="E240">
        <v>901</v>
      </c>
      <c r="F240">
        <v>4.43</v>
      </c>
      <c r="G240">
        <v>0.25</v>
      </c>
      <c r="H240">
        <v>0.16</v>
      </c>
      <c r="I240">
        <v>0.08</v>
      </c>
      <c r="J240" t="s">
        <v>739</v>
      </c>
      <c r="K240">
        <v>1177</v>
      </c>
      <c r="L240">
        <v>1022</v>
      </c>
      <c r="M240">
        <v>1.2</v>
      </c>
      <c r="N240" s="5">
        <v>4.0899999999999997E-12</v>
      </c>
      <c r="O240" s="5">
        <v>1.4999999999999999E-13</v>
      </c>
      <c r="P240" s="5">
        <f>_xlfn.XLOOKUP(A240,'[2]LX COMPUTED'!A:A,'[2]LX COMPUTED'!T:T,"-",0)</f>
        <v>1.0135821004163705</v>
      </c>
      <c r="Q240" s="5">
        <f>_xlfn.XLOOKUP(A240,'[2]LX COMPUTED'!A:A,'[2]LX COMPUTED'!U:U,"-",0)</f>
        <v>3.6415856466146639E-2</v>
      </c>
      <c r="R240" s="5">
        <f>_xlfn.XLOOKUP(A240,'[2]LX COMPUTED'!A:A,'[2]LX COMPUTED'!V:V,"-",0)</f>
        <v>1.4087324076787149</v>
      </c>
      <c r="S240" s="5">
        <f>_xlfn.XLOOKUP(A240,'[2]LX COMPUTED'!A:A,'[2]LX COMPUTED'!W:W,"-",0)</f>
        <v>5.4944988389090156E-2</v>
      </c>
      <c r="T240" s="5">
        <f>_xlfn.XLOOKUP(A240,'[2]LX COMPUTED'!A:A,'[2]LX COMPUTED'!AK:AK,"-",0)</f>
        <v>0.46811371997054529</v>
      </c>
      <c r="U240" s="5">
        <f>_xlfn.XLOOKUP(A240,'[2]LX COMPUTED'!A:A,'[2]LX COMPUTED'!AL:AL,"-",0)</f>
        <v>1.6818333738607538E-2</v>
      </c>
      <c r="V240" s="2">
        <f>_xlfn.XLOOKUP(A240,'[2]LX COMPUTED'!A:A,'[2]LX COMPUTED'!AE:AE,"-",0)</f>
        <v>0.4546789480710185</v>
      </c>
      <c r="W240" s="2">
        <f>_xlfn.XLOOKUP(A240,'[2]LX COMPUTED'!A:A,'[2]LX COMPUTED'!AF:AF,"-",0)</f>
        <v>1.3789599702394351E-2</v>
      </c>
    </row>
    <row r="241" spans="1:23" x14ac:dyDescent="0.2">
      <c r="A241" t="s">
        <v>661</v>
      </c>
      <c r="B241">
        <v>0.217</v>
      </c>
      <c r="C241">
        <v>296.81209999999999</v>
      </c>
      <c r="D241">
        <v>-76.395799999999994</v>
      </c>
      <c r="E241">
        <v>1291</v>
      </c>
      <c r="F241">
        <v>7.67</v>
      </c>
      <c r="G241">
        <v>0.83</v>
      </c>
      <c r="H241">
        <v>0.33</v>
      </c>
      <c r="I241">
        <v>0.1</v>
      </c>
      <c r="J241" t="s">
        <v>739</v>
      </c>
      <c r="K241">
        <v>1188</v>
      </c>
      <c r="L241">
        <v>1022</v>
      </c>
      <c r="M241">
        <v>1.2</v>
      </c>
      <c r="N241" s="5">
        <v>3.4099999999999998E-12</v>
      </c>
      <c r="O241" s="5">
        <v>1.3E-13</v>
      </c>
      <c r="P241" s="5">
        <f>_xlfn.XLOOKUP(A241,'[2]LX COMPUTED'!A:A,'[2]LX COMPUTED'!T:T,"-",0)</f>
        <v>4.9107608050447729</v>
      </c>
      <c r="Q241" s="5">
        <f>_xlfn.XLOOKUP(A241,'[2]LX COMPUTED'!A:A,'[2]LX COMPUTED'!U:U,"-",0)</f>
        <v>0.18626270550436697</v>
      </c>
      <c r="R241" s="5">
        <f>_xlfn.XLOOKUP(A241,'[2]LX COMPUTED'!A:A,'[2]LX COMPUTED'!V:V,"-",0)</f>
        <v>7.821021223438037</v>
      </c>
      <c r="S241" s="5">
        <f>_xlfn.XLOOKUP(A241,'[2]LX COMPUTED'!A:A,'[2]LX COMPUTED'!W:W,"-",0)</f>
        <v>0.48847217402487203</v>
      </c>
      <c r="T241" s="5">
        <f>_xlfn.XLOOKUP(A241,'[2]LX COMPUTED'!A:A,'[2]LX COMPUTED'!AK:AK,"-",0)</f>
        <v>1.8883343920172517</v>
      </c>
      <c r="U241" s="5">
        <f>_xlfn.XLOOKUP(A241,'[2]LX COMPUTED'!A:A,'[2]LX COMPUTED'!AL:AL,"-",0)</f>
        <v>7.1623580686876978E-2</v>
      </c>
      <c r="V241" s="2">
        <f>_xlfn.XLOOKUP(A241,'[2]LX COMPUTED'!A:A,'[2]LX COMPUTED'!AE:AE,"-",0)</f>
        <v>0.56503442999234887</v>
      </c>
      <c r="W241" s="2">
        <f>_xlfn.XLOOKUP(A241,'[2]LX COMPUTED'!A:A,'[2]LX COMPUTED'!AF:AF,"-",0)</f>
        <v>1.2112818743851065E-2</v>
      </c>
    </row>
    <row r="242" spans="1:23" x14ac:dyDescent="0.2">
      <c r="A242" t="s">
        <v>255</v>
      </c>
      <c r="B242">
        <v>0.317</v>
      </c>
      <c r="C242">
        <v>300.87130000000002</v>
      </c>
      <c r="D242">
        <v>-23.3734</v>
      </c>
      <c r="E242">
        <v>1323</v>
      </c>
      <c r="F242">
        <v>9.26</v>
      </c>
      <c r="G242">
        <v>0.94</v>
      </c>
      <c r="H242">
        <v>0.17</v>
      </c>
      <c r="I242">
        <v>0.08</v>
      </c>
      <c r="J242" t="s">
        <v>739</v>
      </c>
      <c r="K242">
        <v>1180</v>
      </c>
      <c r="L242">
        <v>1022</v>
      </c>
      <c r="M242">
        <v>1.2</v>
      </c>
      <c r="N242" s="5">
        <v>2.0900000000000002E-12</v>
      </c>
      <c r="O242" s="5">
        <v>5.6999999999999997E-14</v>
      </c>
      <c r="P242" s="5">
        <f>_xlfn.XLOOKUP(A242,'[2]LX COMPUTED'!A:A,'[2]LX COMPUTED'!T:T,"-",0)</f>
        <v>6.7248986312696015</v>
      </c>
      <c r="Q242" s="5">
        <f>_xlfn.XLOOKUP(A242,'[2]LX COMPUTED'!A:A,'[2]LX COMPUTED'!U:U,"-",0)</f>
        <v>0.18465185647636959</v>
      </c>
      <c r="R242" s="5">
        <f>_xlfn.XLOOKUP(A242,'[2]LX COMPUTED'!A:A,'[2]LX COMPUTED'!V:V,"-",0)</f>
        <v>11.505444277226365</v>
      </c>
      <c r="S242" s="5">
        <f>_xlfn.XLOOKUP(A242,'[2]LX COMPUTED'!A:A,'[2]LX COMPUTED'!W:W,"-",0)</f>
        <v>0.71986088621048061</v>
      </c>
      <c r="T242" s="5">
        <f>_xlfn.XLOOKUP(A242,'[2]LX COMPUTED'!A:A,'[2]LX COMPUTED'!AK:AK,"-",0)</f>
        <v>2.5106202401126856</v>
      </c>
      <c r="U242" s="5">
        <f>_xlfn.XLOOKUP(A242,'[2]LX COMPUTED'!A:A,'[2]LX COMPUTED'!AL:AL,"-",0)</f>
        <v>6.893645743421925E-2</v>
      </c>
      <c r="V242" s="2">
        <f>_xlfn.XLOOKUP(A242,'[2]LX COMPUTED'!A:A,'[2]LX COMPUTED'!AE:AE,"-",0)</f>
        <v>0.24171476278630805</v>
      </c>
      <c r="W242" s="2">
        <f>_xlfn.XLOOKUP(A242,'[2]LX COMPUTED'!A:A,'[2]LX COMPUTED'!AF:AF,"-",0)</f>
        <v>7.24963590209338E-3</v>
      </c>
    </row>
    <row r="243" spans="1:23" x14ac:dyDescent="0.2">
      <c r="A243" t="s">
        <v>256</v>
      </c>
      <c r="B243">
        <v>0.27900000000000003</v>
      </c>
      <c r="C243">
        <v>302.86219999999997</v>
      </c>
      <c r="D243">
        <v>-57.419899999999998</v>
      </c>
      <c r="E243">
        <v>835</v>
      </c>
      <c r="F243">
        <v>3.8</v>
      </c>
      <c r="G243">
        <v>0.45</v>
      </c>
      <c r="H243">
        <v>0.12</v>
      </c>
      <c r="I243">
        <v>0.11</v>
      </c>
      <c r="J243" t="s">
        <v>739</v>
      </c>
      <c r="K243">
        <v>1120</v>
      </c>
      <c r="L243">
        <v>1022</v>
      </c>
      <c r="M243">
        <v>1.1000000000000001</v>
      </c>
      <c r="N243" s="5">
        <v>6.9299999999999998E-13</v>
      </c>
      <c r="O243" s="5">
        <v>5.3000000000000001E-14</v>
      </c>
      <c r="P243" s="5">
        <f>_xlfn.XLOOKUP(A243,'[2]LX COMPUTED'!A:A,'[2]LX COMPUTED'!T:T,"-",0)</f>
        <v>1.8354168845014764</v>
      </c>
      <c r="Q243" s="5">
        <f>_xlfn.XLOOKUP(A243,'[2]LX COMPUTED'!A:A,'[2]LX COMPUTED'!U:U,"-",0)</f>
        <v>0.14139160096687864</v>
      </c>
      <c r="R243" s="5">
        <f>_xlfn.XLOOKUP(A243,'[2]LX COMPUTED'!A:A,'[2]LX COMPUTED'!V:V,"-",0)</f>
        <v>2.5038609742464244</v>
      </c>
      <c r="S243" s="5">
        <f>_xlfn.XLOOKUP(A243,'[2]LX COMPUTED'!A:A,'[2]LX COMPUTED'!W:W,"-",0)</f>
        <v>0.20419152436644442</v>
      </c>
      <c r="T243" s="5">
        <f>_xlfn.XLOOKUP(A243,'[2]LX COMPUTED'!A:A,'[2]LX COMPUTED'!AK:AK,"-",0)</f>
        <v>0.8986349174902003</v>
      </c>
      <c r="U243" s="5">
        <f>_xlfn.XLOOKUP(A243,'[2]LX COMPUTED'!A:A,'[2]LX COMPUTED'!AL:AL,"-",0)</f>
        <v>6.9226468788418788E-2</v>
      </c>
      <c r="V243" s="2">
        <f>_xlfn.XLOOKUP(A243,'[2]LX COMPUTED'!A:A,'[2]LX COMPUTED'!AE:AE,"-",0)</f>
        <v>0.63536347844396479</v>
      </c>
      <c r="W243" s="2">
        <f>_xlfn.XLOOKUP(A243,'[2]LX COMPUTED'!A:A,'[2]LX COMPUTED'!AF:AF,"-",0)</f>
        <v>2.1580094933414447E-2</v>
      </c>
    </row>
    <row r="244" spans="1:23" x14ac:dyDescent="0.2">
      <c r="A244" t="s">
        <v>275</v>
      </c>
      <c r="B244">
        <v>0.13800000000000001</v>
      </c>
      <c r="C244">
        <v>334.6644</v>
      </c>
      <c r="D244">
        <v>-38.9009</v>
      </c>
      <c r="E244">
        <v>1109</v>
      </c>
      <c r="F244">
        <v>5.75</v>
      </c>
      <c r="G244">
        <v>0.4</v>
      </c>
      <c r="H244">
        <v>0.18</v>
      </c>
      <c r="I244">
        <v>0.08</v>
      </c>
      <c r="J244" t="s">
        <v>739</v>
      </c>
      <c r="K244">
        <v>1272</v>
      </c>
      <c r="L244">
        <v>1022</v>
      </c>
      <c r="M244">
        <v>1.2</v>
      </c>
      <c r="N244" s="5">
        <v>5.7000000000000003E-12</v>
      </c>
      <c r="O244" s="5">
        <v>1.7000000000000001E-13</v>
      </c>
      <c r="P244" s="5">
        <f>_xlfn.XLOOKUP(A244,'[2]LX COMPUTED'!A:A,'[2]LX COMPUTED'!T:T,"-",0)</f>
        <v>2.9725359135039606</v>
      </c>
      <c r="Q244" s="5">
        <f>_xlfn.XLOOKUP(A244,'[2]LX COMPUTED'!A:A,'[2]LX COMPUTED'!U:U,"-",0)</f>
        <v>9.0915242271312771E-2</v>
      </c>
      <c r="R244" s="5">
        <f>_xlfn.XLOOKUP(A244,'[2]LX COMPUTED'!A:A,'[2]LX COMPUTED'!V:V,"-",0)</f>
        <v>4.3515156004697415</v>
      </c>
      <c r="S244" s="5">
        <f>_xlfn.XLOOKUP(A244,'[2]LX COMPUTED'!A:A,'[2]LX COMPUTED'!W:W,"-",0)</f>
        <v>0.16853260858413008</v>
      </c>
      <c r="T244" s="5">
        <f>_xlfn.XLOOKUP(A244,'[2]LX COMPUTED'!A:A,'[2]LX COMPUTED'!AK:AK,"-",0)</f>
        <v>1.2557864868910877</v>
      </c>
      <c r="U244" s="5">
        <f>_xlfn.XLOOKUP(A244,'[2]LX COMPUTED'!A:A,'[2]LX COMPUTED'!AL:AL,"-",0)</f>
        <v>3.8408327441252922E-2</v>
      </c>
      <c r="V244" s="2">
        <f>_xlfn.XLOOKUP(A244,'[2]LX COMPUTED'!A:A,'[2]LX COMPUTED'!AE:AE,"-",0)</f>
        <v>0.50802970126057678</v>
      </c>
      <c r="W244" s="2">
        <f>_xlfn.XLOOKUP(A244,'[2]LX COMPUTED'!A:A,'[2]LX COMPUTED'!AF:AF,"-",0)</f>
        <v>1.1799984186476445E-2</v>
      </c>
    </row>
    <row r="245" spans="1:23" x14ac:dyDescent="0.2">
      <c r="A245" t="s">
        <v>291</v>
      </c>
      <c r="B245">
        <v>0.3</v>
      </c>
      <c r="C245">
        <v>347.88850000000002</v>
      </c>
      <c r="D245">
        <v>3.6353</v>
      </c>
      <c r="E245">
        <v>1312</v>
      </c>
      <c r="F245">
        <v>9.4700000000000006</v>
      </c>
      <c r="G245">
        <v>1.0900000000000001</v>
      </c>
      <c r="H245">
        <v>0.3</v>
      </c>
      <c r="I245">
        <v>0.11</v>
      </c>
      <c r="J245" t="s">
        <v>739</v>
      </c>
      <c r="K245">
        <v>2588</v>
      </c>
      <c r="L245">
        <v>2047</v>
      </c>
      <c r="M245">
        <v>1.3</v>
      </c>
      <c r="N245" s="5">
        <v>2.33E-12</v>
      </c>
      <c r="O245" s="5">
        <v>9.5999999999999995E-14</v>
      </c>
      <c r="P245" s="5">
        <f>_xlfn.XLOOKUP(A245,'[2]LX COMPUTED'!A:A,'[2]LX COMPUTED'!T:T,"-",0)</f>
        <v>6.4777497673063555</v>
      </c>
      <c r="Q245" s="5">
        <f>_xlfn.XLOOKUP(A245,'[2]LX COMPUTED'!A:A,'[2]LX COMPUTED'!U:U,"-",0)</f>
        <v>0.26860653128209871</v>
      </c>
      <c r="R245" s="5">
        <f>_xlfn.XLOOKUP(A245,'[2]LX COMPUTED'!A:A,'[2]LX COMPUTED'!V:V,"-",0)</f>
        <v>11.172562555179532</v>
      </c>
      <c r="S245" s="5">
        <f>_xlfn.XLOOKUP(A245,'[2]LX COMPUTED'!A:A,'[2]LX COMPUTED'!W:W,"-",0)</f>
        <v>0.86234823164036656</v>
      </c>
      <c r="T245" s="5">
        <f>_xlfn.XLOOKUP(A245,'[2]LX COMPUTED'!A:A,'[2]LX COMPUTED'!AK:AK,"-",0)</f>
        <v>2.3797855492910989</v>
      </c>
      <c r="U245" s="5">
        <f>_xlfn.XLOOKUP(A245,'[2]LX COMPUTED'!A:A,'[2]LX COMPUTED'!AL:AL,"-",0)</f>
        <v>9.8680246158405635E-2</v>
      </c>
      <c r="V245" s="2">
        <f>_xlfn.XLOOKUP(A245,'[2]LX COMPUTED'!A:A,'[2]LX COMPUTED'!AE:AE,"-",0)</f>
        <v>0.49978485370051634</v>
      </c>
      <c r="W245" s="2">
        <f>_xlfn.XLOOKUP(A245,'[2]LX COMPUTED'!A:A,'[2]LX COMPUTED'!AF:AF,"-",0)</f>
        <v>1.4789046846547717E-2</v>
      </c>
    </row>
    <row r="246" spans="1:23" x14ac:dyDescent="0.2">
      <c r="A246" t="s">
        <v>300</v>
      </c>
      <c r="B246">
        <v>7.9000000000000001E-2</v>
      </c>
      <c r="C246">
        <v>356.07690000000002</v>
      </c>
      <c r="D246">
        <v>-4.3815999999999997</v>
      </c>
      <c r="E246">
        <v>1009</v>
      </c>
      <c r="F246">
        <v>4.41</v>
      </c>
      <c r="G246">
        <v>0.2</v>
      </c>
      <c r="H246">
        <v>0.45</v>
      </c>
      <c r="I246">
        <v>0.08</v>
      </c>
      <c r="J246" t="s">
        <v>739</v>
      </c>
      <c r="K246">
        <v>1375</v>
      </c>
      <c r="L246">
        <v>1022</v>
      </c>
      <c r="M246">
        <v>1.3</v>
      </c>
      <c r="N246" s="5">
        <v>8.2699999999999993E-12</v>
      </c>
      <c r="O246" s="5">
        <v>2.6E-13</v>
      </c>
      <c r="P246" s="5">
        <f>_xlfn.XLOOKUP(A246,'[2]LX COMPUTED'!A:A,'[2]LX COMPUTED'!T:T,"-",0)</f>
        <v>1.3387554190724662</v>
      </c>
      <c r="Q246" s="5">
        <f>_xlfn.XLOOKUP(A246,'[2]LX COMPUTED'!A:A,'[2]LX COMPUTED'!U:U,"-",0)</f>
        <v>4.2913885418658704E-2</v>
      </c>
      <c r="R246" s="5">
        <f>_xlfn.XLOOKUP(A246,'[2]LX COMPUTED'!A:A,'[2]LX COMPUTED'!V:V,"-",0)</f>
        <v>1.8439244569168067</v>
      </c>
      <c r="S246" s="5">
        <f>_xlfn.XLOOKUP(A246,'[2]LX COMPUTED'!A:A,'[2]LX COMPUTED'!W:W,"-",0)</f>
        <v>6.2921254169278129E-2</v>
      </c>
      <c r="T246" s="5">
        <f>_xlfn.XLOOKUP(A246,'[2]LX COMPUTED'!A:A,'[2]LX COMPUTED'!AK:AK,"-",0)</f>
        <v>0.60675735759627369</v>
      </c>
      <c r="U246" s="5">
        <f>_xlfn.XLOOKUP(A246,'[2]LX COMPUTED'!A:A,'[2]LX COMPUTED'!AL:AL,"-",0)</f>
        <v>1.9449643564359815E-2</v>
      </c>
      <c r="V246" s="2">
        <f>_xlfn.XLOOKUP(A246,'[2]LX COMPUTED'!A:A,'[2]LX COMPUTED'!AE:AE,"-",0)</f>
        <v>0.34586168697578729</v>
      </c>
      <c r="W246" s="2">
        <f>_xlfn.XLOOKUP(A246,'[2]LX COMPUTED'!A:A,'[2]LX COMPUTED'!AF:AF,"-",0)</f>
        <v>1.2207858550579037E-2</v>
      </c>
    </row>
    <row r="247" spans="1:23" x14ac:dyDescent="0.2">
      <c r="A247" t="s">
        <v>219</v>
      </c>
      <c r="B247">
        <v>4.4999999999999998E-2</v>
      </c>
      <c r="C247">
        <v>230.46600000000001</v>
      </c>
      <c r="D247">
        <v>7.7081</v>
      </c>
      <c r="E247">
        <v>910</v>
      </c>
      <c r="F247">
        <v>3.37</v>
      </c>
      <c r="G247">
        <v>0.42</v>
      </c>
      <c r="H247">
        <v>0.25</v>
      </c>
      <c r="I247">
        <v>0.11</v>
      </c>
      <c r="J247" t="s">
        <v>740</v>
      </c>
      <c r="K247">
        <v>1982</v>
      </c>
      <c r="L247">
        <v>1022</v>
      </c>
      <c r="M247">
        <v>1.9</v>
      </c>
      <c r="N247" s="5">
        <v>1.1000000000000001E-11</v>
      </c>
      <c r="O247" s="5">
        <v>1.1999999999999999E-13</v>
      </c>
      <c r="P247" s="5">
        <f>_xlfn.XLOOKUP(A247,'[2]LX COMPUTED'!A:A,'[2]LX COMPUTED'!T:T,"-",0)</f>
        <v>0.5428691064029062</v>
      </c>
      <c r="Q247" s="5">
        <f>_xlfn.XLOOKUP(A247,'[2]LX COMPUTED'!A:A,'[2]LX COMPUTED'!U:U,"-",0)</f>
        <v>6.104996368226632E-3</v>
      </c>
      <c r="R247" s="5">
        <f>_xlfn.XLOOKUP(A247,'[2]LX COMPUTED'!A:A,'[2]LX COMPUTED'!V:V,"-",0)</f>
        <v>0.73078193533060831</v>
      </c>
      <c r="S247" s="5">
        <f>_xlfn.XLOOKUP(A247,'[2]LX COMPUTED'!A:A,'[2]LX COMPUTED'!W:W,"-",0)</f>
        <v>2.0278125571471801E-2</v>
      </c>
      <c r="T247" s="5">
        <f>_xlfn.XLOOKUP(A247,'[2]LX COMPUTED'!A:A,'[2]LX COMPUTED'!AK:AK,"-",0)</f>
        <v>0.27696942783297474</v>
      </c>
      <c r="U247" s="5">
        <f>_xlfn.XLOOKUP(A247,'[2]LX COMPUTED'!A:A,'[2]LX COMPUTED'!AL:AL,"-",0)</f>
        <v>3.1147422667577068E-3</v>
      </c>
      <c r="V247" s="2">
        <f>_xlfn.XLOOKUP(A247,'[2]LX COMPUTED'!A:A,'[2]LX COMPUTED'!AE:AE,"-",0)</f>
        <v>0.70338527673293927</v>
      </c>
      <c r="W247" s="2">
        <f>_xlfn.XLOOKUP(A247,'[2]LX COMPUTED'!A:A,'[2]LX COMPUTED'!AF:AF,"-",0)</f>
        <v>2.903653292710921E-3</v>
      </c>
    </row>
    <row r="248" spans="1:23" x14ac:dyDescent="0.2">
      <c r="A248" t="s">
        <v>31</v>
      </c>
      <c r="B248">
        <v>0.254</v>
      </c>
      <c r="C248">
        <v>16.706199999999999</v>
      </c>
      <c r="D248">
        <v>1.0563</v>
      </c>
      <c r="E248">
        <v>928</v>
      </c>
      <c r="F248">
        <v>4.33</v>
      </c>
      <c r="G248">
        <v>0.25</v>
      </c>
      <c r="H248">
        <v>0.24</v>
      </c>
      <c r="I248">
        <v>0.11</v>
      </c>
      <c r="J248" t="s">
        <v>740</v>
      </c>
      <c r="K248">
        <v>1087</v>
      </c>
      <c r="L248">
        <v>1022</v>
      </c>
      <c r="M248">
        <v>1.1000000000000001</v>
      </c>
      <c r="N248" s="5">
        <v>8.8599999999999996E-13</v>
      </c>
      <c r="O248" s="5">
        <v>3.5000000000000002E-14</v>
      </c>
      <c r="P248" s="5">
        <f>_xlfn.XLOOKUP(A248,'[2]LX COMPUTED'!A:A,'[2]LX COMPUTED'!T:T,"-",0)</f>
        <v>1.7819426028187317</v>
      </c>
      <c r="Q248" s="5">
        <f>_xlfn.XLOOKUP(A248,'[2]LX COMPUTED'!A:A,'[2]LX COMPUTED'!U:U,"-",0)</f>
        <v>7.035696762309683E-2</v>
      </c>
      <c r="R248" s="5">
        <f>_xlfn.XLOOKUP(A248,'[2]LX COMPUTED'!A:A,'[2]LX COMPUTED'!V:V,"-",0)</f>
        <v>2.4627319698403496</v>
      </c>
      <c r="S248" s="5">
        <f>_xlfn.XLOOKUP(A248,'[2]LX COMPUTED'!A:A,'[2]LX COMPUTED'!W:W,"-",0)</f>
        <v>0.10422047487324314</v>
      </c>
      <c r="T248" s="5">
        <f>_xlfn.XLOOKUP(A248,'[2]LX COMPUTED'!A:A,'[2]LX COMPUTED'!AK:AK,"-",0)</f>
        <v>0.82525368675038413</v>
      </c>
      <c r="U248" s="5">
        <f>_xlfn.XLOOKUP(A248,'[2]LX COMPUTED'!A:A,'[2]LX COMPUTED'!AL:AL,"-",0)</f>
        <v>3.2583735765502921E-2</v>
      </c>
      <c r="V248" s="2">
        <f>_xlfn.XLOOKUP(A248,'[2]LX COMPUTED'!A:A,'[2]LX COMPUTED'!AE:AE,"-",0)</f>
        <v>0.77343829874245984</v>
      </c>
      <c r="W248" s="2">
        <f>_xlfn.XLOOKUP(A248,'[2]LX COMPUTED'!A:A,'[2]LX COMPUTED'!AF:AF,"-",0)</f>
        <v>7.6394243504942097E-3</v>
      </c>
    </row>
    <row r="249" spans="1:23" x14ac:dyDescent="0.2">
      <c r="A249" t="s">
        <v>157</v>
      </c>
      <c r="B249">
        <v>3.2000000000000001E-2</v>
      </c>
      <c r="C249">
        <v>167.43520000000001</v>
      </c>
      <c r="D249">
        <v>21.7591</v>
      </c>
      <c r="E249">
        <v>623</v>
      </c>
      <c r="F249">
        <v>1.62</v>
      </c>
      <c r="G249">
        <v>7.0000000000000007E-2</v>
      </c>
      <c r="H249">
        <v>0.32</v>
      </c>
      <c r="I249">
        <v>0.06</v>
      </c>
      <c r="J249" t="s">
        <v>739</v>
      </c>
      <c r="K249">
        <v>1231</v>
      </c>
      <c r="L249">
        <v>1022</v>
      </c>
      <c r="M249">
        <v>1.2</v>
      </c>
      <c r="N249" s="5">
        <v>7.6099999999999999E-13</v>
      </c>
      <c r="O249" s="5">
        <v>5.9000000000000001E-14</v>
      </c>
      <c r="P249" s="5">
        <f>_xlfn.XLOOKUP(A249,'[2]LX COMPUTED'!A:A,'[2]LX COMPUTED'!T:T,"-",0)</f>
        <v>1.8934523047467355E-2</v>
      </c>
      <c r="Q249" s="5">
        <f>_xlfn.XLOOKUP(A249,'[2]LX COMPUTED'!A:A,'[2]LX COMPUTED'!U:U,"-",0)</f>
        <v>1.4667561143902373E-3</v>
      </c>
      <c r="R249" s="5">
        <f>_xlfn.XLOOKUP(A249,'[2]LX COMPUTED'!A:A,'[2]LX COMPUTED'!V:V,"-",0)</f>
        <v>2.6145507610126122E-2</v>
      </c>
      <c r="S249" s="5">
        <f>_xlfn.XLOOKUP(A249,'[2]LX COMPUTED'!A:A,'[2]LX COMPUTED'!W:W,"-",0)</f>
        <v>2.028327177734031E-3</v>
      </c>
      <c r="T249" s="5">
        <f>_xlfn.XLOOKUP(A249,'[2]LX COMPUTED'!A:A,'[2]LX COMPUTED'!AK:AK,"-",0)</f>
        <v>1.3502573867358408E-2</v>
      </c>
      <c r="U249" s="5">
        <f>_xlfn.XLOOKUP(A249,'[2]LX COMPUTED'!A:A,'[2]LX COMPUTED'!AL:AL,"-",0)</f>
        <v>1.0459720971214459E-3</v>
      </c>
      <c r="V249" s="2">
        <f>_xlfn.XLOOKUP(A249,'[2]LX COMPUTED'!A:A,'[2]LX COMPUTED'!AE:AE,"-",0)</f>
        <v>0.63046010483401282</v>
      </c>
      <c r="W249" s="2">
        <f>_xlfn.XLOOKUP(A249,'[2]LX COMPUTED'!A:A,'[2]LX COMPUTED'!AF:AF,"-",0)</f>
        <v>2.2476733850681427E-2</v>
      </c>
    </row>
    <row r="250" spans="1:23" x14ac:dyDescent="0.2">
      <c r="A250" t="s">
        <v>240</v>
      </c>
      <c r="B250">
        <v>3.5000000000000003E-2</v>
      </c>
      <c r="C250">
        <v>254.49209999999999</v>
      </c>
      <c r="D250">
        <v>27.854299999999999</v>
      </c>
      <c r="E250">
        <v>681</v>
      </c>
      <c r="F250">
        <v>1.83</v>
      </c>
      <c r="G250">
        <v>0.35</v>
      </c>
      <c r="H250">
        <v>0.1</v>
      </c>
      <c r="I250">
        <v>0.11</v>
      </c>
      <c r="J250" t="s">
        <v>740</v>
      </c>
      <c r="K250">
        <v>2979</v>
      </c>
      <c r="L250">
        <v>1022</v>
      </c>
      <c r="M250">
        <v>2.9</v>
      </c>
      <c r="N250" s="5">
        <v>2.3100000000000001E-12</v>
      </c>
      <c r="O250" s="5">
        <v>1.4999999999999999E-13</v>
      </c>
      <c r="P250" s="5">
        <f>_xlfn.XLOOKUP(A250,'[2]LX COMPUTED'!A:A,'[2]LX COMPUTED'!T:T,"-",0)</f>
        <v>7.6141978522700951E-2</v>
      </c>
      <c r="Q250" s="5">
        <f>_xlfn.XLOOKUP(A250,'[2]LX COMPUTED'!A:A,'[2]LX COMPUTED'!U:U,"-",0)</f>
        <v>5.0261528630995232E-3</v>
      </c>
      <c r="R250" s="5">
        <f>_xlfn.XLOOKUP(A250,'[2]LX COMPUTED'!A:A,'[2]LX COMPUTED'!V:V,"-",0)</f>
        <v>0.10754852094484726</v>
      </c>
      <c r="S250" s="5">
        <f>_xlfn.XLOOKUP(A250,'[2]LX COMPUTED'!A:A,'[2]LX COMPUTED'!W:W,"-",0)</f>
        <v>7.4439836804411829E-3</v>
      </c>
      <c r="T250" s="5">
        <f>_xlfn.XLOOKUP(A250,'[2]LX COMPUTED'!A:A,'[2]LX COMPUTED'!AK:AK,"-",0)</f>
        <v>5.0724696791969476E-2</v>
      </c>
      <c r="U250" s="5">
        <f>_xlfn.XLOOKUP(A250,'[2]LX COMPUTED'!A:A,'[2]LX COMPUTED'!AL:AL,"-",0)</f>
        <v>3.3483511324151087E-3</v>
      </c>
      <c r="V250" s="2">
        <f>_xlfn.XLOOKUP(A250,'[2]LX COMPUTED'!A:A,'[2]LX COMPUTED'!AE:AE,"-",0)</f>
        <v>0.42619697345571816</v>
      </c>
      <c r="W250" s="2">
        <f>_xlfn.XLOOKUP(A250,'[2]LX COMPUTED'!A:A,'[2]LX COMPUTED'!AF:AF,"-",0)</f>
        <v>2.131659538815266E-2</v>
      </c>
    </row>
    <row r="251" spans="1:23" x14ac:dyDescent="0.2">
      <c r="A251" t="s">
        <v>330</v>
      </c>
      <c r="B251">
        <v>0.16700000000000001</v>
      </c>
      <c r="C251">
        <v>1.5845</v>
      </c>
      <c r="D251">
        <v>10.8643</v>
      </c>
      <c r="E251">
        <v>1055</v>
      </c>
      <c r="F251">
        <v>5.16</v>
      </c>
      <c r="G251">
        <v>0.41</v>
      </c>
      <c r="H251">
        <v>0.39</v>
      </c>
      <c r="I251">
        <v>0.1</v>
      </c>
      <c r="J251" t="s">
        <v>739</v>
      </c>
      <c r="K251">
        <v>1115</v>
      </c>
      <c r="L251">
        <v>1022</v>
      </c>
      <c r="M251">
        <v>1.1000000000000001</v>
      </c>
      <c r="N251" s="5">
        <v>2.0600000000000001E-12</v>
      </c>
      <c r="O251" s="5">
        <v>8.3999999999999995E-14</v>
      </c>
      <c r="P251" s="5">
        <f>_xlfn.XLOOKUP(A251,'[2]LX COMPUTED'!A:A,'[2]LX COMPUTED'!T:T,"-",0)</f>
        <v>1.6581514530015717</v>
      </c>
      <c r="Q251" s="5">
        <f>_xlfn.XLOOKUP(A251,'[2]LX COMPUTED'!A:A,'[2]LX COMPUTED'!U:U,"-",0)</f>
        <v>6.7305281419079543E-2</v>
      </c>
      <c r="R251" s="5">
        <f>_xlfn.XLOOKUP(A251,'[2]LX COMPUTED'!A:A,'[2]LX COMPUTED'!V:V,"-",0)</f>
        <v>2.3582474472041333</v>
      </c>
      <c r="S251" s="5">
        <f>_xlfn.XLOOKUP(A251,'[2]LX COMPUTED'!A:A,'[2]LX COMPUTED'!W:W,"-",0)</f>
        <v>0.11178349729809327</v>
      </c>
      <c r="T251" s="5">
        <f>_xlfn.XLOOKUP(A251,'[2]LX COMPUTED'!A:A,'[2]LX COMPUTED'!AK:AK,"-",0)</f>
        <v>0.71393040826772303</v>
      </c>
      <c r="U251" s="5">
        <f>_xlfn.XLOOKUP(A251,'[2]LX COMPUTED'!A:A,'[2]LX COMPUTED'!AL:AL,"-",0)</f>
        <v>2.8978828776536313E-2</v>
      </c>
      <c r="V251" s="2">
        <f>_xlfn.XLOOKUP(A251,'[2]LX COMPUTED'!A:A,'[2]LX COMPUTED'!AE:AE,"-",0)</f>
        <v>0.53029612756264233</v>
      </c>
      <c r="W251" s="2">
        <f>_xlfn.XLOOKUP(A251,'[2]LX COMPUTED'!A:A,'[2]LX COMPUTED'!AF:AF,"-",0)</f>
        <v>1.1745151794748254E-2</v>
      </c>
    </row>
    <row r="252" spans="1:23" x14ac:dyDescent="0.2">
      <c r="A252" t="s">
        <v>357</v>
      </c>
      <c r="B252">
        <v>4.4999999999999998E-2</v>
      </c>
      <c r="C252">
        <v>18.765799999999999</v>
      </c>
      <c r="D252">
        <v>0.40410000000000001</v>
      </c>
      <c r="E252">
        <v>804</v>
      </c>
      <c r="F252">
        <v>2.48</v>
      </c>
      <c r="G252">
        <v>0.38</v>
      </c>
      <c r="H252">
        <v>0.31</v>
      </c>
      <c r="I252">
        <v>0.13</v>
      </c>
      <c r="J252" t="s">
        <v>740</v>
      </c>
      <c r="K252">
        <v>2866</v>
      </c>
      <c r="L252">
        <v>1022</v>
      </c>
      <c r="M252">
        <v>2.8</v>
      </c>
      <c r="N252" s="5">
        <v>3.47E-12</v>
      </c>
      <c r="O252" s="5">
        <v>1.3E-13</v>
      </c>
      <c r="P252" s="5">
        <f>_xlfn.XLOOKUP(A252,'[2]LX COMPUTED'!A:A,'[2]LX COMPUTED'!T:T,"-",0)</f>
        <v>0.17187960193988866</v>
      </c>
      <c r="Q252" s="5">
        <f>_xlfn.XLOOKUP(A252,'[2]LX COMPUTED'!A:A,'[2]LX COMPUTED'!U:U,"-",0)</f>
        <v>6.3056422013450285E-3</v>
      </c>
      <c r="R252" s="5">
        <f>_xlfn.XLOOKUP(A252,'[2]LX COMPUTED'!A:A,'[2]LX COMPUTED'!V:V,"-",0)</f>
        <v>0.22979491892507301</v>
      </c>
      <c r="S252" s="5">
        <f>_xlfn.XLOOKUP(A252,'[2]LX COMPUTED'!A:A,'[2]LX COMPUTED'!W:W,"-",0)</f>
        <v>9.9390462879167443E-3</v>
      </c>
      <c r="T252" s="5">
        <f>_xlfn.XLOOKUP(A252,'[2]LX COMPUTED'!A:A,'[2]LX COMPUTED'!AK:AK,"-",0)</f>
        <v>9.9887844521986929E-2</v>
      </c>
      <c r="U252" s="5">
        <f>_xlfn.XLOOKUP(A252,'[2]LX COMPUTED'!A:A,'[2]LX COMPUTED'!AL:AL,"-",0)</f>
        <v>3.6645244735876866E-3</v>
      </c>
      <c r="V252" s="2">
        <f>_xlfn.XLOOKUP(A252,'[2]LX COMPUTED'!A:A,'[2]LX COMPUTED'!AE:AE,"-",0)</f>
        <v>0.22262275261402054</v>
      </c>
      <c r="W252" s="2">
        <f>_xlfn.XLOOKUP(A252,'[2]LX COMPUTED'!A:A,'[2]LX COMPUTED'!AF:AF,"-",0)</f>
        <v>1.2696659413287707E-2</v>
      </c>
    </row>
    <row r="253" spans="1:23" x14ac:dyDescent="0.2">
      <c r="A253" t="s">
        <v>178</v>
      </c>
      <c r="B253">
        <v>0.37</v>
      </c>
      <c r="C253">
        <v>186.7123</v>
      </c>
      <c r="D253">
        <v>21.8323</v>
      </c>
      <c r="E253">
        <v>858</v>
      </c>
      <c r="F253">
        <v>5.13</v>
      </c>
      <c r="G253">
        <v>0.46</v>
      </c>
      <c r="H253">
        <v>0.18</v>
      </c>
      <c r="I253">
        <v>0.1</v>
      </c>
      <c r="J253" t="s">
        <v>739</v>
      </c>
      <c r="K253">
        <v>1076</v>
      </c>
      <c r="L253">
        <v>1022</v>
      </c>
      <c r="M253">
        <v>1.1000000000000001</v>
      </c>
      <c r="N253" s="5">
        <v>2.9200000000000002E-13</v>
      </c>
      <c r="O253" s="5">
        <v>1.1999999999999999E-14</v>
      </c>
      <c r="P253" s="5">
        <f>_xlfn.XLOOKUP(A253,'[2]LX COMPUTED'!A:A,'[2]LX COMPUTED'!T:T,"-",0)</f>
        <v>1.3962613399567247</v>
      </c>
      <c r="Q253" s="5">
        <f>_xlfn.XLOOKUP(A253,'[2]LX COMPUTED'!A:A,'[2]LX COMPUTED'!U:U,"-",0)</f>
        <v>5.8214155952442226E-2</v>
      </c>
      <c r="R253" s="5">
        <f>_xlfn.XLOOKUP(A253,'[2]LX COMPUTED'!A:A,'[2]LX COMPUTED'!V:V,"-",0)</f>
        <v>1.992559196218459</v>
      </c>
      <c r="S253" s="5">
        <f>_xlfn.XLOOKUP(A253,'[2]LX COMPUTED'!A:A,'[2]LX COMPUTED'!W:W,"-",0)</f>
        <v>9.9497293954480898E-2</v>
      </c>
      <c r="T253" s="5">
        <f>_xlfn.XLOOKUP(A253,'[2]LX COMPUTED'!A:A,'[2]LX COMPUTED'!AK:AK,"-",0)</f>
        <v>0.61252264197788597</v>
      </c>
      <c r="U253" s="5">
        <f>_xlfn.XLOOKUP(A253,'[2]LX COMPUTED'!A:A,'[2]LX COMPUTED'!AL:AL,"-",0)</f>
        <v>2.5537832771053981E-2</v>
      </c>
      <c r="V253" s="2">
        <f>_xlfn.XLOOKUP(A253,'[2]LX COMPUTED'!A:A,'[2]LX COMPUTED'!AE:AE,"-",0)</f>
        <v>0.53463134375997445</v>
      </c>
      <c r="W253" s="2">
        <f>_xlfn.XLOOKUP(A253,'[2]LX COMPUTED'!A:A,'[2]LX COMPUTED'!AF:AF,"-",0)</f>
        <v>1.4435923696283371E-2</v>
      </c>
    </row>
    <row r="254" spans="1:23" x14ac:dyDescent="0.2">
      <c r="A254" t="s">
        <v>213</v>
      </c>
      <c r="B254">
        <v>0.25800000000000001</v>
      </c>
      <c r="C254">
        <v>224.31290000000001</v>
      </c>
      <c r="D254">
        <v>22.342500000000001</v>
      </c>
      <c r="E254">
        <v>1012</v>
      </c>
      <c r="F254">
        <v>5.04</v>
      </c>
      <c r="G254">
        <v>0.43</v>
      </c>
      <c r="H254">
        <v>0.28999999999999998</v>
      </c>
      <c r="I254">
        <v>0.1</v>
      </c>
      <c r="J254" t="s">
        <v>740</v>
      </c>
      <c r="K254">
        <v>1093</v>
      </c>
      <c r="L254">
        <v>1022</v>
      </c>
      <c r="M254">
        <v>1.1000000000000001</v>
      </c>
      <c r="N254" s="5">
        <v>1.6400000000000001E-12</v>
      </c>
      <c r="O254" s="5">
        <v>3.7E-14</v>
      </c>
      <c r="P254" s="5">
        <f>_xlfn.XLOOKUP(A254,'[2]LX COMPUTED'!A:A,'[2]LX COMPUTED'!T:T,"-",0)</f>
        <v>3.410568035995579</v>
      </c>
      <c r="Q254" s="5">
        <f>_xlfn.XLOOKUP(A254,'[2]LX COMPUTED'!A:A,'[2]LX COMPUTED'!U:U,"-",0)</f>
        <v>7.6520050295517367E-2</v>
      </c>
      <c r="R254" s="5">
        <f>_xlfn.XLOOKUP(A254,'[2]LX COMPUTED'!A:A,'[2]LX COMPUTED'!V:V,"-",0)</f>
        <v>4.8354949105940221</v>
      </c>
      <c r="S254" s="5">
        <f>_xlfn.XLOOKUP(A254,'[2]LX COMPUTED'!A:A,'[2]LX COMPUTED'!W:W,"-",0)</f>
        <v>0.16539735387206839</v>
      </c>
      <c r="T254" s="5">
        <f>_xlfn.XLOOKUP(A254,'[2]LX COMPUTED'!A:A,'[2]LX COMPUTED'!AK:AK,"-",0)</f>
        <v>1.4911495114905833</v>
      </c>
      <c r="U254" s="5">
        <f>_xlfn.XLOOKUP(A254,'[2]LX COMPUTED'!A:A,'[2]LX COMPUTED'!AL:AL,"-",0)</f>
        <v>3.3455669088884726E-2</v>
      </c>
      <c r="V254" s="2">
        <f>_xlfn.XLOOKUP(A254,'[2]LX COMPUTED'!A:A,'[2]LX COMPUTED'!AE:AE,"-",0)</f>
        <v>0.77359790547058016</v>
      </c>
      <c r="W254" s="2">
        <f>_xlfn.XLOOKUP(A254,'[2]LX COMPUTED'!A:A,'[2]LX COMPUTED'!AF:AF,"-",0)</f>
        <v>4.427320323280466E-3</v>
      </c>
    </row>
    <row r="255" spans="1:23" x14ac:dyDescent="0.2">
      <c r="A255" t="s">
        <v>125</v>
      </c>
      <c r="B255">
        <v>0.19400000000000001</v>
      </c>
      <c r="C255">
        <v>130.7329</v>
      </c>
      <c r="D255">
        <v>29.457599999999999</v>
      </c>
      <c r="E255">
        <v>1168</v>
      </c>
      <c r="F255">
        <v>6.19</v>
      </c>
      <c r="G255">
        <v>0.53</v>
      </c>
      <c r="H255">
        <v>0.5</v>
      </c>
      <c r="I255">
        <v>0.16</v>
      </c>
      <c r="J255" t="s">
        <v>739</v>
      </c>
      <c r="K255">
        <v>1079</v>
      </c>
      <c r="L255">
        <v>1022</v>
      </c>
      <c r="M255">
        <v>1.1000000000000001</v>
      </c>
      <c r="N255" s="5">
        <v>1.1499999999999999E-12</v>
      </c>
      <c r="O255" s="5">
        <v>4.1999999999999998E-14</v>
      </c>
      <c r="P255" s="5">
        <f>_xlfn.XLOOKUP(A255,'[2]LX COMPUTED'!A:A,'[2]LX COMPUTED'!T:T,"-",0)</f>
        <v>1.239338760144737</v>
      </c>
      <c r="Q255" s="5">
        <f>_xlfn.XLOOKUP(A255,'[2]LX COMPUTED'!A:A,'[2]LX COMPUTED'!U:U,"-",0)</f>
        <v>4.4992367457395516E-2</v>
      </c>
      <c r="R255" s="5">
        <f>_xlfn.XLOOKUP(A255,'[2]LX COMPUTED'!A:A,'[2]LX COMPUTED'!V:V,"-",0)</f>
        <v>1.8407593351886338</v>
      </c>
      <c r="S255" s="5">
        <f>_xlfn.XLOOKUP(A255,'[2]LX COMPUTED'!A:A,'[2]LX COMPUTED'!W:W,"-",0)</f>
        <v>8.8983769121305428E-2</v>
      </c>
      <c r="T255" s="5">
        <f>_xlfn.XLOOKUP(A255,'[2]LX COMPUTED'!A:A,'[2]LX COMPUTED'!AK:AK,"-",0)</f>
        <v>0.49851615506880792</v>
      </c>
      <c r="U255" s="5">
        <f>_xlfn.XLOOKUP(A255,'[2]LX COMPUTED'!A:A,'[2]LX COMPUTED'!AL:AL,"-",0)</f>
        <v>1.809789442047656E-2</v>
      </c>
      <c r="V255" s="2">
        <f>_xlfn.XLOOKUP(A255,'[2]LX COMPUTED'!A:A,'[2]LX COMPUTED'!AE:AE,"-",0)</f>
        <v>0.70291162071631019</v>
      </c>
      <c r="W255" s="2">
        <f>_xlfn.XLOOKUP(A255,'[2]LX COMPUTED'!A:A,'[2]LX COMPUTED'!AF:AF,"-",0)</f>
        <v>9.6381783730496579E-3</v>
      </c>
    </row>
    <row r="256" spans="1:23" x14ac:dyDescent="0.2">
      <c r="A256" t="s">
        <v>135</v>
      </c>
      <c r="B256">
        <v>0.25800000000000001</v>
      </c>
      <c r="C256">
        <v>140.11179999999999</v>
      </c>
      <c r="D256">
        <v>30.492699999999999</v>
      </c>
      <c r="E256">
        <v>1113</v>
      </c>
      <c r="F256">
        <v>6.07</v>
      </c>
      <c r="G256">
        <v>0.69</v>
      </c>
      <c r="H256">
        <v>0.37</v>
      </c>
      <c r="I256">
        <v>0.12</v>
      </c>
      <c r="J256" t="s">
        <v>739</v>
      </c>
      <c r="K256">
        <v>1125</v>
      </c>
      <c r="L256">
        <v>1022</v>
      </c>
      <c r="M256">
        <v>1.1000000000000001</v>
      </c>
      <c r="N256" s="5">
        <v>1.24E-12</v>
      </c>
      <c r="O256" s="5">
        <v>5.9000000000000001E-14</v>
      </c>
      <c r="P256" s="5">
        <f>_xlfn.XLOOKUP(A256,'[2]LX COMPUTED'!A:A,'[2]LX COMPUTED'!T:T,"-",0)</f>
        <v>2.4555621203141582</v>
      </c>
      <c r="Q256" s="5">
        <f>_xlfn.XLOOKUP(A256,'[2]LX COMPUTED'!A:A,'[2]LX COMPUTED'!U:U,"-",0)</f>
        <v>0.11732446283617666</v>
      </c>
      <c r="R256" s="5">
        <f>_xlfn.XLOOKUP(A256,'[2]LX COMPUTED'!A:A,'[2]LX COMPUTED'!V:V,"-",0)</f>
        <v>3.6326858415373646</v>
      </c>
      <c r="S256" s="5">
        <f>_xlfn.XLOOKUP(A256,'[2]LX COMPUTED'!A:A,'[2]LX COMPUTED'!W:W,"-",0)</f>
        <v>0.23008800889931463</v>
      </c>
      <c r="T256" s="5">
        <f>_xlfn.XLOOKUP(A256,'[2]LX COMPUTED'!A:A,'[2]LX COMPUTED'!AK:AK,"-",0)</f>
        <v>1.0031542737973096</v>
      </c>
      <c r="U256" s="5">
        <f>_xlfn.XLOOKUP(A256,'[2]LX COMPUTED'!A:A,'[2]LX COMPUTED'!AL:AL,"-",0)</f>
        <v>4.7929773529828967E-2</v>
      </c>
      <c r="V256" s="2">
        <f>_xlfn.XLOOKUP(A256,'[2]LX COMPUTED'!A:A,'[2]LX COMPUTED'!AE:AE,"-",0)</f>
        <v>0.30665321450591332</v>
      </c>
      <c r="W256" s="2">
        <f>_xlfn.XLOOKUP(A256,'[2]LX COMPUTED'!A:A,'[2]LX COMPUTED'!AF:AF,"-",0)</f>
        <v>1.3157883607324256E-2</v>
      </c>
    </row>
    <row r="257" spans="1:23" x14ac:dyDescent="0.2">
      <c r="A257" t="s">
        <v>540</v>
      </c>
      <c r="B257">
        <v>7.6999999999999999E-2</v>
      </c>
      <c r="C257">
        <v>184.42150000000001</v>
      </c>
      <c r="D257">
        <v>3.6555</v>
      </c>
      <c r="E257">
        <v>1296</v>
      </c>
      <c r="F257">
        <v>6.99</v>
      </c>
      <c r="G257">
        <v>0.35</v>
      </c>
      <c r="H257">
        <v>0.34</v>
      </c>
      <c r="I257">
        <v>0.08</v>
      </c>
      <c r="J257" t="s">
        <v>739</v>
      </c>
      <c r="K257">
        <v>2500</v>
      </c>
      <c r="L257">
        <v>1022</v>
      </c>
      <c r="M257">
        <v>2.4</v>
      </c>
      <c r="N257" s="5">
        <v>1.52E-11</v>
      </c>
      <c r="O257" s="5">
        <v>3.2E-13</v>
      </c>
      <c r="P257" s="5">
        <f>_xlfn.XLOOKUP(A257,'[2]LX COMPUTED'!A:A,'[2]LX COMPUTED'!T:T,"-",0)</f>
        <v>2.1949686060462801</v>
      </c>
      <c r="Q257" s="5">
        <f>_xlfn.XLOOKUP(A257,'[2]LX COMPUTED'!A:A,'[2]LX COMPUTED'!U:U,"-",0)</f>
        <v>4.6723056510430218E-2</v>
      </c>
      <c r="R257" s="5">
        <f>_xlfn.XLOOKUP(A257,'[2]LX COMPUTED'!A:A,'[2]LX COMPUTED'!V:V,"-",0)</f>
        <v>3.3915845565997129</v>
      </c>
      <c r="S257" s="5">
        <f>_xlfn.XLOOKUP(A257,'[2]LX COMPUTED'!A:A,'[2]LX COMPUTED'!W:W,"-",0)</f>
        <v>0.10170042312777727</v>
      </c>
      <c r="T257" s="5">
        <f>_xlfn.XLOOKUP(A257,'[2]LX COMPUTED'!A:A,'[2]LX COMPUTED'!AK:AK,"-",0)</f>
        <v>0.86556539153079626</v>
      </c>
      <c r="U257" s="5">
        <f>_xlfn.XLOOKUP(A257,'[2]LX COMPUTED'!A:A,'[2]LX COMPUTED'!AL:AL,"-",0)</f>
        <v>1.8424801425662555E-2</v>
      </c>
      <c r="V257" s="2">
        <f>_xlfn.XLOOKUP(A257,'[2]LX COMPUTED'!A:A,'[2]LX COMPUTED'!AE:AE,"-",0)</f>
        <v>0.36230058774139379</v>
      </c>
      <c r="W257" s="2">
        <f>_xlfn.XLOOKUP(A257,'[2]LX COMPUTED'!A:A,'[2]LX COMPUTED'!AF:AF,"-",0)</f>
        <v>7.6246988169646444E-3</v>
      </c>
    </row>
    <row r="258" spans="1:23" x14ac:dyDescent="0.2">
      <c r="A258" t="s">
        <v>245</v>
      </c>
      <c r="B258">
        <v>0.157</v>
      </c>
      <c r="C258">
        <v>266.81130000000002</v>
      </c>
      <c r="D258">
        <v>45.196800000000003</v>
      </c>
      <c r="E258">
        <v>973</v>
      </c>
      <c r="F258">
        <v>5.01</v>
      </c>
      <c r="G258">
        <v>0.51</v>
      </c>
      <c r="H258">
        <v>0.24</v>
      </c>
      <c r="I258">
        <v>0.11</v>
      </c>
      <c r="J258" t="s">
        <v>739</v>
      </c>
      <c r="K258">
        <v>1175</v>
      </c>
      <c r="L258">
        <v>1022</v>
      </c>
      <c r="M258">
        <v>1.1000000000000001</v>
      </c>
      <c r="N258" s="5">
        <v>1.8899999999999998E-12</v>
      </c>
      <c r="O258" s="5">
        <v>9.7999999999999999E-14</v>
      </c>
      <c r="P258" s="5">
        <f>_xlfn.XLOOKUP(A258,'[2]LX COMPUTED'!A:A,'[2]LX COMPUTED'!T:T,"-",0)</f>
        <v>1.3579155056985106</v>
      </c>
      <c r="Q258" s="5">
        <f>_xlfn.XLOOKUP(A258,'[2]LX COMPUTED'!A:A,'[2]LX COMPUTED'!U:U,"-",0)</f>
        <v>7.0465609895271036E-2</v>
      </c>
      <c r="R258" s="5">
        <f>_xlfn.XLOOKUP(A258,'[2]LX COMPUTED'!A:A,'[2]LX COMPUTED'!V:V,"-",0)</f>
        <v>1.924963019311833</v>
      </c>
      <c r="S258" s="5">
        <f>_xlfn.XLOOKUP(A258,'[2]LX COMPUTED'!A:A,'[2]LX COMPUTED'!W:W,"-",0)</f>
        <v>0.11573110110415388</v>
      </c>
      <c r="T258" s="5">
        <f>_xlfn.XLOOKUP(A258,'[2]LX COMPUTED'!A:A,'[2]LX COMPUTED'!AK:AK,"-",0)</f>
        <v>0.59720500074483363</v>
      </c>
      <c r="U258" s="5">
        <f>_xlfn.XLOOKUP(A258,'[2]LX COMPUTED'!A:A,'[2]LX COMPUTED'!AL:AL,"-",0)</f>
        <v>3.09904514922991E-2</v>
      </c>
      <c r="V258" s="2">
        <f>_xlfn.XLOOKUP(A258,'[2]LX COMPUTED'!A:A,'[2]LX COMPUTED'!AE:AE,"-",0)</f>
        <v>0.21084462982273203</v>
      </c>
      <c r="W258" s="2">
        <f>_xlfn.XLOOKUP(A258,'[2]LX COMPUTED'!A:A,'[2]LX COMPUTED'!AF:AF,"-",0)</f>
        <v>1.7895362758072741E-2</v>
      </c>
    </row>
    <row r="259" spans="1:23" x14ac:dyDescent="0.2">
      <c r="A259" t="s">
        <v>101</v>
      </c>
      <c r="B259">
        <v>0.17399999999999999</v>
      </c>
      <c r="C259">
        <v>99.516199999999998</v>
      </c>
      <c r="D259">
        <v>47.7986</v>
      </c>
      <c r="E259">
        <v>1144</v>
      </c>
      <c r="F259">
        <v>5.88</v>
      </c>
      <c r="G259">
        <v>0.51</v>
      </c>
      <c r="H259">
        <v>0.21</v>
      </c>
      <c r="I259">
        <v>0.08</v>
      </c>
      <c r="J259" t="s">
        <v>739</v>
      </c>
      <c r="K259">
        <v>1188</v>
      </c>
      <c r="L259">
        <v>1022</v>
      </c>
      <c r="M259">
        <v>1.2</v>
      </c>
      <c r="N259" s="5">
        <v>4.8300000000000002E-12</v>
      </c>
      <c r="O259" s="5">
        <v>1.7999999999999999E-13</v>
      </c>
      <c r="P259" s="5">
        <f>_xlfn.XLOOKUP(A259,'[2]LX COMPUTED'!A:A,'[2]LX COMPUTED'!T:T,"-",0)</f>
        <v>4.368559408620329</v>
      </c>
      <c r="Q259" s="5">
        <f>_xlfn.XLOOKUP(A259,'[2]LX COMPUTED'!A:A,'[2]LX COMPUTED'!U:U,"-",0)</f>
        <v>0.16693150271864077</v>
      </c>
      <c r="R259" s="5">
        <f>_xlfn.XLOOKUP(A259,'[2]LX COMPUTED'!A:A,'[2]LX COMPUTED'!V:V,"-",0)</f>
        <v>6.4242561572653747</v>
      </c>
      <c r="S259" s="5">
        <f>_xlfn.XLOOKUP(A259,'[2]LX COMPUTED'!A:A,'[2]LX COMPUTED'!W:W,"-",0)</f>
        <v>0.31401336152549658</v>
      </c>
      <c r="T259" s="5">
        <f>_xlfn.XLOOKUP(A259,'[2]LX COMPUTED'!A:A,'[2]LX COMPUTED'!AK:AK,"-",0)</f>
        <v>1.8263043768339602</v>
      </c>
      <c r="U259" s="5">
        <f>_xlfn.XLOOKUP(A259,'[2]LX COMPUTED'!A:A,'[2]LX COMPUTED'!AL:AL,"-",0)</f>
        <v>6.9786789083133141E-2</v>
      </c>
      <c r="V259" s="2">
        <f>_xlfn.XLOOKUP(A259,'[2]LX COMPUTED'!A:A,'[2]LX COMPUTED'!AE:AE,"-",0)</f>
        <v>0.42697828923953018</v>
      </c>
      <c r="W259" s="2">
        <f>_xlfn.XLOOKUP(A259,'[2]LX COMPUTED'!A:A,'[2]LX COMPUTED'!AF:AF,"-",0)</f>
        <v>1.2813174308220801E-2</v>
      </c>
    </row>
    <row r="260" spans="1:23" x14ac:dyDescent="0.2">
      <c r="A260" t="s">
        <v>144</v>
      </c>
      <c r="B260">
        <v>0.24</v>
      </c>
      <c r="C260">
        <v>150.0067</v>
      </c>
      <c r="D260">
        <v>-30.277200000000001</v>
      </c>
      <c r="E260">
        <v>1230</v>
      </c>
      <c r="F260">
        <v>7.28</v>
      </c>
      <c r="G260">
        <v>0.78</v>
      </c>
      <c r="H260">
        <v>0.05</v>
      </c>
      <c r="I260">
        <v>7.0000000000000007E-2</v>
      </c>
      <c r="J260" t="s">
        <v>739</v>
      </c>
      <c r="K260">
        <v>1160</v>
      </c>
      <c r="L260">
        <v>1022</v>
      </c>
      <c r="M260">
        <v>1.1000000000000001</v>
      </c>
      <c r="N260" s="5">
        <v>1.85E-12</v>
      </c>
      <c r="O260" s="5">
        <v>7.3000000000000004E-14</v>
      </c>
      <c r="P260" s="5">
        <f>_xlfn.XLOOKUP(A260,'[2]LX COMPUTED'!A:A,'[2]LX COMPUTED'!T:T,"-",0)</f>
        <v>3.221241488348157</v>
      </c>
      <c r="Q260" s="5">
        <f>_xlfn.XLOOKUP(A260,'[2]LX COMPUTED'!A:A,'[2]LX COMPUTED'!U:U,"-",0)</f>
        <v>0.12740423066094955</v>
      </c>
      <c r="R260" s="5">
        <f>_xlfn.XLOOKUP(A260,'[2]LX COMPUTED'!A:A,'[2]LX COMPUTED'!V:V,"-",0)</f>
        <v>5.0581178816064183</v>
      </c>
      <c r="S260" s="5">
        <f>_xlfn.XLOOKUP(A260,'[2]LX COMPUTED'!A:A,'[2]LX COMPUTED'!W:W,"-",0)</f>
        <v>0.30900660681407915</v>
      </c>
      <c r="T260" s="5">
        <f>_xlfn.XLOOKUP(A260,'[2]LX COMPUTED'!A:A,'[2]LX COMPUTED'!AK:AK,"-",0)</f>
        <v>1.2882441964128784</v>
      </c>
      <c r="U260" s="5">
        <f>_xlfn.XLOOKUP(A260,'[2]LX COMPUTED'!A:A,'[2]LX COMPUTED'!AL:AL,"-",0)</f>
        <v>5.0951709563252949E-2</v>
      </c>
      <c r="V260" s="2">
        <f>_xlfn.XLOOKUP(A260,'[2]LX COMPUTED'!A:A,'[2]LX COMPUTED'!AE:AE,"-",0)</f>
        <v>0.4258684863523573</v>
      </c>
      <c r="W260" s="2">
        <f>_xlfn.XLOOKUP(A260,'[2]LX COMPUTED'!A:A,'[2]LX COMPUTED'!AF:AF,"-",0)</f>
        <v>1.4108218071850868E-2</v>
      </c>
    </row>
    <row r="261" spans="1:23" x14ac:dyDescent="0.2">
      <c r="A261" t="s">
        <v>90</v>
      </c>
      <c r="B261">
        <v>0.21</v>
      </c>
      <c r="C261">
        <v>82.869500000000002</v>
      </c>
      <c r="D261">
        <v>-75.1768</v>
      </c>
      <c r="E261">
        <v>1191</v>
      </c>
      <c r="F261">
        <v>6.77</v>
      </c>
      <c r="G261">
        <v>0.63</v>
      </c>
      <c r="H261">
        <v>0.35</v>
      </c>
      <c r="I261">
        <v>0.1</v>
      </c>
      <c r="J261" t="s">
        <v>739</v>
      </c>
      <c r="K261">
        <v>1129</v>
      </c>
      <c r="L261">
        <v>1022</v>
      </c>
      <c r="M261">
        <v>1.1000000000000001</v>
      </c>
      <c r="N261" s="5">
        <v>2.5499999999999998E-12</v>
      </c>
      <c r="O261" s="5">
        <v>1E-13</v>
      </c>
      <c r="P261" s="5">
        <f>_xlfn.XLOOKUP(A261,'[2]LX COMPUTED'!A:A,'[2]LX COMPUTED'!T:T,"-",0)</f>
        <v>3.4179134823068771</v>
      </c>
      <c r="Q261" s="5">
        <f>_xlfn.XLOOKUP(A261,'[2]LX COMPUTED'!A:A,'[2]LX COMPUTED'!U:U,"-",0)</f>
        <v>0.13979633306661607</v>
      </c>
      <c r="R261" s="5">
        <f>_xlfn.XLOOKUP(A261,'[2]LX COMPUTED'!A:A,'[2]LX COMPUTED'!V:V,"-",0)</f>
        <v>5.2282231045653518</v>
      </c>
      <c r="S261" s="5">
        <f>_xlfn.XLOOKUP(A261,'[2]LX COMPUTED'!A:A,'[2]LX COMPUTED'!W:W,"-",0)</f>
        <v>0.29096390790694227</v>
      </c>
      <c r="T261" s="5">
        <f>_xlfn.XLOOKUP(A261,'[2]LX COMPUTED'!A:A,'[2]LX COMPUTED'!AK:AK,"-",0)</f>
        <v>1.3589239546229941</v>
      </c>
      <c r="U261" s="5">
        <f>_xlfn.XLOOKUP(A261,'[2]LX COMPUTED'!A:A,'[2]LX COMPUTED'!AL:AL,"-",0)</f>
        <v>5.5581449546949789E-2</v>
      </c>
      <c r="V261" s="2">
        <f>_xlfn.XLOOKUP(A261,'[2]LX COMPUTED'!A:A,'[2]LX COMPUTED'!AE:AE,"-",0)</f>
        <v>0.38839606808918725</v>
      </c>
      <c r="W261" s="2">
        <f>_xlfn.XLOOKUP(A261,'[2]LX COMPUTED'!A:A,'[2]LX COMPUTED'!AF:AF,"-",0)</f>
        <v>1.5757430119890708E-2</v>
      </c>
    </row>
    <row r="262" spans="1:23" x14ac:dyDescent="0.2">
      <c r="A262" t="s">
        <v>21</v>
      </c>
      <c r="B262">
        <v>0.41</v>
      </c>
      <c r="C262">
        <v>7.0259999999999998</v>
      </c>
      <c r="D262">
        <v>-75.635800000000003</v>
      </c>
      <c r="E262">
        <v>1219</v>
      </c>
      <c r="F262">
        <v>8.7200000000000006</v>
      </c>
      <c r="G262">
        <v>1</v>
      </c>
      <c r="H262">
        <v>0.13</v>
      </c>
      <c r="I262">
        <v>0.09</v>
      </c>
      <c r="J262" t="s">
        <v>739</v>
      </c>
      <c r="K262">
        <v>1155</v>
      </c>
      <c r="L262">
        <v>1022</v>
      </c>
      <c r="M262">
        <v>1.1000000000000001</v>
      </c>
      <c r="N262" s="5">
        <v>1.1999999999999999E-12</v>
      </c>
      <c r="O262" s="5">
        <v>4.7000000000000002E-14</v>
      </c>
      <c r="P262" s="5">
        <f>_xlfn.XLOOKUP(A262,'[2]LX COMPUTED'!A:A,'[2]LX COMPUTED'!T:T,"-",0)</f>
        <v>6.8265474598745488</v>
      </c>
      <c r="Q262" s="5">
        <f>_xlfn.XLOOKUP(A262,'[2]LX COMPUTED'!A:A,'[2]LX COMPUTED'!U:U,"-",0)</f>
        <v>0.26876875357907659</v>
      </c>
      <c r="R262" s="5">
        <f>_xlfn.XLOOKUP(A262,'[2]LX COMPUTED'!A:A,'[2]LX COMPUTED'!V:V,"-",0)</f>
        <v>11.417830666225044</v>
      </c>
      <c r="S262" s="5">
        <f>_xlfn.XLOOKUP(A262,'[2]LX COMPUTED'!A:A,'[2]LX COMPUTED'!W:W,"-",0)</f>
        <v>0.81824501399318084</v>
      </c>
      <c r="T262" s="5">
        <f>_xlfn.XLOOKUP(A262,'[2]LX COMPUTED'!A:A,'[2]LX COMPUTED'!AK:AK,"-",0)</f>
        <v>2.5953523072560265</v>
      </c>
      <c r="U262" s="5">
        <f>_xlfn.XLOOKUP(A262,'[2]LX COMPUTED'!A:A,'[2]LX COMPUTED'!AL:AL,"-",0)</f>
        <v>0.10218190217234668</v>
      </c>
      <c r="V262" s="2">
        <f>_xlfn.XLOOKUP(A262,'[2]LX COMPUTED'!A:A,'[2]LX COMPUTED'!AE:AE,"-",0)</f>
        <v>0.43639517981900883</v>
      </c>
      <c r="W262" s="2">
        <f>_xlfn.XLOOKUP(A262,'[2]LX COMPUTED'!A:A,'[2]LX COMPUTED'!AF:AF,"-",0)</f>
        <v>1.2368292466867986E-2</v>
      </c>
    </row>
    <row r="263" spans="1:23" x14ac:dyDescent="0.2">
      <c r="A263" t="s">
        <v>657</v>
      </c>
      <c r="B263">
        <v>0.26400000000000001</v>
      </c>
      <c r="C263">
        <v>288.65640000000002</v>
      </c>
      <c r="D263">
        <v>-59.472200000000001</v>
      </c>
      <c r="E263">
        <v>1256</v>
      </c>
      <c r="F263">
        <v>7.73</v>
      </c>
      <c r="G263">
        <v>0.59</v>
      </c>
      <c r="H263">
        <v>0.16</v>
      </c>
      <c r="I263">
        <v>0.08</v>
      </c>
      <c r="J263" t="s">
        <v>739</v>
      </c>
      <c r="K263">
        <v>1232</v>
      </c>
      <c r="L263">
        <v>1022</v>
      </c>
      <c r="M263">
        <v>1.2</v>
      </c>
      <c r="N263" s="5">
        <v>2.74E-12</v>
      </c>
      <c r="O263" s="5">
        <v>6.1000000000000005E-14</v>
      </c>
      <c r="P263" s="5">
        <f>_xlfn.XLOOKUP(A263,'[2]LX COMPUTED'!A:A,'[2]LX COMPUTED'!T:T,"-",0)</f>
        <v>5.817257272760556</v>
      </c>
      <c r="Q263" s="5">
        <f>_xlfn.XLOOKUP(A263,'[2]LX COMPUTED'!A:A,'[2]LX COMPUTED'!U:U,"-",0)</f>
        <v>0.13021158728089344</v>
      </c>
      <c r="R263" s="5">
        <f>_xlfn.XLOOKUP(A263,'[2]LX COMPUTED'!A:A,'[2]LX COMPUTED'!V:V,"-",0)</f>
        <v>9.3055241225128373</v>
      </c>
      <c r="S263" s="5">
        <f>_xlfn.XLOOKUP(A263,'[2]LX COMPUTED'!A:A,'[2]LX COMPUTED'!W:W,"-",0)</f>
        <v>0.39068788809147076</v>
      </c>
      <c r="T263" s="5">
        <f>_xlfn.XLOOKUP(A263,'[2]LX COMPUTED'!A:A,'[2]LX COMPUTED'!AK:AK,"-",0)</f>
        <v>2.266522408916571</v>
      </c>
      <c r="U263" s="5">
        <f>_xlfn.XLOOKUP(A263,'[2]LX COMPUTED'!A:A,'[2]LX COMPUTED'!AL:AL,"-",0)</f>
        <v>5.073309751223868E-2</v>
      </c>
      <c r="V263" s="2">
        <f>_xlfn.XLOOKUP(A263,'[2]LX COMPUTED'!A:A,'[2]LX COMPUTED'!AE:AE,"-",0)</f>
        <v>0.56015399422521661</v>
      </c>
      <c r="W263" s="2">
        <f>_xlfn.XLOOKUP(A263,'[2]LX COMPUTED'!A:A,'[2]LX COMPUTED'!AF:AF,"-",0)</f>
        <v>8.9892225376933879E-3</v>
      </c>
    </row>
    <row r="264" spans="1:23" x14ac:dyDescent="0.2">
      <c r="A264" t="s">
        <v>89</v>
      </c>
      <c r="B264">
        <v>0.28399999999999997</v>
      </c>
      <c r="C264">
        <v>82.2209</v>
      </c>
      <c r="D264">
        <v>-39.470500000000001</v>
      </c>
      <c r="E264">
        <v>1353</v>
      </c>
      <c r="F264">
        <v>8.59</v>
      </c>
      <c r="G264">
        <v>0.87</v>
      </c>
      <c r="H264">
        <v>0.24</v>
      </c>
      <c r="I264">
        <v>0.04</v>
      </c>
      <c r="J264" t="s">
        <v>740</v>
      </c>
      <c r="K264">
        <v>3522</v>
      </c>
      <c r="L264">
        <v>3072</v>
      </c>
      <c r="M264">
        <v>1.1000000000000001</v>
      </c>
      <c r="N264" s="5">
        <v>2.7299999999999999E-12</v>
      </c>
      <c r="O264" s="5">
        <v>3.5000000000000002E-14</v>
      </c>
      <c r="P264" s="5">
        <f>_xlfn.XLOOKUP(A264,'[2]LX COMPUTED'!A:A,'[2]LX COMPUTED'!T:T,"-",0)</f>
        <v>6.5504986171177872</v>
      </c>
      <c r="Q264" s="5">
        <f>_xlfn.XLOOKUP(A264,'[2]LX COMPUTED'!A:A,'[2]LX COMPUTED'!U:U,"-",0)</f>
        <v>8.5165844335943042E-2</v>
      </c>
      <c r="R264" s="5">
        <f>_xlfn.XLOOKUP(A264,'[2]LX COMPUTED'!A:A,'[2]LX COMPUTED'!V:V,"-",0)</f>
        <v>10.885375824146434</v>
      </c>
      <c r="S264" s="5">
        <f>_xlfn.XLOOKUP(A264,'[2]LX COMPUTED'!A:A,'[2]LX COMPUTED'!W:W,"-",0)</f>
        <v>0.58607386560059027</v>
      </c>
      <c r="T264" s="5">
        <f>_xlfn.XLOOKUP(A264,'[2]LX COMPUTED'!A:A,'[2]LX COMPUTED'!AK:AK,"-",0)</f>
        <v>2.4761958632423298</v>
      </c>
      <c r="U264" s="5">
        <f>_xlfn.XLOOKUP(A264,'[2]LX COMPUTED'!A:A,'[2]LX COMPUTED'!AL:AL,"-",0)</f>
        <v>3.2194085330101568E-2</v>
      </c>
      <c r="V264" s="2">
        <f>_xlfn.XLOOKUP(A264,'[2]LX COMPUTED'!A:A,'[2]LX COMPUTED'!AE:AE,"-",0)</f>
        <v>0.53013085399449034</v>
      </c>
      <c r="W264" s="2">
        <f>_xlfn.XLOOKUP(A264,'[2]LX COMPUTED'!A:A,'[2]LX COMPUTED'!AF:AF,"-",0)</f>
        <v>5.0747709435453531E-3</v>
      </c>
    </row>
    <row r="265" spans="1:23" x14ac:dyDescent="0.2">
      <c r="A265" t="s">
        <v>196</v>
      </c>
      <c r="B265">
        <v>4.8000000000000001E-2</v>
      </c>
      <c r="C265">
        <v>202.88079999999999</v>
      </c>
      <c r="D265">
        <v>-31.8245</v>
      </c>
      <c r="E265">
        <v>921</v>
      </c>
      <c r="F265">
        <v>3.74</v>
      </c>
      <c r="G265">
        <v>0.2</v>
      </c>
      <c r="H265">
        <v>0.37</v>
      </c>
      <c r="I265">
        <v>7.0000000000000007E-2</v>
      </c>
      <c r="J265" t="s">
        <v>739</v>
      </c>
      <c r="K265">
        <v>2567</v>
      </c>
      <c r="L265">
        <v>1022</v>
      </c>
      <c r="M265">
        <v>2.5</v>
      </c>
      <c r="N265" s="5">
        <v>4.1300000000000004E-12</v>
      </c>
      <c r="O265" s="5">
        <v>2.4999999999999999E-13</v>
      </c>
      <c r="P265" s="5">
        <f>_xlfn.XLOOKUP(A265,'[2]LX COMPUTED'!A:A,'[2]LX COMPUTED'!T:T,"-",0)</f>
        <v>0.23011838289728698</v>
      </c>
      <c r="Q265" s="5">
        <f>_xlfn.XLOOKUP(A265,'[2]LX COMPUTED'!A:A,'[2]LX COMPUTED'!U:U,"-",0)</f>
        <v>1.4074904349255145E-2</v>
      </c>
      <c r="R265" s="5">
        <f>_xlfn.XLOOKUP(A265,'[2]LX COMPUTED'!A:A,'[2]LX COMPUTED'!V:V,"-",0)</f>
        <v>0.31020180812333581</v>
      </c>
      <c r="S265" s="5">
        <f>_xlfn.XLOOKUP(A265,'[2]LX COMPUTED'!A:A,'[2]LX COMPUTED'!W:W,"-",0)</f>
        <v>1.933841089271891E-2</v>
      </c>
      <c r="T265" s="5">
        <f>_xlfn.XLOOKUP(A265,'[2]LX COMPUTED'!A:A,'[2]LX COMPUTED'!AK:AK,"-",0)</f>
        <v>0.11151518569214411</v>
      </c>
      <c r="U265" s="5">
        <f>_xlfn.XLOOKUP(A265,'[2]LX COMPUTED'!A:A,'[2]LX COMPUTED'!AL:AL,"-",0)</f>
        <v>6.8206874754848578E-3</v>
      </c>
      <c r="V265" s="2">
        <f>_xlfn.XLOOKUP(A265,'[2]LX COMPUTED'!A:A,'[2]LX COMPUTED'!AE:AE,"-",0)</f>
        <v>0.34209268991877689</v>
      </c>
      <c r="W265" s="2">
        <f>_xlfn.XLOOKUP(A265,'[2]LX COMPUTED'!A:A,'[2]LX COMPUTED'!AF:AF,"-",0)</f>
        <v>1.9959373388011861E-2</v>
      </c>
    </row>
    <row r="266" spans="1:23" x14ac:dyDescent="0.2">
      <c r="A266" t="s">
        <v>170</v>
      </c>
      <c r="B266">
        <v>8.1000000000000003E-2</v>
      </c>
      <c r="C266">
        <v>179.9675</v>
      </c>
      <c r="D266">
        <v>55.534799999999997</v>
      </c>
      <c r="E266">
        <v>600</v>
      </c>
      <c r="F266">
        <v>1.81</v>
      </c>
      <c r="G266">
        <v>0.28000000000000003</v>
      </c>
      <c r="H266">
        <v>0.25</v>
      </c>
      <c r="I266">
        <v>0.12</v>
      </c>
      <c r="J266" t="s">
        <v>740</v>
      </c>
      <c r="K266">
        <v>975</v>
      </c>
      <c r="L266">
        <v>1022</v>
      </c>
      <c r="M266">
        <v>1</v>
      </c>
      <c r="N266" s="5">
        <v>3.7299999999999998E-13</v>
      </c>
      <c r="O266" s="5">
        <v>2.8000000000000001E-14</v>
      </c>
      <c r="P266" s="5">
        <f>_xlfn.XLOOKUP(A266,'[2]LX COMPUTED'!A:A,'[2]LX COMPUTED'!T:T,"-",0)</f>
        <v>6.7432975757971025E-2</v>
      </c>
      <c r="Q266" s="5">
        <f>_xlfn.XLOOKUP(A266,'[2]LX COMPUTED'!A:A,'[2]LX COMPUTED'!U:U,"-",0)</f>
        <v>5.0751614119699728E-3</v>
      </c>
      <c r="R266" s="5">
        <f>_xlfn.XLOOKUP(A266,'[2]LX COMPUTED'!A:A,'[2]LX COMPUTED'!V:V,"-",0)</f>
        <v>9.2963388508417275E-2</v>
      </c>
      <c r="S266" s="5">
        <f>_xlfn.XLOOKUP(A266,'[2]LX COMPUTED'!A:A,'[2]LX COMPUTED'!W:W,"-",0)</f>
        <v>7.1692670279499939E-3</v>
      </c>
      <c r="T266" s="5">
        <f>_xlfn.XLOOKUP(A266,'[2]LX COMPUTED'!A:A,'[2]LX COMPUTED'!AK:AK,"-",0)</f>
        <v>4.5318373221515364E-2</v>
      </c>
      <c r="U266" s="5">
        <f>_xlfn.XLOOKUP(A266,'[2]LX COMPUTED'!A:A,'[2]LX COMPUTED'!AL:AL,"-",0)</f>
        <v>3.4107653776483506E-3</v>
      </c>
      <c r="V266" s="2">
        <f>_xlfn.XLOOKUP(A266,'[2]LX COMPUTED'!A:A,'[2]LX COMPUTED'!AE:AE,"-",0)</f>
        <v>0.63527916299990217</v>
      </c>
      <c r="W266" s="2">
        <f>_xlfn.XLOOKUP(A266,'[2]LX COMPUTED'!A:A,'[2]LX COMPUTED'!AF:AF,"-",0)</f>
        <v>2.0707508043493212E-2</v>
      </c>
    </row>
    <row r="267" spans="1:23" x14ac:dyDescent="0.2">
      <c r="A267" t="s">
        <v>118</v>
      </c>
      <c r="B267">
        <v>6.4000000000000001E-2</v>
      </c>
      <c r="C267">
        <v>122.5973</v>
      </c>
      <c r="D267">
        <v>42.273899999999998</v>
      </c>
      <c r="E267">
        <v>1017</v>
      </c>
      <c r="F267">
        <v>3.89</v>
      </c>
      <c r="G267">
        <v>0.59</v>
      </c>
      <c r="H267">
        <v>1.01</v>
      </c>
      <c r="I267">
        <v>1.19</v>
      </c>
      <c r="J267" t="s">
        <v>739</v>
      </c>
      <c r="K267">
        <v>1367</v>
      </c>
      <c r="L267">
        <v>1022</v>
      </c>
      <c r="M267">
        <v>1.3</v>
      </c>
      <c r="N267" s="5">
        <v>1.65E-12</v>
      </c>
      <c r="O267" s="5">
        <v>3.3000000000000001E-13</v>
      </c>
      <c r="P267" s="5">
        <f>_xlfn.XLOOKUP(A267,'[2]LX COMPUTED'!A:A,'[2]LX COMPUTED'!T:T,"-",0)</f>
        <v>0.17128538252218453</v>
      </c>
      <c r="Q267" s="5">
        <f>_xlfn.XLOOKUP(A267,'[2]LX COMPUTED'!A:A,'[2]LX COMPUTED'!U:U,"-",0)</f>
        <v>3.4026389120568643E-2</v>
      </c>
      <c r="R267" s="5">
        <f>_xlfn.XLOOKUP(A267,'[2]LX COMPUTED'!A:A,'[2]LX COMPUTED'!V:V,"-",0)</f>
        <v>0.22800478847956218</v>
      </c>
      <c r="S267" s="5">
        <f>_xlfn.XLOOKUP(A267,'[2]LX COMPUTED'!A:A,'[2]LX COMPUTED'!W:W,"-",0)</f>
        <v>4.5997850659793477E-2</v>
      </c>
      <c r="T267" s="5">
        <f>_xlfn.XLOOKUP(A267,'[2]LX COMPUTED'!A:A,'[2]LX COMPUTED'!AK:AK,"-",0)</f>
        <v>7.9297284078456945E-2</v>
      </c>
      <c r="U267" s="5">
        <f>_xlfn.XLOOKUP(A267,'[2]LX COMPUTED'!A:A,'[2]LX COMPUTED'!AL:AL,"-",0)</f>
        <v>1.5752659126696832E-2</v>
      </c>
      <c r="V267" s="2">
        <f>_xlfn.XLOOKUP(A267,'[2]LX COMPUTED'!A:A,'[2]LX COMPUTED'!AE:AE,"-",0)</f>
        <v>0.56537753222836096</v>
      </c>
      <c r="W267" s="2">
        <f>_xlfn.XLOOKUP(A267,'[2]LX COMPUTED'!A:A,'[2]LX COMPUTED'!AF:AF,"-",0)</f>
        <v>5.4306025123872358E-2</v>
      </c>
    </row>
    <row r="268" spans="1:23" x14ac:dyDescent="0.2">
      <c r="A268" t="s">
        <v>242</v>
      </c>
      <c r="B268">
        <v>0.16400000000000001</v>
      </c>
      <c r="C268">
        <v>260.04160000000002</v>
      </c>
      <c r="D268">
        <v>26.6251</v>
      </c>
      <c r="E268">
        <v>1258</v>
      </c>
      <c r="F268">
        <v>7.01</v>
      </c>
      <c r="G268">
        <v>0.43</v>
      </c>
      <c r="H268">
        <v>0.41</v>
      </c>
      <c r="I268">
        <v>0.06</v>
      </c>
      <c r="J268" t="s">
        <v>740</v>
      </c>
      <c r="K268">
        <v>2684</v>
      </c>
      <c r="L268">
        <v>2047</v>
      </c>
      <c r="M268">
        <v>1.3</v>
      </c>
      <c r="N268" s="5">
        <v>4.9099999999999999E-12</v>
      </c>
      <c r="O268" s="5">
        <v>9.4000000000000003E-14</v>
      </c>
      <c r="P268" s="5">
        <f>_xlfn.XLOOKUP(A268,'[2]LX COMPUTED'!A:A,'[2]LX COMPUTED'!T:T,"-",0)</f>
        <v>3.6689873492707932</v>
      </c>
      <c r="Q268" s="5">
        <f>_xlfn.XLOOKUP(A268,'[2]LX COMPUTED'!A:A,'[2]LX COMPUTED'!U:U,"-",0)</f>
        <v>7.0028748046128519E-2</v>
      </c>
      <c r="R268" s="5">
        <f>_xlfn.XLOOKUP(A268,'[2]LX COMPUTED'!A:A,'[2]LX COMPUTED'!V:V,"-",0)</f>
        <v>5.6696913188498872</v>
      </c>
      <c r="S268" s="5">
        <f>_xlfn.XLOOKUP(A268,'[2]LX COMPUTED'!A:A,'[2]LX COMPUTED'!W:W,"-",0)</f>
        <v>0.18102313213911267</v>
      </c>
      <c r="T268" s="5">
        <f>_xlfn.XLOOKUP(A268,'[2]LX COMPUTED'!A:A,'[2]LX COMPUTED'!AK:AK,"-",0)</f>
        <v>1.4373136811340321</v>
      </c>
      <c r="U268" s="5">
        <f>_xlfn.XLOOKUP(A268,'[2]LX COMPUTED'!A:A,'[2]LX COMPUTED'!AL:AL,"-",0)</f>
        <v>2.7433530851337866E-2</v>
      </c>
      <c r="V268" s="2">
        <f>_xlfn.XLOOKUP(A268,'[2]LX COMPUTED'!A:A,'[2]LX COMPUTED'!AE:AE,"-",0)</f>
        <v>0.73032782384273243</v>
      </c>
      <c r="W268" s="2">
        <f>_xlfn.XLOOKUP(A268,'[2]LX COMPUTED'!A:A,'[2]LX COMPUTED'!AF:AF,"-",0)</f>
        <v>4.3524363826135861E-3</v>
      </c>
    </row>
    <row r="269" spans="1:23" x14ac:dyDescent="0.2">
      <c r="A269" t="s">
        <v>131</v>
      </c>
      <c r="B269">
        <v>0.18</v>
      </c>
      <c r="C269">
        <v>137.3031</v>
      </c>
      <c r="D269">
        <v>10.9748</v>
      </c>
      <c r="E269">
        <v>1047</v>
      </c>
      <c r="F269">
        <v>5.37</v>
      </c>
      <c r="G269">
        <v>0.34</v>
      </c>
      <c r="H269">
        <v>0.24</v>
      </c>
      <c r="I269">
        <v>0.08</v>
      </c>
      <c r="J269" t="s">
        <v>739</v>
      </c>
      <c r="K269">
        <v>1147</v>
      </c>
      <c r="L269">
        <v>1022</v>
      </c>
      <c r="M269">
        <v>1.1000000000000001</v>
      </c>
      <c r="N269" s="5">
        <v>2.4900000000000001E-12</v>
      </c>
      <c r="O269" s="5">
        <v>7.7999999999999996E-14</v>
      </c>
      <c r="P269" s="5">
        <f>_xlfn.XLOOKUP(A269,'[2]LX COMPUTED'!A:A,'[2]LX COMPUTED'!T:T,"-",0)</f>
        <v>2.3040519587551951</v>
      </c>
      <c r="Q269" s="5">
        <f>_xlfn.XLOOKUP(A269,'[2]LX COMPUTED'!A:A,'[2]LX COMPUTED'!U:U,"-",0)</f>
        <v>7.2413061560877554E-2</v>
      </c>
      <c r="R269" s="5">
        <f>_xlfn.XLOOKUP(A269,'[2]LX COMPUTED'!A:A,'[2]LX COMPUTED'!V:V,"-",0)</f>
        <v>3.317194021521459</v>
      </c>
      <c r="S269" s="5">
        <f>_xlfn.XLOOKUP(A269,'[2]LX COMPUTED'!A:A,'[2]LX COMPUTED'!W:W,"-",0)</f>
        <v>0.1245086362309316</v>
      </c>
      <c r="T269" s="5">
        <f>_xlfn.XLOOKUP(A269,'[2]LX COMPUTED'!A:A,'[2]LX COMPUTED'!AK:AK,"-",0)</f>
        <v>0.99101218466407648</v>
      </c>
      <c r="U269" s="5">
        <f>_xlfn.XLOOKUP(A269,'[2]LX COMPUTED'!A:A,'[2]LX COMPUTED'!AL:AL,"-",0)</f>
        <v>3.1146097232299542E-2</v>
      </c>
      <c r="V269" s="2">
        <f>_xlfn.XLOOKUP(A269,'[2]LX COMPUTED'!A:A,'[2]LX COMPUTED'!AE:AE,"-",0)</f>
        <v>0.55223342939481268</v>
      </c>
      <c r="W269" s="2">
        <f>_xlfn.XLOOKUP(A269,'[2]LX COMPUTED'!A:A,'[2]LX COMPUTED'!AF:AF,"-",0)</f>
        <v>1.0042242411940887E-2</v>
      </c>
    </row>
    <row r="270" spans="1:23" x14ac:dyDescent="0.2">
      <c r="A270" t="s">
        <v>36</v>
      </c>
      <c r="B270">
        <v>0.36499999999999999</v>
      </c>
      <c r="C270">
        <v>27.5885</v>
      </c>
      <c r="D270">
        <v>-10.0915</v>
      </c>
      <c r="E270">
        <v>870</v>
      </c>
      <c r="F270">
        <v>4.0199999999999996</v>
      </c>
      <c r="G270">
        <v>0.47</v>
      </c>
      <c r="H270">
        <v>0.21</v>
      </c>
      <c r="I270">
        <v>0.12</v>
      </c>
      <c r="J270" t="s">
        <v>739</v>
      </c>
      <c r="K270">
        <v>1252</v>
      </c>
      <c r="L270">
        <v>1022</v>
      </c>
      <c r="M270">
        <v>1.2</v>
      </c>
      <c r="N270" s="5">
        <v>6.3600000000000002E-13</v>
      </c>
      <c r="O270" s="5">
        <v>5.0999999999999997E-14</v>
      </c>
      <c r="P270" s="5">
        <f>_xlfn.XLOOKUP(A270,'[2]LX COMPUTED'!A:A,'[2]LX COMPUTED'!T:T,"-",0)</f>
        <v>3.0980219835275133</v>
      </c>
      <c r="Q270" s="5">
        <f>_xlfn.XLOOKUP(A270,'[2]LX COMPUTED'!A:A,'[2]LX COMPUTED'!U:U,"-",0)</f>
        <v>0.24636927793956134</v>
      </c>
      <c r="R270" s="5">
        <f>_xlfn.XLOOKUP(A270,'[2]LX COMPUTED'!A:A,'[2]LX COMPUTED'!V:V,"-",0)</f>
        <v>4.2426507314246757</v>
      </c>
      <c r="S270" s="5">
        <f>_xlfn.XLOOKUP(A270,'[2]LX COMPUTED'!A:A,'[2]LX COMPUTED'!W:W,"-",0)</f>
        <v>0.35798063854979212</v>
      </c>
      <c r="T270" s="5">
        <f>_xlfn.XLOOKUP(A270,'[2]LX COMPUTED'!A:A,'[2]LX COMPUTED'!AK:AK,"-",0)</f>
        <v>1.4778993757049346</v>
      </c>
      <c r="U270" s="5">
        <f>_xlfn.XLOOKUP(A270,'[2]LX COMPUTED'!A:A,'[2]LX COMPUTED'!AL:AL,"-",0)</f>
        <v>0.11752950882716665</v>
      </c>
      <c r="V270" s="2">
        <f>_xlfn.XLOOKUP(A270,'[2]LX COMPUTED'!A:A,'[2]LX COMPUTED'!AE:AE,"-",0)</f>
        <v>0.65591514233142112</v>
      </c>
      <c r="W270" s="2">
        <f>_xlfn.XLOOKUP(A270,'[2]LX COMPUTED'!A:A,'[2]LX COMPUTED'!AF:AF,"-",0)</f>
        <v>2.0765679408236416E-2</v>
      </c>
    </row>
    <row r="271" spans="1:23" x14ac:dyDescent="0.2">
      <c r="A271" t="s">
        <v>668</v>
      </c>
      <c r="B271">
        <v>0.72299999999999998</v>
      </c>
      <c r="C271">
        <v>310.82310000000001</v>
      </c>
      <c r="D271">
        <v>-50.592300000000002</v>
      </c>
      <c r="E271">
        <v>808</v>
      </c>
      <c r="F271">
        <v>5.99</v>
      </c>
      <c r="G271">
        <v>0.92</v>
      </c>
      <c r="H271">
        <v>0.19</v>
      </c>
      <c r="I271">
        <v>0.12</v>
      </c>
      <c r="J271" t="s">
        <v>739</v>
      </c>
      <c r="K271">
        <v>1098</v>
      </c>
      <c r="L271">
        <v>1022</v>
      </c>
      <c r="M271">
        <v>1.1000000000000001</v>
      </c>
      <c r="N271" s="5">
        <v>2.25E-13</v>
      </c>
      <c r="O271" s="5">
        <v>1.9000000000000001E-14</v>
      </c>
      <c r="P271" s="5">
        <f>_xlfn.XLOOKUP(A271,'[2]LX COMPUTED'!A:A,'[2]LX COMPUTED'!T:T,"-",0)</f>
        <v>5.196018251427537</v>
      </c>
      <c r="Q271" s="5">
        <f>_xlfn.XLOOKUP(A271,'[2]LX COMPUTED'!A:A,'[2]LX COMPUTED'!U:U,"-",0)</f>
        <v>0.4374159292618533</v>
      </c>
      <c r="R271" s="5">
        <f>_xlfn.XLOOKUP(A271,'[2]LX COMPUTED'!A:A,'[2]LX COMPUTED'!V:V,"-",0)</f>
        <v>7.6790378343063983</v>
      </c>
      <c r="S271" s="5">
        <f>_xlfn.XLOOKUP(A271,'[2]LX COMPUTED'!A:A,'[2]LX COMPUTED'!W:W,"-",0)</f>
        <v>0.77176324815082797</v>
      </c>
      <c r="T271" s="5">
        <f>_xlfn.XLOOKUP(A271,'[2]LX COMPUTED'!A:A,'[2]LX COMPUTED'!AK:AK,"-",0)</f>
        <v>2.1632952701153418</v>
      </c>
      <c r="U271" s="5">
        <f>_xlfn.XLOOKUP(A271,'[2]LX COMPUTED'!A:A,'[2]LX COMPUTED'!AL:AL,"-",0)</f>
        <v>0.18211248788152387</v>
      </c>
      <c r="V271" s="2">
        <f>_xlfn.XLOOKUP(A271,'[2]LX COMPUTED'!A:A,'[2]LX COMPUTED'!AE:AE,"-",0)</f>
        <v>0.64433887569279502</v>
      </c>
      <c r="W271" s="2">
        <f>_xlfn.XLOOKUP(A271,'[2]LX COMPUTED'!A:A,'[2]LX COMPUTED'!AF:AF,"-",0)</f>
        <v>2.1379392088601762E-2</v>
      </c>
    </row>
    <row r="272" spans="1:23" x14ac:dyDescent="0.2">
      <c r="A272" t="s">
        <v>29</v>
      </c>
      <c r="B272">
        <v>0.75</v>
      </c>
      <c r="C272">
        <v>15.7378</v>
      </c>
      <c r="D272">
        <v>-49.272500000000001</v>
      </c>
      <c r="E272">
        <v>1206</v>
      </c>
      <c r="F272">
        <v>12.07</v>
      </c>
      <c r="G272">
        <v>0.59</v>
      </c>
      <c r="H272">
        <v>0.06</v>
      </c>
      <c r="I272">
        <v>0.04</v>
      </c>
      <c r="J272" t="s">
        <v>739</v>
      </c>
      <c r="K272">
        <v>3553</v>
      </c>
      <c r="L272">
        <v>3072</v>
      </c>
      <c r="M272">
        <v>1.2</v>
      </c>
      <c r="N272" s="5">
        <v>9.6399999999999993E-13</v>
      </c>
      <c r="O272" s="5">
        <v>2E-14</v>
      </c>
      <c r="P272" s="5">
        <f>_xlfn.XLOOKUP(A272,'[2]LX COMPUTED'!A:A,'[2]LX COMPUTED'!T:T,"-",0)</f>
        <v>20.886944601282732</v>
      </c>
      <c r="Q272" s="5">
        <f>_xlfn.XLOOKUP(A272,'[2]LX COMPUTED'!A:A,'[2]LX COMPUTED'!U:U,"-",0)</f>
        <v>0.4232712759225678</v>
      </c>
      <c r="R272" s="5">
        <f>_xlfn.XLOOKUP(A272,'[2]LX COMPUTED'!A:A,'[2]LX COMPUTED'!V:V,"-",0)</f>
        <v>39.970968607601982</v>
      </c>
      <c r="S272" s="5">
        <f>_xlfn.XLOOKUP(A272,'[2]LX COMPUTED'!A:A,'[2]LX COMPUTED'!W:W,"-",0)</f>
        <v>1.628335369729063</v>
      </c>
      <c r="T272" s="5">
        <f>_xlfn.XLOOKUP(A272,'[2]LX COMPUTED'!A:A,'[2]LX COMPUTED'!AK:AK,"-",0)</f>
        <v>7.4435244478460909</v>
      </c>
      <c r="U272" s="5">
        <f>_xlfn.XLOOKUP(A272,'[2]LX COMPUTED'!A:A,'[2]LX COMPUTED'!AL:AL,"-",0)</f>
        <v>0.15084207626074481</v>
      </c>
      <c r="V272" s="2">
        <f>_xlfn.XLOOKUP(A272,'[2]LX COMPUTED'!A:A,'[2]LX COMPUTED'!AE:AE,"-",0)</f>
        <v>0.43234012483806389</v>
      </c>
      <c r="W272" s="2">
        <f>_xlfn.XLOOKUP(A272,'[2]LX COMPUTED'!A:A,'[2]LX COMPUTED'!AF:AF,"-",0)</f>
        <v>6.5635291812962647E-3</v>
      </c>
    </row>
    <row r="273" spans="1:23" x14ac:dyDescent="0.2">
      <c r="A273" t="s">
        <v>96</v>
      </c>
      <c r="B273">
        <v>0.97199999999999998</v>
      </c>
      <c r="C273">
        <v>93.966099999999997</v>
      </c>
      <c r="D273">
        <v>-57.779400000000003</v>
      </c>
      <c r="E273">
        <v>1006</v>
      </c>
      <c r="F273">
        <v>11.18</v>
      </c>
      <c r="G273">
        <v>0.94</v>
      </c>
      <c r="H273">
        <v>0.15</v>
      </c>
      <c r="I273">
        <v>0.09</v>
      </c>
      <c r="J273" t="s">
        <v>739</v>
      </c>
      <c r="K273">
        <v>4427</v>
      </c>
      <c r="L273">
        <v>4097</v>
      </c>
      <c r="M273">
        <v>1.1000000000000001</v>
      </c>
      <c r="N273" s="5">
        <v>5.4999999999999998E-13</v>
      </c>
      <c r="O273" s="5">
        <v>2.0999999999999999E-14</v>
      </c>
      <c r="P273" s="5">
        <f>_xlfn.XLOOKUP(A273,'[2]LX COMPUTED'!A:A,'[2]LX COMPUTED'!T:T,"-",0)</f>
        <v>22.921801719988814</v>
      </c>
      <c r="Q273" s="5">
        <f>_xlfn.XLOOKUP(A273,'[2]LX COMPUTED'!A:A,'[2]LX COMPUTED'!U:U,"-",0)</f>
        <v>0.89601925700027329</v>
      </c>
      <c r="R273" s="5">
        <f>_xlfn.XLOOKUP(A273,'[2]LX COMPUTED'!A:A,'[2]LX COMPUTED'!V:V,"-",0)</f>
        <v>42.399277897833635</v>
      </c>
      <c r="S273" s="5">
        <f>_xlfn.XLOOKUP(A273,'[2]LX COMPUTED'!A:A,'[2]LX COMPUTED'!W:W,"-",0)</f>
        <v>2.9095324464278987</v>
      </c>
      <c r="T273" s="5">
        <f>_xlfn.XLOOKUP(A273,'[2]LX COMPUTED'!A:A,'[2]LX COMPUTED'!AK:AK,"-",0)</f>
        <v>8.2534770306490746</v>
      </c>
      <c r="U273" s="5">
        <f>_xlfn.XLOOKUP(A273,'[2]LX COMPUTED'!A:A,'[2]LX COMPUTED'!AL:AL,"-",0)</f>
        <v>0.32263058755202489</v>
      </c>
      <c r="V273" s="2">
        <f>_xlfn.XLOOKUP(A273,'[2]LX COMPUTED'!A:A,'[2]LX COMPUTED'!AE:AE,"-",0)</f>
        <v>0.5175861766511709</v>
      </c>
      <c r="W273" s="2">
        <f>_xlfn.XLOOKUP(A273,'[2]LX COMPUTED'!A:A,'[2]LX COMPUTED'!AF:AF,"-",0)</f>
        <v>1.4392610821375246E-2</v>
      </c>
    </row>
    <row r="274" spans="1:23" x14ac:dyDescent="0.2">
      <c r="A274" t="s">
        <v>666</v>
      </c>
      <c r="B274">
        <v>0.23200000000000001</v>
      </c>
      <c r="C274">
        <v>305.83890000000002</v>
      </c>
      <c r="D274">
        <v>-55.596699999999998</v>
      </c>
      <c r="E274">
        <v>1342</v>
      </c>
      <c r="F274">
        <v>8.34</v>
      </c>
      <c r="G274">
        <v>0.88</v>
      </c>
      <c r="H274">
        <v>0.31</v>
      </c>
      <c r="I274">
        <v>0.1</v>
      </c>
      <c r="J274" t="s">
        <v>739</v>
      </c>
      <c r="K274">
        <v>1134</v>
      </c>
      <c r="L274">
        <v>1022</v>
      </c>
      <c r="M274">
        <v>1.1000000000000001</v>
      </c>
      <c r="N274" s="5">
        <v>3.2500000000000001E-12</v>
      </c>
      <c r="O274" s="5">
        <v>1.1E-13</v>
      </c>
      <c r="P274" s="5">
        <f>_xlfn.XLOOKUP(A274,'[2]LX COMPUTED'!A:A,'[2]LX COMPUTED'!T:T,"-",0)</f>
        <v>5.1305140972274108</v>
      </c>
      <c r="Q274" s="5">
        <f>_xlfn.XLOOKUP(A274,'[2]LX COMPUTED'!A:A,'[2]LX COMPUTED'!U:U,"-",0)</f>
        <v>0.17181108799752579</v>
      </c>
      <c r="R274" s="5">
        <f>_xlfn.XLOOKUP(A274,'[2]LX COMPUTED'!A:A,'[2]LX COMPUTED'!V:V,"-",0)</f>
        <v>8.4272238226232563</v>
      </c>
      <c r="S274" s="5">
        <f>_xlfn.XLOOKUP(A274,'[2]LX COMPUTED'!A:A,'[2]LX COMPUTED'!W:W,"-",0)</f>
        <v>0.52562616843818166</v>
      </c>
      <c r="T274" s="5">
        <f>_xlfn.XLOOKUP(A274,'[2]LX COMPUTED'!A:A,'[2]LX COMPUTED'!AK:AK,"-",0)</f>
        <v>1.9412629465298423</v>
      </c>
      <c r="U274" s="5">
        <f>_xlfn.XLOOKUP(A274,'[2]LX COMPUTED'!A:A,'[2]LX COMPUTED'!AL:AL,"-",0)</f>
        <v>6.5009176977570082E-2</v>
      </c>
      <c r="V274" s="2">
        <f>_xlfn.XLOOKUP(A274,'[2]LX COMPUTED'!A:A,'[2]LX COMPUTED'!AE:AE,"-",0)</f>
        <v>0.33633203843794723</v>
      </c>
      <c r="W274" s="2">
        <f>_xlfn.XLOOKUP(A274,'[2]LX COMPUTED'!A:A,'[2]LX COMPUTED'!AF:AF,"-",0)</f>
        <v>1.2864577218442426E-2</v>
      </c>
    </row>
    <row r="275" spans="1:23" x14ac:dyDescent="0.2">
      <c r="A275" t="s">
        <v>138</v>
      </c>
      <c r="B275">
        <v>2.7E-2</v>
      </c>
      <c r="C275">
        <v>143.35730000000001</v>
      </c>
      <c r="D275">
        <v>34.048099999999998</v>
      </c>
      <c r="E275">
        <v>422</v>
      </c>
      <c r="F275">
        <v>0.81</v>
      </c>
      <c r="G275">
        <v>0.04</v>
      </c>
      <c r="H275">
        <v>0.19</v>
      </c>
      <c r="I275">
        <v>0.06</v>
      </c>
      <c r="J275" t="s">
        <v>739</v>
      </c>
      <c r="K275">
        <v>2082</v>
      </c>
      <c r="L275">
        <v>1022</v>
      </c>
      <c r="M275">
        <v>2</v>
      </c>
      <c r="N275" s="5">
        <v>3.5699999999999999E-13</v>
      </c>
      <c r="O275" s="5">
        <v>7.1E-14</v>
      </c>
      <c r="P275" s="5">
        <f>_xlfn.XLOOKUP(A275,'[2]LX COMPUTED'!A:A,'[2]LX COMPUTED'!T:T,"-",0)</f>
        <v>6.8830922633572504E-3</v>
      </c>
      <c r="Q275" s="5">
        <f>_xlfn.XLOOKUP(A275,'[2]LX COMPUTED'!A:A,'[2]LX COMPUTED'!U:U,"-",0)</f>
        <v>1.3659173653103171E-3</v>
      </c>
      <c r="R275" s="5">
        <f>_xlfn.XLOOKUP(A275,'[2]LX COMPUTED'!A:A,'[2]LX COMPUTED'!V:V,"-",0)</f>
        <v>1.0610660839804617E-2</v>
      </c>
      <c r="S275" s="5">
        <f>_xlfn.XLOOKUP(A275,'[2]LX COMPUTED'!A:A,'[2]LX COMPUTED'!W:W,"-",0)</f>
        <v>2.1058138079752616E-3</v>
      </c>
      <c r="T275" s="5">
        <f>_xlfn.XLOOKUP(A275,'[2]LX COMPUTED'!A:A,'[2]LX COMPUTED'!AK:AK,"-",0)</f>
        <v>6.3488843439088692E-3</v>
      </c>
      <c r="U275" s="5">
        <f>_xlfn.XLOOKUP(A275,'[2]LX COMPUTED'!A:A,'[2]LX COMPUTED'!AL:AL,"-",0)</f>
        <v>1.2599063101127316E-3</v>
      </c>
      <c r="V275" s="2">
        <f>_xlfn.XLOOKUP(A275,'[2]LX COMPUTED'!A:A,'[2]LX COMPUTED'!AE:AE,"-",0)</f>
        <v>0.63086139227432347</v>
      </c>
      <c r="W275" s="2">
        <f>_xlfn.XLOOKUP(A275,'[2]LX COMPUTED'!A:A,'[2]LX COMPUTED'!AF:AF,"-",0)</f>
        <v>5.5390757615565028E-2</v>
      </c>
    </row>
    <row r="276" spans="1:23" x14ac:dyDescent="0.2">
      <c r="A276" t="s">
        <v>139</v>
      </c>
      <c r="B276">
        <v>0.36</v>
      </c>
      <c r="C276">
        <v>144.5847</v>
      </c>
      <c r="D276">
        <v>52.048400000000001</v>
      </c>
      <c r="E276">
        <v>1061</v>
      </c>
      <c r="F276">
        <v>6.99</v>
      </c>
      <c r="G276">
        <v>0.64</v>
      </c>
      <c r="H276">
        <v>0.16</v>
      </c>
      <c r="I276">
        <v>0.08</v>
      </c>
      <c r="J276" t="s">
        <v>739</v>
      </c>
      <c r="K276">
        <v>2222</v>
      </c>
      <c r="L276">
        <v>2047</v>
      </c>
      <c r="M276">
        <v>1.1000000000000001</v>
      </c>
      <c r="N276" s="5">
        <v>1.1E-12</v>
      </c>
      <c r="O276" s="5">
        <v>5.3999999999999997E-14</v>
      </c>
      <c r="P276" s="5">
        <f>_xlfn.XLOOKUP(A276,'[2]LX COMPUTED'!A:A,'[2]LX COMPUTED'!T:T,"-",0)</f>
        <v>4.6209968883820967</v>
      </c>
      <c r="Q276" s="5">
        <f>_xlfn.XLOOKUP(A276,'[2]LX COMPUTED'!A:A,'[2]LX COMPUTED'!U:U,"-",0)</f>
        <v>0.22958219567960056</v>
      </c>
      <c r="R276" s="5">
        <f>_xlfn.XLOOKUP(A276,'[2]LX COMPUTED'!A:A,'[2]LX COMPUTED'!V:V,"-",0)</f>
        <v>7.1561245764647001</v>
      </c>
      <c r="S276" s="5">
        <f>_xlfn.XLOOKUP(A276,'[2]LX COMPUTED'!A:A,'[2]LX COMPUTED'!W:W,"-",0)</f>
        <v>0.44961379091877413</v>
      </c>
      <c r="T276" s="5">
        <f>_xlfn.XLOOKUP(A276,'[2]LX COMPUTED'!A:A,'[2]LX COMPUTED'!AK:AK,"-",0)</f>
        <v>1.8510817366416619</v>
      </c>
      <c r="U276" s="5">
        <f>_xlfn.XLOOKUP(A276,'[2]LX COMPUTED'!A:A,'[2]LX COMPUTED'!AL:AL,"-",0)</f>
        <v>9.1966175209737738E-2</v>
      </c>
      <c r="V276" s="2">
        <f>_xlfn.XLOOKUP(A276,'[2]LX COMPUTED'!A:A,'[2]LX COMPUTED'!AE:AE,"-",0)</f>
        <v>0.45334731166691628</v>
      </c>
      <c r="W276" s="2">
        <f>_xlfn.XLOOKUP(A276,'[2]LX COMPUTED'!A:A,'[2]LX COMPUTED'!AF:AF,"-",0)</f>
        <v>1.6185879685979739E-2</v>
      </c>
    </row>
    <row r="277" spans="1:23" x14ac:dyDescent="0.2">
      <c r="A277" t="s">
        <v>511</v>
      </c>
      <c r="B277">
        <v>0.14399999999999999</v>
      </c>
      <c r="C277">
        <v>155.9162</v>
      </c>
      <c r="D277">
        <v>49.144500000000001</v>
      </c>
      <c r="E277">
        <v>1192</v>
      </c>
      <c r="F277">
        <v>6.31</v>
      </c>
      <c r="G277">
        <v>0.61</v>
      </c>
      <c r="H277">
        <v>0.17</v>
      </c>
      <c r="I277">
        <v>0.09</v>
      </c>
      <c r="J277" t="s">
        <v>739</v>
      </c>
      <c r="K277">
        <v>1075</v>
      </c>
      <c r="L277">
        <v>1022</v>
      </c>
      <c r="M277">
        <v>1.1000000000000001</v>
      </c>
      <c r="N277" s="5">
        <v>5.0499999999999997E-12</v>
      </c>
      <c r="O277" s="5">
        <v>1.9E-13</v>
      </c>
      <c r="P277" s="5">
        <f>_xlfn.XLOOKUP(A277,'[2]LX COMPUTED'!A:A,'[2]LX COMPUTED'!T:T,"-",0)</f>
        <v>2.8516507764097212</v>
      </c>
      <c r="Q277" s="5">
        <f>_xlfn.XLOOKUP(A277,'[2]LX COMPUTED'!A:A,'[2]LX COMPUTED'!U:U,"-",0)</f>
        <v>0.10765088244877058</v>
      </c>
      <c r="R277" s="5">
        <f>_xlfn.XLOOKUP(A277,'[2]LX COMPUTED'!A:A,'[2]LX COMPUTED'!V:V,"-",0)</f>
        <v>4.2809079957800149</v>
      </c>
      <c r="S277" s="5">
        <f>_xlfn.XLOOKUP(A277,'[2]LX COMPUTED'!A:A,'[2]LX COMPUTED'!W:W,"-",0)</f>
        <v>0.22526877843237716</v>
      </c>
      <c r="T277" s="5">
        <f>_xlfn.XLOOKUP(A277,'[2]LX COMPUTED'!A:A,'[2]LX COMPUTED'!AK:AK,"-",0)</f>
        <v>1.1737072671791393</v>
      </c>
      <c r="U277" s="5">
        <f>_xlfn.XLOOKUP(A277,'[2]LX COMPUTED'!A:A,'[2]LX COMPUTED'!AL:AL,"-",0)</f>
        <v>4.4307887941119832E-2</v>
      </c>
      <c r="V277" s="2">
        <f>_xlfn.XLOOKUP(A277,'[2]LX COMPUTED'!A:A,'[2]LX COMPUTED'!AE:AE,"-",0)</f>
        <v>0.49113439451944391</v>
      </c>
      <c r="W277" s="2">
        <f>_xlfn.XLOOKUP(A277,'[2]LX COMPUTED'!A:A,'[2]LX COMPUTED'!AF:AF,"-",0)</f>
        <v>1.3248081453828218E-2</v>
      </c>
    </row>
    <row r="278" spans="1:23" x14ac:dyDescent="0.2">
      <c r="A278" t="s">
        <v>166</v>
      </c>
      <c r="B278">
        <v>0.311</v>
      </c>
      <c r="C278">
        <v>175.59800000000001</v>
      </c>
      <c r="D278">
        <v>58.520299999999999</v>
      </c>
      <c r="E278">
        <v>1335</v>
      </c>
      <c r="F278">
        <v>8.82</v>
      </c>
      <c r="G278">
        <v>0.77</v>
      </c>
      <c r="H278">
        <v>0.14000000000000001</v>
      </c>
      <c r="I278">
        <v>7.0000000000000007E-2</v>
      </c>
      <c r="J278" t="s">
        <v>739</v>
      </c>
      <c r="K278">
        <v>1202</v>
      </c>
      <c r="L278">
        <v>1022</v>
      </c>
      <c r="M278">
        <v>1.2</v>
      </c>
      <c r="N278" s="5">
        <v>2.3100000000000001E-12</v>
      </c>
      <c r="O278" s="5">
        <v>6.2000000000000001E-14</v>
      </c>
      <c r="P278" s="5">
        <f>_xlfn.XLOOKUP(A278,'[2]LX COMPUTED'!A:A,'[2]LX COMPUTED'!T:T,"-",0)</f>
        <v>6.7098928765847008</v>
      </c>
      <c r="Q278" s="5">
        <f>_xlfn.XLOOKUP(A278,'[2]LX COMPUTED'!A:A,'[2]LX COMPUTED'!U:U,"-",0)</f>
        <v>0.18170821535721216</v>
      </c>
      <c r="R278" s="5">
        <f>_xlfn.XLOOKUP(A278,'[2]LX COMPUTED'!A:A,'[2]LX COMPUTED'!V:V,"-",0)</f>
        <v>11.270284635292656</v>
      </c>
      <c r="S278" s="5">
        <f>_xlfn.XLOOKUP(A278,'[2]LX COMPUTED'!A:A,'[2]LX COMPUTED'!W:W,"-",0)</f>
        <v>0.60063017533513363</v>
      </c>
      <c r="T278" s="5">
        <f>_xlfn.XLOOKUP(A278,'[2]LX COMPUTED'!A:A,'[2]LX COMPUTED'!AK:AK,"-",0)</f>
        <v>2.5417891332198534</v>
      </c>
      <c r="U278" s="5">
        <f>_xlfn.XLOOKUP(A278,'[2]LX COMPUTED'!A:A,'[2]LX COMPUTED'!AL:AL,"-",0)</f>
        <v>6.8833284779178328E-2</v>
      </c>
      <c r="V278" s="2">
        <f>_xlfn.XLOOKUP(A278,'[2]LX COMPUTED'!A:A,'[2]LX COMPUTED'!AE:AE,"-",0)</f>
        <v>0.27324848790322581</v>
      </c>
      <c r="W278" s="2">
        <f>_xlfn.XLOOKUP(A278,'[2]LX COMPUTED'!A:A,'[2]LX COMPUTED'!AF:AF,"-",0)</f>
        <v>9.0167232472322164E-3</v>
      </c>
    </row>
    <row r="279" spans="1:23" x14ac:dyDescent="0.2">
      <c r="A279" t="s">
        <v>186</v>
      </c>
      <c r="B279">
        <v>0.33</v>
      </c>
      <c r="C279">
        <v>194.8877</v>
      </c>
      <c r="D279">
        <v>60.070599999999999</v>
      </c>
      <c r="E279">
        <v>1118</v>
      </c>
      <c r="F279">
        <v>6.59</v>
      </c>
      <c r="G279">
        <v>0.61</v>
      </c>
      <c r="H279">
        <v>0.15</v>
      </c>
      <c r="I279">
        <v>7.0000000000000007E-2</v>
      </c>
      <c r="J279" t="s">
        <v>739</v>
      </c>
      <c r="K279">
        <v>3297</v>
      </c>
      <c r="L279">
        <v>3072</v>
      </c>
      <c r="M279">
        <v>1.1000000000000001</v>
      </c>
      <c r="N279" s="5">
        <v>9.5199999999999998E-13</v>
      </c>
      <c r="O279" s="5">
        <v>4.3E-14</v>
      </c>
      <c r="P279" s="5">
        <f>_xlfn.XLOOKUP(A279,'[2]LX COMPUTED'!A:A,'[2]LX COMPUTED'!T:T,"-",0)</f>
        <v>3.2929346378314279</v>
      </c>
      <c r="Q279" s="5">
        <f>_xlfn.XLOOKUP(A279,'[2]LX COMPUTED'!A:A,'[2]LX COMPUTED'!U:U,"-",0)</f>
        <v>0.14928807057457774</v>
      </c>
      <c r="R279" s="5">
        <f>_xlfn.XLOOKUP(A279,'[2]LX COMPUTED'!A:A,'[2]LX COMPUTED'!V:V,"-",0)</f>
        <v>5.0095585836455339</v>
      </c>
      <c r="S279" s="5">
        <f>_xlfn.XLOOKUP(A279,'[2]LX COMPUTED'!A:A,'[2]LX COMPUTED'!W:W,"-",0)</f>
        <v>0.2911321291587583</v>
      </c>
      <c r="T279" s="5">
        <f>_xlfn.XLOOKUP(A279,'[2]LX COMPUTED'!A:A,'[2]LX COMPUTED'!AK:AK,"-",0)</f>
        <v>1.3421513100558116</v>
      </c>
      <c r="U279" s="5">
        <f>_xlfn.XLOOKUP(A279,'[2]LX COMPUTED'!A:A,'[2]LX COMPUTED'!AL:AL,"-",0)</f>
        <v>6.0847602984712257E-2</v>
      </c>
      <c r="V279" s="2">
        <f>_xlfn.XLOOKUP(A279,'[2]LX COMPUTED'!A:A,'[2]LX COMPUTED'!AE:AE,"-",0)</f>
        <v>0.19986546708147651</v>
      </c>
      <c r="W279" s="2">
        <f>_xlfn.XLOOKUP(A279,'[2]LX COMPUTED'!A:A,'[2]LX COMPUTED'!AF:AF,"-",0)</f>
        <v>1.348269084844831E-2</v>
      </c>
    </row>
    <row r="280" spans="1:23" x14ac:dyDescent="0.2">
      <c r="A280" t="s">
        <v>191</v>
      </c>
      <c r="B280">
        <v>0.29099999999999998</v>
      </c>
      <c r="C280">
        <v>198.76820000000001</v>
      </c>
      <c r="D280">
        <v>51.820099999999996</v>
      </c>
      <c r="E280">
        <v>1261</v>
      </c>
      <c r="F280">
        <v>7.78</v>
      </c>
      <c r="G280">
        <v>0.77</v>
      </c>
      <c r="H280">
        <v>0.17</v>
      </c>
      <c r="I280">
        <v>0.08</v>
      </c>
      <c r="J280" t="s">
        <v>739</v>
      </c>
      <c r="K280">
        <v>1110</v>
      </c>
      <c r="L280">
        <v>1022</v>
      </c>
      <c r="M280">
        <v>1.1000000000000001</v>
      </c>
      <c r="N280" s="5">
        <v>2.2199999999999998E-12</v>
      </c>
      <c r="O280" s="5">
        <v>6.5999999999999996E-14</v>
      </c>
      <c r="P280" s="5">
        <f>_xlfn.XLOOKUP(A280,'[2]LX COMPUTED'!A:A,'[2]LX COMPUTED'!T:T,"-",0)</f>
        <v>5.6210331322559552</v>
      </c>
      <c r="Q280" s="5">
        <f>_xlfn.XLOOKUP(A280,'[2]LX COMPUTED'!A:A,'[2]LX COMPUTED'!U:U,"-",0)</f>
        <v>0.16738690212754145</v>
      </c>
      <c r="R280" s="5">
        <f>_xlfn.XLOOKUP(A280,'[2]LX COMPUTED'!A:A,'[2]LX COMPUTED'!V:V,"-",0)</f>
        <v>9.0116268100892949</v>
      </c>
      <c r="S280" s="5">
        <f>_xlfn.XLOOKUP(A280,'[2]LX COMPUTED'!A:A,'[2]LX COMPUTED'!W:W,"-",0)</f>
        <v>0.49442023445480515</v>
      </c>
      <c r="T280" s="5">
        <f>_xlfn.XLOOKUP(A280,'[2]LX COMPUTED'!A:A,'[2]LX COMPUTED'!AK:AK,"-",0)</f>
        <v>2.185165224785139</v>
      </c>
      <c r="U280" s="5">
        <f>_xlfn.XLOOKUP(A280,'[2]LX COMPUTED'!A:A,'[2]LX COMPUTED'!AL:AL,"-",0)</f>
        <v>6.5071318565030262E-2</v>
      </c>
      <c r="V280" s="2">
        <f>_xlfn.XLOOKUP(A280,'[2]LX COMPUTED'!A:A,'[2]LX COMPUTED'!AE:AE,"-",0)</f>
        <v>0.44555444555444562</v>
      </c>
      <c r="W280" s="2">
        <f>_xlfn.XLOOKUP(A280,'[2]LX COMPUTED'!A:A,'[2]LX COMPUTED'!AF:AF,"-",0)</f>
        <v>1.1655147515032473E-2</v>
      </c>
    </row>
    <row r="281" spans="1:23" x14ac:dyDescent="0.2">
      <c r="A281" t="s">
        <v>599</v>
      </c>
      <c r="B281">
        <v>0.32200000000000001</v>
      </c>
      <c r="C281">
        <v>209.96090000000001</v>
      </c>
      <c r="D281">
        <v>62.518000000000001</v>
      </c>
      <c r="E281">
        <v>1113</v>
      </c>
      <c r="F281">
        <v>6.56</v>
      </c>
      <c r="G281">
        <v>0.62</v>
      </c>
      <c r="H281">
        <v>0.22</v>
      </c>
      <c r="I281">
        <v>0.09</v>
      </c>
      <c r="J281" t="s">
        <v>739</v>
      </c>
      <c r="K281">
        <v>1489</v>
      </c>
      <c r="L281">
        <v>1022</v>
      </c>
      <c r="M281">
        <v>1.5</v>
      </c>
      <c r="N281" s="5">
        <v>1.05E-12</v>
      </c>
      <c r="O281" s="5">
        <v>3.4E-14</v>
      </c>
      <c r="P281" s="5">
        <f>_xlfn.XLOOKUP(A281,'[2]LX COMPUTED'!A:A,'[2]LX COMPUTED'!T:T,"-",0)</f>
        <v>3.4436549771758616</v>
      </c>
      <c r="Q281" s="5">
        <f>_xlfn.XLOOKUP(A281,'[2]LX COMPUTED'!A:A,'[2]LX COMPUTED'!U:U,"-",0)</f>
        <v>0.11132185118821201</v>
      </c>
      <c r="R281" s="5">
        <f>_xlfn.XLOOKUP(A281,'[2]LX COMPUTED'!A:A,'[2]LX COMPUTED'!V:V,"-",0)</f>
        <v>5.2262365002260065</v>
      </c>
      <c r="S281" s="5">
        <f>_xlfn.XLOOKUP(A281,'[2]LX COMPUTED'!A:A,'[2]LX COMPUTED'!W:W,"-",0)</f>
        <v>0.25638526654597626</v>
      </c>
      <c r="T281" s="5">
        <f>_xlfn.XLOOKUP(A281,'[2]LX COMPUTED'!A:A,'[2]LX COMPUTED'!AK:AK,"-",0)</f>
        <v>1.3964768450947456</v>
      </c>
      <c r="U281" s="5">
        <f>_xlfn.XLOOKUP(A281,'[2]LX COMPUTED'!A:A,'[2]LX COMPUTED'!AL:AL,"-",0)</f>
        <v>4.5143427134187626E-2</v>
      </c>
      <c r="V281" s="2">
        <f>_xlfn.XLOOKUP(A281,'[2]LX COMPUTED'!A:A,'[2]LX COMPUTED'!AE:AE,"-",0)</f>
        <v>0.57461476074614748</v>
      </c>
      <c r="W281" s="2">
        <f>_xlfn.XLOOKUP(A281,'[2]LX COMPUTED'!A:A,'[2]LX COMPUTED'!AF:AF,"-",0)</f>
        <v>1.023757694516072E-2</v>
      </c>
    </row>
    <row r="282" spans="1:23" x14ac:dyDescent="0.2">
      <c r="A282" t="s">
        <v>206</v>
      </c>
      <c r="B282">
        <v>0.38600000000000001</v>
      </c>
      <c r="C282">
        <v>214.11609999999999</v>
      </c>
      <c r="D282">
        <v>44.779200000000003</v>
      </c>
      <c r="E282">
        <v>793</v>
      </c>
      <c r="F282">
        <v>3.52</v>
      </c>
      <c r="G282">
        <v>0.32</v>
      </c>
      <c r="H282">
        <v>0.57999999999999996</v>
      </c>
      <c r="I282">
        <v>0.28000000000000003</v>
      </c>
      <c r="J282" t="s">
        <v>739</v>
      </c>
      <c r="K282">
        <v>1083</v>
      </c>
      <c r="L282">
        <v>1022</v>
      </c>
      <c r="M282">
        <v>1.1000000000000001</v>
      </c>
      <c r="N282" s="5">
        <v>2.48E-13</v>
      </c>
      <c r="O282" s="5">
        <v>2.3999999999999999E-14</v>
      </c>
      <c r="P282" s="5">
        <f>_xlfn.XLOOKUP(A282,'[2]LX COMPUTED'!A:A,'[2]LX COMPUTED'!T:T,"-",0)</f>
        <v>1.3285742722095897</v>
      </c>
      <c r="Q282" s="5">
        <f>_xlfn.XLOOKUP(A282,'[2]LX COMPUTED'!A:A,'[2]LX COMPUTED'!U:U,"-",0)</f>
        <v>0.12740528347902261</v>
      </c>
      <c r="R282" s="5">
        <f>_xlfn.XLOOKUP(A282,'[2]LX COMPUTED'!A:A,'[2]LX COMPUTED'!V:V,"-",0)</f>
        <v>1.7688999333468201</v>
      </c>
      <c r="S282" s="5">
        <f>_xlfn.XLOOKUP(A282,'[2]LX COMPUTED'!A:A,'[2]LX COMPUTED'!W:W,"-",0)</f>
        <v>0.17291457247719491</v>
      </c>
      <c r="T282" s="5">
        <f>_xlfn.XLOOKUP(A282,'[2]LX COMPUTED'!A:A,'[2]LX COMPUTED'!AK:AK,"-",0)</f>
        <v>0.65454997260405212</v>
      </c>
      <c r="U282" s="5">
        <f>_xlfn.XLOOKUP(A282,'[2]LX COMPUTED'!A:A,'[2]LX COMPUTED'!AL:AL,"-",0)</f>
        <v>6.2768884325986735E-2</v>
      </c>
      <c r="V282" s="2">
        <f>_xlfn.XLOOKUP(A282,'[2]LX COMPUTED'!A:A,'[2]LX COMPUTED'!AE:AE,"-",0)</f>
        <v>0.5191225004853427</v>
      </c>
      <c r="W282" s="2">
        <f>_xlfn.XLOOKUP(A282,'[2]LX COMPUTED'!A:A,'[2]LX COMPUTED'!AF:AF,"-",0)</f>
        <v>3.4440085310276605E-2</v>
      </c>
    </row>
    <row r="283" spans="1:23" x14ac:dyDescent="0.2">
      <c r="A283" t="s">
        <v>209</v>
      </c>
      <c r="B283">
        <v>0.498</v>
      </c>
      <c r="C283">
        <v>216.81720000000001</v>
      </c>
      <c r="D283">
        <v>44.1252</v>
      </c>
      <c r="E283">
        <v>1271</v>
      </c>
      <c r="F283">
        <v>10.26</v>
      </c>
      <c r="G283">
        <v>1.64</v>
      </c>
      <c r="H283">
        <v>0.28000000000000003</v>
      </c>
      <c r="I283">
        <v>0.15</v>
      </c>
      <c r="J283" t="s">
        <v>739</v>
      </c>
      <c r="K283">
        <v>2576</v>
      </c>
      <c r="L283">
        <v>2047</v>
      </c>
      <c r="M283">
        <v>1.3</v>
      </c>
      <c r="N283" s="5">
        <v>7.0800000000000001E-13</v>
      </c>
      <c r="O283" s="5">
        <v>3.8999999999999998E-14</v>
      </c>
      <c r="P283" s="5">
        <f>_xlfn.XLOOKUP(A283,'[2]LX COMPUTED'!A:A,'[2]LX COMPUTED'!T:T,"-",0)</f>
        <v>5.9183270380626345</v>
      </c>
      <c r="Q283" s="5">
        <f>_xlfn.XLOOKUP(A283,'[2]LX COMPUTED'!A:A,'[2]LX COMPUTED'!U:U,"-",0)</f>
        <v>0.32311236512352753</v>
      </c>
      <c r="R283" s="5">
        <f>_xlfn.XLOOKUP(A283,'[2]LX COMPUTED'!A:A,'[2]LX COMPUTED'!V:V,"-",0)</f>
        <v>10.548644292844015</v>
      </c>
      <c r="S283" s="5">
        <f>_xlfn.XLOOKUP(A283,'[2]LX COMPUTED'!A:A,'[2]LX COMPUTED'!W:W,"-",0)</f>
        <v>1.184281971657724</v>
      </c>
      <c r="T283" s="5">
        <f>_xlfn.XLOOKUP(A283,'[2]LX COMPUTED'!A:A,'[2]LX COMPUTED'!AK:AK,"-",0)</f>
        <v>2.1461965341104166</v>
      </c>
      <c r="U283" s="5">
        <f>_xlfn.XLOOKUP(A283,'[2]LX COMPUTED'!A:A,'[2]LX COMPUTED'!AL:AL,"-",0)</f>
        <v>0.11717207138038445</v>
      </c>
      <c r="V283" s="2">
        <f>_xlfn.XLOOKUP(A283,'[2]LX COMPUTED'!A:A,'[2]LX COMPUTED'!AE:AE,"-",0)</f>
        <v>0.65577755092119971</v>
      </c>
      <c r="W283" s="2">
        <f>_xlfn.XLOOKUP(A283,'[2]LX COMPUTED'!A:A,'[2]LX COMPUTED'!AF:AF,"-",0)</f>
        <v>1.425799515753746E-2</v>
      </c>
    </row>
    <row r="284" spans="1:23" x14ac:dyDescent="0.2">
      <c r="A284" t="s">
        <v>216</v>
      </c>
      <c r="B284">
        <v>0.215</v>
      </c>
      <c r="C284">
        <v>226.03110000000001</v>
      </c>
      <c r="D284">
        <v>-2.8045</v>
      </c>
      <c r="E284">
        <v>1383</v>
      </c>
      <c r="F284">
        <v>8.7100000000000009</v>
      </c>
      <c r="G284">
        <v>0.8</v>
      </c>
      <c r="H284">
        <v>0.22</v>
      </c>
      <c r="I284">
        <v>0.05</v>
      </c>
      <c r="J284" t="s">
        <v>740</v>
      </c>
      <c r="K284">
        <v>2791</v>
      </c>
      <c r="L284">
        <v>2047</v>
      </c>
      <c r="M284">
        <v>1.4</v>
      </c>
      <c r="N284" s="5">
        <v>6.1400000000000001E-12</v>
      </c>
      <c r="O284" s="5">
        <v>9.1999999999999999E-14</v>
      </c>
      <c r="P284" s="5">
        <f>_xlfn.XLOOKUP(A284,'[2]LX COMPUTED'!A:A,'[2]LX COMPUTED'!T:T,"-",0)</f>
        <v>8.3885632529562333</v>
      </c>
      <c r="Q284" s="5">
        <f>_xlfn.XLOOKUP(A284,'[2]LX COMPUTED'!A:A,'[2]LX COMPUTED'!U:U,"-",0)</f>
        <v>0.12596173078198519</v>
      </c>
      <c r="R284" s="5">
        <f>_xlfn.XLOOKUP(A284,'[2]LX COMPUTED'!A:A,'[2]LX COMPUTED'!V:V,"-",0)</f>
        <v>14.015075936843575</v>
      </c>
      <c r="S284" s="5">
        <f>_xlfn.XLOOKUP(A284,'[2]LX COMPUTED'!A:A,'[2]LX COMPUTED'!W:W,"-",0)</f>
        <v>0.7033590683401354</v>
      </c>
      <c r="T284" s="5">
        <f>_xlfn.XLOOKUP(A284,'[2]LX COMPUTED'!A:A,'[2]LX COMPUTED'!AK:AK,"-",0)</f>
        <v>3.1658333635194187</v>
      </c>
      <c r="U284" s="5">
        <f>_xlfn.XLOOKUP(A284,'[2]LX COMPUTED'!A:A,'[2]LX COMPUTED'!AL:AL,"-",0)</f>
        <v>4.7537800909557053E-2</v>
      </c>
      <c r="V284" s="2">
        <f>_xlfn.XLOOKUP(A284,'[2]LX COMPUTED'!A:A,'[2]LX COMPUTED'!AE:AE,"-",0)</f>
        <v>0.82765199337878415</v>
      </c>
      <c r="W284" s="2">
        <f>_xlfn.XLOOKUP(A284,'[2]LX COMPUTED'!A:A,'[2]LX COMPUTED'!AF:AF,"-",0)</f>
        <v>2.3578564844683601E-3</v>
      </c>
    </row>
    <row r="285" spans="1:23" x14ac:dyDescent="0.2">
      <c r="A285" t="s">
        <v>16</v>
      </c>
      <c r="B285">
        <v>0.104</v>
      </c>
      <c r="C285">
        <v>2.8647</v>
      </c>
      <c r="D285">
        <v>52.526499999999999</v>
      </c>
      <c r="E285">
        <v>1026</v>
      </c>
      <c r="F285">
        <v>4.6399999999999997</v>
      </c>
      <c r="G285">
        <v>0.33</v>
      </c>
      <c r="H285">
        <v>0.16</v>
      </c>
      <c r="I285">
        <v>0.1</v>
      </c>
      <c r="J285" t="s">
        <v>739</v>
      </c>
      <c r="K285">
        <v>1267</v>
      </c>
      <c r="L285">
        <v>1022</v>
      </c>
      <c r="M285">
        <v>1.2</v>
      </c>
      <c r="N285" s="5">
        <v>2.33E-12</v>
      </c>
      <c r="O285" s="5">
        <v>6.2000000000000001E-14</v>
      </c>
      <c r="P285" s="5">
        <f>_xlfn.XLOOKUP(A285,'[2]LX COMPUTED'!A:A,'[2]LX COMPUTED'!T:T,"-",0)</f>
        <v>0.79215815529890399</v>
      </c>
      <c r="Q285" s="5">
        <f>_xlfn.XLOOKUP(A285,'[2]LX COMPUTED'!A:A,'[2]LX COMPUTED'!U:U,"-",0)</f>
        <v>2.1045800904914345E-2</v>
      </c>
      <c r="R285" s="5">
        <f>_xlfn.XLOOKUP(A285,'[2]LX COMPUTED'!A:A,'[2]LX COMPUTED'!V:V,"-",0)</f>
        <v>1.1078571129060797</v>
      </c>
      <c r="S285" s="5">
        <f>_xlfn.XLOOKUP(A285,'[2]LX COMPUTED'!A:A,'[2]LX COMPUTED'!W:W,"-",0)</f>
        <v>3.682757317016095E-2</v>
      </c>
      <c r="T285" s="5">
        <f>_xlfn.XLOOKUP(A285,'[2]LX COMPUTED'!A:A,'[2]LX COMPUTED'!AK:AK,"-",0)</f>
        <v>0.35933944696087572</v>
      </c>
      <c r="U285" s="5">
        <f>_xlfn.XLOOKUP(A285,'[2]LX COMPUTED'!A:A,'[2]LX COMPUTED'!AL:AL,"-",0)</f>
        <v>9.5468138621473114E-3</v>
      </c>
      <c r="V285" s="2">
        <f>_xlfn.XLOOKUP(A285,'[2]LX COMPUTED'!A:A,'[2]LX COMPUTED'!AE:AE,"-",0)</f>
        <v>0.33352435530085961</v>
      </c>
      <c r="W285" s="2">
        <f>_xlfn.XLOOKUP(A285,'[2]LX COMPUTED'!A:A,'[2]LX COMPUTED'!AF:AF,"-",0)</f>
        <v>1.4732614082604118E-2</v>
      </c>
    </row>
    <row r="286" spans="1:23" x14ac:dyDescent="0.2">
      <c r="A286" t="s">
        <v>113</v>
      </c>
      <c r="B286">
        <v>0.216</v>
      </c>
      <c r="C286">
        <v>115.4346</v>
      </c>
      <c r="D286">
        <v>74.244</v>
      </c>
      <c r="E286">
        <v>1167</v>
      </c>
      <c r="F286">
        <v>6.55</v>
      </c>
      <c r="G286">
        <v>0.61</v>
      </c>
      <c r="H286">
        <v>0.34</v>
      </c>
      <c r="I286">
        <v>0.11</v>
      </c>
      <c r="J286" t="s">
        <v>740</v>
      </c>
      <c r="K286">
        <v>4931</v>
      </c>
      <c r="L286">
        <v>4097</v>
      </c>
      <c r="M286">
        <v>1.2</v>
      </c>
      <c r="N286" s="5">
        <v>2.4799999999999999E-12</v>
      </c>
      <c r="O286" s="5">
        <v>2.3E-14</v>
      </c>
      <c r="P286" s="5">
        <f>_xlfn.XLOOKUP(A286,'[2]LX COMPUTED'!A:A,'[2]LX COMPUTED'!T:T,"-",0)</f>
        <v>3.3284593061944512</v>
      </c>
      <c r="Q286" s="5">
        <f>_xlfn.XLOOKUP(A286,'[2]LX COMPUTED'!A:A,'[2]LX COMPUTED'!U:U,"-",0)</f>
        <v>3.0534513679649725E-2</v>
      </c>
      <c r="R286" s="5">
        <f>_xlfn.XLOOKUP(A286,'[2]LX COMPUTED'!A:A,'[2]LX COMPUTED'!V:V,"-",0)</f>
        <v>5.0405252801453635</v>
      </c>
      <c r="S286" s="5">
        <f>_xlfn.XLOOKUP(A286,'[2]LX COMPUTED'!A:A,'[2]LX COMPUTED'!W:W,"-",0)</f>
        <v>0.19082119991407478</v>
      </c>
      <c r="T286" s="5">
        <f>_xlfn.XLOOKUP(A286,'[2]LX COMPUTED'!A:A,'[2]LX COMPUTED'!AK:AK,"-",0)</f>
        <v>1.3364138084779815</v>
      </c>
      <c r="U286" s="5">
        <f>_xlfn.XLOOKUP(A286,'[2]LX COMPUTED'!A:A,'[2]LX COMPUTED'!AL:AL,"-",0)</f>
        <v>1.2259950314158882E-2</v>
      </c>
      <c r="V286" s="2">
        <f>_xlfn.XLOOKUP(A286,'[2]LX COMPUTED'!A:A,'[2]LX COMPUTED'!AE:AE,"-",0)</f>
        <v>0.57155217165599592</v>
      </c>
      <c r="W286" s="2">
        <f>_xlfn.XLOOKUP(A286,'[2]LX COMPUTED'!A:A,'[2]LX COMPUTED'!AF:AF,"-",0)</f>
        <v>3.2196171806557596E-3</v>
      </c>
    </row>
    <row r="287" spans="1:23" x14ac:dyDescent="0.2">
      <c r="A287" t="s">
        <v>121</v>
      </c>
      <c r="B287">
        <v>0.22500000000000001</v>
      </c>
      <c r="C287">
        <v>126.4913</v>
      </c>
      <c r="D287">
        <v>4.2466999999999997</v>
      </c>
      <c r="E287">
        <v>951</v>
      </c>
      <c r="F287">
        <v>4.53</v>
      </c>
      <c r="G287">
        <v>0.59</v>
      </c>
      <c r="H287">
        <v>0.49</v>
      </c>
      <c r="I287">
        <v>0.19</v>
      </c>
      <c r="J287" t="s">
        <v>739</v>
      </c>
      <c r="K287">
        <v>1266</v>
      </c>
      <c r="L287">
        <v>1022</v>
      </c>
      <c r="M287">
        <v>1.2</v>
      </c>
      <c r="N287" s="5">
        <v>9.7699999999999998E-13</v>
      </c>
      <c r="O287" s="5">
        <v>6.8999999999999996E-14</v>
      </c>
      <c r="P287" s="5">
        <f>_xlfn.XLOOKUP(A287,'[2]LX COMPUTED'!A:A,'[2]LX COMPUTED'!T:T,"-",0)</f>
        <v>1.5138136050893092</v>
      </c>
      <c r="Q287" s="5">
        <f>_xlfn.XLOOKUP(A287,'[2]LX COMPUTED'!A:A,'[2]LX COMPUTED'!U:U,"-",0)</f>
        <v>0.1072852225493628</v>
      </c>
      <c r="R287" s="5">
        <f>_xlfn.XLOOKUP(A287,'[2]LX COMPUTED'!A:A,'[2]LX COMPUTED'!V:V,"-",0)</f>
        <v>2.091456109778512</v>
      </c>
      <c r="S287" s="5">
        <f>_xlfn.XLOOKUP(A287,'[2]LX COMPUTED'!A:A,'[2]LX COMPUTED'!W:W,"-",0)</f>
        <v>0.16579779463325697</v>
      </c>
      <c r="T287" s="5">
        <f>_xlfn.XLOOKUP(A287,'[2]LX COMPUTED'!A:A,'[2]LX COMPUTED'!AK:AK,"-",0)</f>
        <v>0.67683439212680196</v>
      </c>
      <c r="U287" s="5">
        <f>_xlfn.XLOOKUP(A287,'[2]LX COMPUTED'!A:A,'[2]LX COMPUTED'!AL:AL,"-",0)</f>
        <v>4.7967813305590336E-2</v>
      </c>
      <c r="V287" s="2">
        <f>_xlfn.XLOOKUP(A287,'[2]LX COMPUTED'!A:A,'[2]LX COMPUTED'!AE:AE,"-",0)</f>
        <v>0.50840632235981065</v>
      </c>
      <c r="W287" s="2">
        <f>_xlfn.XLOOKUP(A287,'[2]LX COMPUTED'!A:A,'[2]LX COMPUTED'!AF:AF,"-",0)</f>
        <v>2.3244660074919165E-2</v>
      </c>
    </row>
    <row r="288" spans="1:23" x14ac:dyDescent="0.2">
      <c r="A288" t="s">
        <v>129</v>
      </c>
      <c r="B288">
        <v>0.23</v>
      </c>
      <c r="C288">
        <v>135.15350000000001</v>
      </c>
      <c r="D288">
        <v>20.894400000000001</v>
      </c>
      <c r="E288">
        <v>946</v>
      </c>
      <c r="F288">
        <v>4.46</v>
      </c>
      <c r="G288">
        <v>0.19</v>
      </c>
      <c r="H288">
        <v>0.32</v>
      </c>
      <c r="I288">
        <v>0.18</v>
      </c>
      <c r="J288" t="s">
        <v>740</v>
      </c>
      <c r="K288">
        <v>1020</v>
      </c>
      <c r="L288">
        <v>1022</v>
      </c>
      <c r="M288">
        <v>1</v>
      </c>
      <c r="N288" s="5">
        <v>1.13E-12</v>
      </c>
      <c r="O288" s="5">
        <v>4.4999999999999998E-14</v>
      </c>
      <c r="P288" s="5">
        <f>_xlfn.XLOOKUP(A288,'[2]LX COMPUTED'!A:A,'[2]LX COMPUTED'!T:T,"-",0)</f>
        <v>1.7971262565001502</v>
      </c>
      <c r="Q288" s="5">
        <f>_xlfn.XLOOKUP(A288,'[2]LX COMPUTED'!A:A,'[2]LX COMPUTED'!U:U,"-",0)</f>
        <v>7.2038596113177977E-2</v>
      </c>
      <c r="R288" s="5">
        <f>_xlfn.XLOOKUP(A288,'[2]LX COMPUTED'!A:A,'[2]LX COMPUTED'!V:V,"-",0)</f>
        <v>2.4881910952394004</v>
      </c>
      <c r="S288" s="5">
        <f>_xlfn.XLOOKUP(A288,'[2]LX COMPUTED'!A:A,'[2]LX COMPUTED'!W:W,"-",0)</f>
        <v>0.10358489103377842</v>
      </c>
      <c r="T288" s="5">
        <f>_xlfn.XLOOKUP(A288,'[2]LX COMPUTED'!A:A,'[2]LX COMPUTED'!AK:AK,"-",0)</f>
        <v>0.81802413294227461</v>
      </c>
      <c r="U288" s="5">
        <f>_xlfn.XLOOKUP(A288,'[2]LX COMPUTED'!A:A,'[2]LX COMPUTED'!AL:AL,"-",0)</f>
        <v>3.2790857020042766E-2</v>
      </c>
      <c r="V288" s="2">
        <f>_xlfn.XLOOKUP(A288,'[2]LX COMPUTED'!A:A,'[2]LX COMPUTED'!AE:AE,"-",0)</f>
        <v>0.77470988395358142</v>
      </c>
      <c r="W288" s="2">
        <f>_xlfn.XLOOKUP(A288,'[2]LX COMPUTED'!A:A,'[2]LX COMPUTED'!AF:AF,"-",0)</f>
        <v>7.3381132658381877E-3</v>
      </c>
    </row>
    <row r="289" spans="1:23" x14ac:dyDescent="0.2">
      <c r="A289" t="s">
        <v>140</v>
      </c>
      <c r="B289">
        <v>0.214</v>
      </c>
      <c r="C289">
        <v>148.2056</v>
      </c>
      <c r="D289">
        <v>51.8842</v>
      </c>
      <c r="E289">
        <v>1093</v>
      </c>
      <c r="F289">
        <v>5.43</v>
      </c>
      <c r="G289">
        <v>0.62</v>
      </c>
      <c r="H289">
        <v>0.33</v>
      </c>
      <c r="I289">
        <v>0.1</v>
      </c>
      <c r="J289" t="s">
        <v>740</v>
      </c>
      <c r="K289">
        <v>2111</v>
      </c>
      <c r="L289">
        <v>2047</v>
      </c>
      <c r="M289">
        <v>1</v>
      </c>
      <c r="N289" s="5">
        <v>1.4000000000000001E-12</v>
      </c>
      <c r="O289" s="5">
        <v>3.1E-14</v>
      </c>
      <c r="P289" s="5">
        <f>_xlfn.XLOOKUP(A289,'[2]LX COMPUTED'!A:A,'[2]LX COMPUTED'!T:T,"-",0)</f>
        <v>1.8280380910577196</v>
      </c>
      <c r="Q289" s="5">
        <f>_xlfn.XLOOKUP(A289,'[2]LX COMPUTED'!A:A,'[2]LX COMPUTED'!U:U,"-",0)</f>
        <v>4.0555620521093932E-2</v>
      </c>
      <c r="R289" s="5">
        <f>_xlfn.XLOOKUP(A289,'[2]LX COMPUTED'!A:A,'[2]LX COMPUTED'!V:V,"-",0)</f>
        <v>2.6336472009047349</v>
      </c>
      <c r="S289" s="5">
        <f>_xlfn.XLOOKUP(A289,'[2]LX COMPUTED'!A:A,'[2]LX COMPUTED'!W:W,"-",0)</f>
        <v>0.11408224259503008</v>
      </c>
      <c r="T289" s="5">
        <f>_xlfn.XLOOKUP(A289,'[2]LX COMPUTED'!A:A,'[2]LX COMPUTED'!AK:AK,"-",0)</f>
        <v>0.7775638008108543</v>
      </c>
      <c r="U289" s="5">
        <f>_xlfn.XLOOKUP(A289,'[2]LX COMPUTED'!A:A,'[2]LX COMPUTED'!AL:AL,"-",0)</f>
        <v>1.7250506207109873E-2</v>
      </c>
      <c r="V289" s="2">
        <f>_xlfn.XLOOKUP(A289,'[2]LX COMPUTED'!A:A,'[2]LX COMPUTED'!AE:AE,"-",0)</f>
        <v>0.69406890536415178</v>
      </c>
      <c r="W289" s="2">
        <f>_xlfn.XLOOKUP(A289,'[2]LX COMPUTED'!A:A,'[2]LX COMPUTED'!AF:AF,"-",0)</f>
        <v>5.5920456967761311E-3</v>
      </c>
    </row>
    <row r="290" spans="1:23" x14ac:dyDescent="0.2">
      <c r="A290" t="s">
        <v>147</v>
      </c>
      <c r="B290">
        <v>0.221</v>
      </c>
      <c r="C290">
        <v>152.19810000000001</v>
      </c>
      <c r="D290">
        <v>11.790800000000001</v>
      </c>
      <c r="E290">
        <v>1103</v>
      </c>
      <c r="F290">
        <v>5.86</v>
      </c>
      <c r="G290">
        <v>0.46</v>
      </c>
      <c r="H290">
        <v>0.31</v>
      </c>
      <c r="I290">
        <v>0.03</v>
      </c>
      <c r="J290" t="s">
        <v>740</v>
      </c>
      <c r="K290">
        <v>2294</v>
      </c>
      <c r="L290">
        <v>2047</v>
      </c>
      <c r="M290">
        <v>1.1000000000000001</v>
      </c>
      <c r="N290" s="5">
        <v>1.7199999999999999E-12</v>
      </c>
      <c r="O290" s="5">
        <v>4.7000000000000002E-14</v>
      </c>
      <c r="P290" s="5">
        <f>_xlfn.XLOOKUP(A290,'[2]LX COMPUTED'!A:A,'[2]LX COMPUTED'!T:T,"-",0)</f>
        <v>2.5047945334712134</v>
      </c>
      <c r="Q290" s="5">
        <f>_xlfn.XLOOKUP(A290,'[2]LX COMPUTED'!A:A,'[2]LX COMPUTED'!U:U,"-",0)</f>
        <v>6.840291006194793E-2</v>
      </c>
      <c r="R290" s="5">
        <f>_xlfn.XLOOKUP(A290,'[2]LX COMPUTED'!A:A,'[2]LX COMPUTED'!V:V,"-",0)</f>
        <v>3.6742496314320476</v>
      </c>
      <c r="S290" s="5">
        <f>_xlfn.XLOOKUP(A290,'[2]LX COMPUTED'!A:A,'[2]LX COMPUTED'!W:W,"-",0)</f>
        <v>0.14244122080263938</v>
      </c>
      <c r="T290" s="5">
        <f>_xlfn.XLOOKUP(A290,'[2]LX COMPUTED'!A:A,'[2]LX COMPUTED'!AK:AK,"-",0)</f>
        <v>1.0393867482660168</v>
      </c>
      <c r="U290" s="5">
        <f>_xlfn.XLOOKUP(A290,'[2]LX COMPUTED'!A:A,'[2]LX COMPUTED'!AL:AL,"-",0)</f>
        <v>2.8384395331098301E-2</v>
      </c>
      <c r="V290" s="2">
        <f>_xlfn.XLOOKUP(A290,'[2]LX COMPUTED'!A:A,'[2]LX COMPUTED'!AE:AE,"-",0)</f>
        <v>0.42287055667337359</v>
      </c>
      <c r="W290" s="2">
        <f>_xlfn.XLOOKUP(A290,'[2]LX COMPUTED'!A:A,'[2]LX COMPUTED'!AF:AF,"-",0)</f>
        <v>9.9572161458461438E-3</v>
      </c>
    </row>
    <row r="291" spans="1:23" x14ac:dyDescent="0.2">
      <c r="A291" t="s">
        <v>193</v>
      </c>
      <c r="B291">
        <v>9.0999999999999998E-2</v>
      </c>
      <c r="C291">
        <v>202.53970000000001</v>
      </c>
      <c r="D291">
        <v>-2.0985999999999998</v>
      </c>
      <c r="E291">
        <v>701</v>
      </c>
      <c r="F291">
        <v>2.66</v>
      </c>
      <c r="G291">
        <v>0.22</v>
      </c>
      <c r="H291">
        <v>0.32</v>
      </c>
      <c r="I291">
        <v>0.13</v>
      </c>
      <c r="J291" t="s">
        <v>739</v>
      </c>
      <c r="K291">
        <v>1132</v>
      </c>
      <c r="L291">
        <v>1022</v>
      </c>
      <c r="M291">
        <v>1.1000000000000001</v>
      </c>
      <c r="N291" s="5">
        <v>5.0099999999999999E-13</v>
      </c>
      <c r="O291" s="5">
        <v>4.3E-14</v>
      </c>
      <c r="P291" s="5">
        <f>_xlfn.XLOOKUP(A291,'[2]LX COMPUTED'!A:A,'[2]LX COMPUTED'!T:T,"-",0)</f>
        <v>0.1089603965184037</v>
      </c>
      <c r="Q291" s="5">
        <f>_xlfn.XLOOKUP(A291,'[2]LX COMPUTED'!A:A,'[2]LX COMPUTED'!U:U,"-",0)</f>
        <v>9.2485348416315241E-3</v>
      </c>
      <c r="R291" s="5">
        <f>_xlfn.XLOOKUP(A291,'[2]LX COMPUTED'!A:A,'[2]LX COMPUTED'!V:V,"-",0)</f>
        <v>0.1453443767209012</v>
      </c>
      <c r="S291" s="5">
        <f>_xlfn.XLOOKUP(A291,'[2]LX COMPUTED'!A:A,'[2]LX COMPUTED'!W:W,"-",0)</f>
        <v>1.2481094935381364E-2</v>
      </c>
      <c r="T291" s="5">
        <f>_xlfn.XLOOKUP(A291,'[2]LX COMPUTED'!A:A,'[2]LX COMPUTED'!AK:AK,"-",0)</f>
        <v>6.1365008951063164E-2</v>
      </c>
      <c r="U291" s="5">
        <f>_xlfn.XLOOKUP(A291,'[2]LX COMPUTED'!A:A,'[2]LX COMPUTED'!AL:AL,"-",0)</f>
        <v>5.2086486602045323E-3</v>
      </c>
      <c r="V291" s="2">
        <f>_xlfn.XLOOKUP(A291,'[2]LX COMPUTED'!A:A,'[2]LX COMPUTED'!AE:AE,"-",0)</f>
        <v>0.30375000000000002</v>
      </c>
      <c r="W291" s="2">
        <f>_xlfn.XLOOKUP(A291,'[2]LX COMPUTED'!A:A,'[2]LX COMPUTED'!AF:AF,"-",0)</f>
        <v>4.8118488971868767E-2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93B3-661B-1948-8197-E54A9FCBC130}">
  <dimension ref="A1:T380"/>
  <sheetViews>
    <sheetView workbookViewId="0">
      <selection sqref="A1:T380"/>
    </sheetView>
  </sheetViews>
  <sheetFormatPr baseColWidth="10" defaultRowHeight="16" x14ac:dyDescent="0.2"/>
  <cols>
    <col min="1" max="1" width="33.5" customWidth="1"/>
    <col min="20" max="20" width="12.5" customWidth="1"/>
  </cols>
  <sheetData>
    <row r="1" spans="1:20" x14ac:dyDescent="0.2">
      <c r="A1" t="s">
        <v>0</v>
      </c>
      <c r="B1" t="s">
        <v>741</v>
      </c>
      <c r="C1" s="1" t="s">
        <v>742</v>
      </c>
      <c r="D1" s="1" t="s">
        <v>743</v>
      </c>
      <c r="E1" t="s">
        <v>744</v>
      </c>
      <c r="F1" t="s">
        <v>745</v>
      </c>
      <c r="G1" t="s">
        <v>746</v>
      </c>
      <c r="H1" t="s">
        <v>747</v>
      </c>
      <c r="I1" t="s">
        <v>748</v>
      </c>
      <c r="J1" t="s">
        <v>749</v>
      </c>
      <c r="K1" t="s">
        <v>750</v>
      </c>
      <c r="L1" t="s">
        <v>751</v>
      </c>
      <c r="M1" t="s">
        <v>752</v>
      </c>
      <c r="N1" t="s">
        <v>753</v>
      </c>
      <c r="O1" t="s">
        <v>754</v>
      </c>
      <c r="P1" t="s">
        <v>755</v>
      </c>
      <c r="Q1" t="s">
        <v>756</v>
      </c>
      <c r="R1" t="s">
        <v>757</v>
      </c>
      <c r="S1" t="s">
        <v>758</v>
      </c>
      <c r="T1" t="s">
        <v>851</v>
      </c>
    </row>
    <row r="2" spans="1:20" x14ac:dyDescent="0.2">
      <c r="C2" t="s">
        <v>316</v>
      </c>
      <c r="D2" t="s">
        <v>317</v>
      </c>
      <c r="E2" t="s">
        <v>778</v>
      </c>
      <c r="F2" t="s">
        <v>778</v>
      </c>
      <c r="G2" t="s">
        <v>780</v>
      </c>
      <c r="H2" t="s">
        <v>780</v>
      </c>
      <c r="I2" t="s">
        <v>780</v>
      </c>
      <c r="J2" t="s">
        <v>780</v>
      </c>
      <c r="N2" t="s">
        <v>780</v>
      </c>
      <c r="O2" t="s">
        <v>780</v>
      </c>
      <c r="T2" t="s">
        <v>852</v>
      </c>
    </row>
    <row r="3" spans="1:20" x14ac:dyDescent="0.2">
      <c r="C3" t="s">
        <v>322</v>
      </c>
      <c r="D3" t="s">
        <v>322</v>
      </c>
      <c r="E3" t="s">
        <v>802</v>
      </c>
      <c r="F3" t="s">
        <v>803</v>
      </c>
      <c r="G3" t="s">
        <v>804</v>
      </c>
      <c r="H3" t="s">
        <v>781</v>
      </c>
      <c r="I3" t="s">
        <v>805</v>
      </c>
      <c r="J3" t="s">
        <v>782</v>
      </c>
      <c r="K3" t="s">
        <v>806</v>
      </c>
      <c r="L3" t="s">
        <v>783</v>
      </c>
      <c r="M3" t="s">
        <v>807</v>
      </c>
      <c r="N3" t="s">
        <v>808</v>
      </c>
      <c r="O3" t="s">
        <v>784</v>
      </c>
      <c r="P3" t="s">
        <v>809</v>
      </c>
      <c r="Q3" t="s">
        <v>785</v>
      </c>
      <c r="R3" t="s">
        <v>810</v>
      </c>
      <c r="S3" t="s">
        <v>811</v>
      </c>
      <c r="T3" t="s">
        <v>853</v>
      </c>
    </row>
    <row r="4" spans="1:20" x14ac:dyDescent="0.2">
      <c r="A4" t="s">
        <v>15</v>
      </c>
      <c r="B4">
        <v>4.9000000000000002E-2</v>
      </c>
      <c r="C4" s="1">
        <v>0.80400000000000005</v>
      </c>
      <c r="D4" s="1">
        <v>-35.933399999999999</v>
      </c>
      <c r="E4">
        <v>4.7</v>
      </c>
      <c r="F4">
        <v>215.4</v>
      </c>
      <c r="G4">
        <v>24.7</v>
      </c>
      <c r="H4">
        <v>6.6</v>
      </c>
      <c r="I4">
        <v>158</v>
      </c>
      <c r="J4">
        <v>4.8</v>
      </c>
      <c r="K4">
        <v>0.89</v>
      </c>
      <c r="L4">
        <v>0.11</v>
      </c>
      <c r="M4">
        <v>1.05</v>
      </c>
      <c r="N4">
        <v>158.1</v>
      </c>
      <c r="O4">
        <v>4.8</v>
      </c>
      <c r="P4">
        <v>0.63</v>
      </c>
      <c r="Q4">
        <v>0.04</v>
      </c>
      <c r="R4">
        <v>1.29</v>
      </c>
      <c r="S4">
        <v>36</v>
      </c>
      <c r="T4" t="s">
        <v>328</v>
      </c>
    </row>
    <row r="5" spans="1:20" x14ac:dyDescent="0.2">
      <c r="A5" t="s">
        <v>330</v>
      </c>
      <c r="B5">
        <v>0.16700000000000001</v>
      </c>
      <c r="C5" s="1">
        <v>1.5845</v>
      </c>
      <c r="D5" s="1">
        <v>10.8643</v>
      </c>
      <c r="E5">
        <v>14.1</v>
      </c>
      <c r="F5">
        <v>706.7</v>
      </c>
      <c r="G5">
        <v>64.900000000000006</v>
      </c>
      <c r="H5">
        <v>9.3000000000000007</v>
      </c>
      <c r="I5">
        <v>192.1</v>
      </c>
      <c r="J5">
        <v>6.1</v>
      </c>
      <c r="K5">
        <v>1.01</v>
      </c>
      <c r="L5">
        <v>7.0000000000000007E-2</v>
      </c>
      <c r="M5">
        <v>0.52</v>
      </c>
      <c r="N5">
        <v>210.7</v>
      </c>
      <c r="O5">
        <v>5.4</v>
      </c>
      <c r="P5">
        <v>0.69</v>
      </c>
      <c r="Q5">
        <v>0.04</v>
      </c>
      <c r="R5">
        <v>1.51</v>
      </c>
      <c r="S5">
        <v>29</v>
      </c>
      <c r="T5" t="s">
        <v>336</v>
      </c>
    </row>
    <row r="6" spans="1:20" x14ac:dyDescent="0.2">
      <c r="A6" t="s">
        <v>16</v>
      </c>
      <c r="B6">
        <v>0.104</v>
      </c>
      <c r="C6" s="1">
        <v>2.8647</v>
      </c>
      <c r="D6" s="1">
        <v>52.526499999999999</v>
      </c>
      <c r="E6">
        <v>23.6</v>
      </c>
      <c r="F6">
        <v>702.9</v>
      </c>
      <c r="G6">
        <v>7</v>
      </c>
      <c r="H6">
        <v>63.6</v>
      </c>
      <c r="I6">
        <v>262.2</v>
      </c>
      <c r="J6">
        <v>12.7</v>
      </c>
      <c r="K6">
        <v>0.62</v>
      </c>
      <c r="L6">
        <v>0.19</v>
      </c>
      <c r="M6">
        <v>0.52</v>
      </c>
      <c r="N6">
        <v>262.60000000000002</v>
      </c>
      <c r="O6">
        <v>12</v>
      </c>
      <c r="P6">
        <v>0.6</v>
      </c>
      <c r="Q6">
        <v>0.06</v>
      </c>
      <c r="R6">
        <v>0.5</v>
      </c>
      <c r="S6">
        <v>31</v>
      </c>
      <c r="T6" t="s">
        <v>336</v>
      </c>
    </row>
    <row r="7" spans="1:20" x14ac:dyDescent="0.2">
      <c r="A7" t="s">
        <v>17</v>
      </c>
      <c r="B7">
        <v>0.378</v>
      </c>
      <c r="C7" s="1">
        <v>2.9285999999999999</v>
      </c>
      <c r="D7" s="1">
        <v>-15.389200000000001</v>
      </c>
      <c r="E7">
        <v>12.9</v>
      </c>
      <c r="F7">
        <v>167.6</v>
      </c>
      <c r="G7">
        <v>3.7</v>
      </c>
      <c r="H7">
        <v>13.6</v>
      </c>
      <c r="I7">
        <v>161.4</v>
      </c>
      <c r="J7">
        <v>8.6999999999999993</v>
      </c>
      <c r="K7">
        <v>0.85</v>
      </c>
      <c r="L7">
        <v>0.21</v>
      </c>
      <c r="M7">
        <v>0.87</v>
      </c>
      <c r="N7">
        <v>161.80000000000001</v>
      </c>
      <c r="O7">
        <v>8.6</v>
      </c>
      <c r="P7">
        <v>0.8</v>
      </c>
      <c r="Q7">
        <v>0.06</v>
      </c>
      <c r="R7">
        <v>0.71</v>
      </c>
      <c r="S7">
        <v>7</v>
      </c>
      <c r="T7" t="s">
        <v>336</v>
      </c>
    </row>
    <row r="8" spans="1:20" x14ac:dyDescent="0.2">
      <c r="A8" t="s">
        <v>333</v>
      </c>
      <c r="B8">
        <v>9.4E-2</v>
      </c>
      <c r="C8" s="1">
        <v>3.4098000000000002</v>
      </c>
      <c r="D8" s="1">
        <v>-19.500499999999999</v>
      </c>
      <c r="E8">
        <v>8.6</v>
      </c>
      <c r="F8">
        <v>310.5</v>
      </c>
      <c r="G8">
        <v>111.8</v>
      </c>
      <c r="H8">
        <v>43.9</v>
      </c>
      <c r="I8">
        <v>292.5</v>
      </c>
      <c r="J8">
        <v>11.3</v>
      </c>
      <c r="K8">
        <v>0.76</v>
      </c>
      <c r="L8">
        <v>0.27</v>
      </c>
      <c r="M8">
        <v>0.47</v>
      </c>
      <c r="N8">
        <v>304</v>
      </c>
      <c r="O8">
        <v>8.4</v>
      </c>
      <c r="P8">
        <v>0.45</v>
      </c>
      <c r="Q8">
        <v>0.08</v>
      </c>
      <c r="R8">
        <v>0.56000000000000005</v>
      </c>
      <c r="S8">
        <v>33</v>
      </c>
      <c r="T8" t="s">
        <v>336</v>
      </c>
    </row>
    <row r="9" spans="1:20" x14ac:dyDescent="0.2">
      <c r="A9" t="s">
        <v>18</v>
      </c>
      <c r="B9">
        <v>0.308</v>
      </c>
      <c r="C9" s="1">
        <v>3.5807000000000002</v>
      </c>
      <c r="D9" s="1">
        <v>-30.390899999999998</v>
      </c>
      <c r="E9">
        <v>11.3</v>
      </c>
      <c r="F9">
        <v>1046.8</v>
      </c>
      <c r="G9">
        <v>221.8</v>
      </c>
      <c r="H9">
        <v>58.9</v>
      </c>
      <c r="I9">
        <v>389.6</v>
      </c>
      <c r="J9">
        <v>17</v>
      </c>
      <c r="K9">
        <v>0.69</v>
      </c>
      <c r="L9">
        <v>0.18</v>
      </c>
      <c r="M9">
        <v>0.89</v>
      </c>
      <c r="N9">
        <v>386.9</v>
      </c>
      <c r="O9">
        <v>17.399999999999999</v>
      </c>
      <c r="P9">
        <v>0.41</v>
      </c>
      <c r="Q9">
        <v>7.0000000000000007E-2</v>
      </c>
      <c r="R9">
        <v>1.01</v>
      </c>
      <c r="S9">
        <v>47</v>
      </c>
      <c r="T9" t="s">
        <v>336</v>
      </c>
    </row>
    <row r="10" spans="1:20" x14ac:dyDescent="0.2">
      <c r="A10" t="s">
        <v>19</v>
      </c>
      <c r="B10">
        <v>0.54100000000000004</v>
      </c>
      <c r="C10" s="1">
        <v>4.6402000000000001</v>
      </c>
      <c r="D10" s="1">
        <v>16.4359</v>
      </c>
      <c r="E10">
        <v>31.7</v>
      </c>
      <c r="F10">
        <v>1220.5999999999999</v>
      </c>
      <c r="G10">
        <v>169.6</v>
      </c>
      <c r="H10">
        <v>23.1</v>
      </c>
      <c r="I10">
        <v>225.4</v>
      </c>
      <c r="J10">
        <v>12.6</v>
      </c>
      <c r="K10">
        <v>1.33</v>
      </c>
      <c r="L10">
        <v>0.1</v>
      </c>
      <c r="M10">
        <v>0.2</v>
      </c>
      <c r="N10">
        <v>196.6</v>
      </c>
      <c r="O10">
        <v>11.5</v>
      </c>
      <c r="P10">
        <v>0.75</v>
      </c>
      <c r="Q10">
        <v>0.06</v>
      </c>
      <c r="R10">
        <v>1.33</v>
      </c>
      <c r="S10">
        <v>27</v>
      </c>
      <c r="T10" t="s">
        <v>336</v>
      </c>
    </row>
    <row r="11" spans="1:20" x14ac:dyDescent="0.2">
      <c r="A11" t="s">
        <v>337</v>
      </c>
      <c r="B11">
        <v>0.58399999999999996</v>
      </c>
      <c r="C11" s="1">
        <v>6.3737000000000004</v>
      </c>
      <c r="D11" s="1">
        <v>-12.376099999999999</v>
      </c>
      <c r="E11">
        <v>32.9</v>
      </c>
      <c r="F11">
        <v>477.6</v>
      </c>
      <c r="G11">
        <v>-162.30000000000001</v>
      </c>
      <c r="H11">
        <v>79.400000000000006</v>
      </c>
      <c r="I11">
        <v>110.7</v>
      </c>
      <c r="J11">
        <v>6.7</v>
      </c>
      <c r="K11">
        <v>0.42</v>
      </c>
      <c r="L11">
        <v>0.28000000000000003</v>
      </c>
      <c r="M11">
        <v>0.39</v>
      </c>
      <c r="N11">
        <v>99.3</v>
      </c>
      <c r="O11">
        <v>5.8</v>
      </c>
      <c r="P11">
        <v>0.91</v>
      </c>
      <c r="Q11">
        <v>0.06</v>
      </c>
      <c r="R11">
        <v>1.82</v>
      </c>
      <c r="S11">
        <v>14</v>
      </c>
      <c r="T11" t="s">
        <v>336</v>
      </c>
    </row>
    <row r="12" spans="1:20" x14ac:dyDescent="0.2">
      <c r="A12" t="s">
        <v>21</v>
      </c>
      <c r="B12">
        <v>0.41</v>
      </c>
      <c r="C12" s="1">
        <v>7.0259999999999998</v>
      </c>
      <c r="D12" s="1">
        <v>-75.635800000000003</v>
      </c>
      <c r="E12">
        <v>13.6</v>
      </c>
      <c r="F12">
        <v>881.5</v>
      </c>
      <c r="G12">
        <v>-144</v>
      </c>
      <c r="H12">
        <v>160.5</v>
      </c>
      <c r="I12">
        <v>382.3</v>
      </c>
      <c r="J12">
        <v>29.1</v>
      </c>
      <c r="K12">
        <v>0.35</v>
      </c>
      <c r="L12">
        <v>0.35</v>
      </c>
      <c r="M12">
        <v>0.35</v>
      </c>
      <c r="N12">
        <v>352.8</v>
      </c>
      <c r="O12">
        <v>18</v>
      </c>
      <c r="P12">
        <v>0.51</v>
      </c>
      <c r="Q12">
        <v>7.0000000000000007E-2</v>
      </c>
      <c r="R12">
        <v>0.42</v>
      </c>
      <c r="S12">
        <v>21</v>
      </c>
      <c r="T12" t="s">
        <v>336</v>
      </c>
    </row>
    <row r="13" spans="1:20" x14ac:dyDescent="0.2">
      <c r="A13" t="s">
        <v>342</v>
      </c>
      <c r="B13">
        <v>0.36399999999999999</v>
      </c>
      <c r="C13" s="1">
        <v>8.8585999999999991</v>
      </c>
      <c r="D13" s="1">
        <v>-20.2623</v>
      </c>
      <c r="E13">
        <v>25.2</v>
      </c>
      <c r="F13">
        <v>1006.9</v>
      </c>
      <c r="G13">
        <v>137.19999999999999</v>
      </c>
      <c r="H13">
        <v>17.100000000000001</v>
      </c>
      <c r="I13">
        <v>179.2</v>
      </c>
      <c r="J13">
        <v>10.5</v>
      </c>
      <c r="K13">
        <v>1.51</v>
      </c>
      <c r="L13">
        <v>0.1</v>
      </c>
      <c r="M13">
        <v>0.26</v>
      </c>
      <c r="N13">
        <v>171.1</v>
      </c>
      <c r="O13">
        <v>11.1</v>
      </c>
      <c r="P13">
        <v>0.78</v>
      </c>
      <c r="Q13">
        <v>7.0000000000000007E-2</v>
      </c>
      <c r="R13">
        <v>1.92</v>
      </c>
      <c r="S13">
        <v>21</v>
      </c>
      <c r="T13" t="s">
        <v>336</v>
      </c>
    </row>
    <row r="14" spans="1:20" x14ac:dyDescent="0.2">
      <c r="A14" t="s">
        <v>23</v>
      </c>
      <c r="B14">
        <v>0.255</v>
      </c>
      <c r="C14" s="1">
        <v>9.2774999999999999</v>
      </c>
      <c r="D14" s="1">
        <v>9.1577999999999999</v>
      </c>
      <c r="E14">
        <v>29.5</v>
      </c>
      <c r="F14">
        <v>708.1</v>
      </c>
      <c r="G14">
        <v>187.2</v>
      </c>
      <c r="H14">
        <v>57.6</v>
      </c>
      <c r="I14">
        <v>254</v>
      </c>
      <c r="J14">
        <v>29</v>
      </c>
      <c r="K14">
        <v>1.41</v>
      </c>
      <c r="L14">
        <v>0.21</v>
      </c>
      <c r="M14">
        <v>0.1</v>
      </c>
      <c r="N14">
        <v>215.4</v>
      </c>
      <c r="O14">
        <v>24.2</v>
      </c>
      <c r="P14">
        <v>0.83</v>
      </c>
      <c r="Q14">
        <v>0.11</v>
      </c>
      <c r="R14">
        <v>0.69</v>
      </c>
      <c r="S14">
        <v>12</v>
      </c>
      <c r="T14" t="s">
        <v>336</v>
      </c>
    </row>
    <row r="15" spans="1:20" x14ac:dyDescent="0.2">
      <c r="A15" t="s">
        <v>343</v>
      </c>
      <c r="B15">
        <v>5.5E-2</v>
      </c>
      <c r="C15" s="1">
        <v>10.459899999999999</v>
      </c>
      <c r="D15" s="1">
        <v>-9.3028999999999993</v>
      </c>
      <c r="E15">
        <v>2.6</v>
      </c>
      <c r="F15">
        <v>503.8</v>
      </c>
      <c r="G15">
        <v>5.3</v>
      </c>
      <c r="H15">
        <v>1</v>
      </c>
      <c r="I15">
        <v>165.3</v>
      </c>
      <c r="J15">
        <v>1.9</v>
      </c>
      <c r="K15">
        <v>0.91</v>
      </c>
      <c r="L15">
        <v>0.02</v>
      </c>
      <c r="M15">
        <v>1.1100000000000001</v>
      </c>
      <c r="N15">
        <v>169.4</v>
      </c>
      <c r="O15">
        <v>1.8</v>
      </c>
      <c r="P15">
        <v>0.84</v>
      </c>
      <c r="Q15">
        <v>0.01</v>
      </c>
      <c r="R15">
        <v>1.4</v>
      </c>
      <c r="S15">
        <v>96</v>
      </c>
      <c r="T15" t="s">
        <v>336</v>
      </c>
    </row>
    <row r="16" spans="1:20" x14ac:dyDescent="0.2">
      <c r="A16" t="s">
        <v>24</v>
      </c>
      <c r="B16">
        <v>0.29199999999999998</v>
      </c>
      <c r="C16" s="1">
        <v>10.8535</v>
      </c>
      <c r="D16" s="1">
        <v>-20.6234</v>
      </c>
      <c r="E16">
        <v>21.7</v>
      </c>
      <c r="F16">
        <v>791.6</v>
      </c>
      <c r="G16">
        <v>152.19999999999999</v>
      </c>
      <c r="H16">
        <v>20.9</v>
      </c>
      <c r="I16">
        <v>199.1</v>
      </c>
      <c r="J16">
        <v>11.8</v>
      </c>
      <c r="K16">
        <v>1.67</v>
      </c>
      <c r="L16">
        <v>0.16</v>
      </c>
      <c r="M16">
        <v>0.33</v>
      </c>
      <c r="N16">
        <v>216.3</v>
      </c>
      <c r="O16">
        <v>12.4</v>
      </c>
      <c r="P16">
        <v>0.62</v>
      </c>
      <c r="Q16">
        <v>0.12</v>
      </c>
      <c r="R16">
        <v>0.99</v>
      </c>
      <c r="S16">
        <v>22</v>
      </c>
      <c r="T16" t="s">
        <v>336</v>
      </c>
    </row>
    <row r="17" spans="1:20" x14ac:dyDescent="0.2">
      <c r="A17" t="s">
        <v>344</v>
      </c>
      <c r="B17">
        <v>8.3000000000000004E-2</v>
      </c>
      <c r="C17" s="1">
        <v>10.9678</v>
      </c>
      <c r="D17" s="1">
        <v>24.405899999999999</v>
      </c>
      <c r="E17">
        <v>3.9</v>
      </c>
      <c r="F17">
        <v>269.89999999999998</v>
      </c>
      <c r="G17">
        <v>10.5</v>
      </c>
      <c r="H17">
        <v>1.1000000000000001</v>
      </c>
      <c r="I17">
        <v>120.3</v>
      </c>
      <c r="J17">
        <v>2.7</v>
      </c>
      <c r="K17">
        <v>1.2</v>
      </c>
      <c r="L17">
        <v>0.03</v>
      </c>
      <c r="M17">
        <v>0.65</v>
      </c>
      <c r="N17">
        <v>124</v>
      </c>
      <c r="O17">
        <v>2.7</v>
      </c>
      <c r="P17">
        <v>0.93</v>
      </c>
      <c r="Q17">
        <v>0.02</v>
      </c>
      <c r="R17">
        <v>3.1</v>
      </c>
      <c r="S17">
        <v>33</v>
      </c>
      <c r="T17" t="s">
        <v>336</v>
      </c>
    </row>
    <row r="18" spans="1:20" x14ac:dyDescent="0.2">
      <c r="A18" t="s">
        <v>25</v>
      </c>
      <c r="B18">
        <v>0.104</v>
      </c>
      <c r="C18" s="1">
        <v>11.6029</v>
      </c>
      <c r="D18" s="1">
        <v>20.6218</v>
      </c>
      <c r="E18">
        <v>9.4</v>
      </c>
      <c r="F18">
        <v>264.2</v>
      </c>
      <c r="G18">
        <v>16</v>
      </c>
      <c r="H18">
        <v>3.8</v>
      </c>
      <c r="I18">
        <v>176.7</v>
      </c>
      <c r="J18">
        <v>7.3</v>
      </c>
      <c r="K18">
        <v>1.22</v>
      </c>
      <c r="L18">
        <v>7.0000000000000007E-2</v>
      </c>
      <c r="M18">
        <v>0.81</v>
      </c>
      <c r="N18">
        <v>183.9</v>
      </c>
      <c r="O18">
        <v>7</v>
      </c>
      <c r="P18">
        <v>0.97</v>
      </c>
      <c r="Q18">
        <v>0.04</v>
      </c>
      <c r="R18">
        <v>1.76</v>
      </c>
      <c r="S18">
        <v>15</v>
      </c>
      <c r="T18" t="s">
        <v>336</v>
      </c>
    </row>
    <row r="19" spans="1:20" x14ac:dyDescent="0.2">
      <c r="A19" t="s">
        <v>347</v>
      </c>
      <c r="B19">
        <v>5.7000000000000002E-2</v>
      </c>
      <c r="C19" s="1">
        <v>13.749700000000001</v>
      </c>
      <c r="D19" s="1">
        <v>-35.321399999999997</v>
      </c>
      <c r="E19">
        <v>2.7</v>
      </c>
      <c r="F19">
        <v>125.5</v>
      </c>
      <c r="G19">
        <v>7.3</v>
      </c>
      <c r="H19">
        <v>0.4</v>
      </c>
      <c r="I19">
        <v>193.8</v>
      </c>
      <c r="J19">
        <v>10.199999999999999</v>
      </c>
      <c r="K19">
        <v>1.5</v>
      </c>
      <c r="L19">
        <v>0.03</v>
      </c>
      <c r="M19">
        <v>3.6</v>
      </c>
      <c r="N19">
        <v>96.9</v>
      </c>
      <c r="O19">
        <v>5.4</v>
      </c>
      <c r="P19">
        <v>0.81</v>
      </c>
      <c r="Q19">
        <v>0.03</v>
      </c>
      <c r="R19">
        <v>20.86</v>
      </c>
      <c r="S19">
        <v>11</v>
      </c>
      <c r="T19" t="s">
        <v>336</v>
      </c>
    </row>
    <row r="20" spans="1:20" x14ac:dyDescent="0.2">
      <c r="A20" t="s">
        <v>28</v>
      </c>
      <c r="B20">
        <v>5.6599999999999998E-2</v>
      </c>
      <c r="C20" s="1">
        <v>15.6737</v>
      </c>
      <c r="D20" s="1">
        <v>-21.881799999999998</v>
      </c>
      <c r="E20">
        <v>2.7</v>
      </c>
      <c r="F20">
        <v>116.5</v>
      </c>
      <c r="G20">
        <v>10.7</v>
      </c>
      <c r="H20">
        <v>0.6</v>
      </c>
      <c r="I20">
        <v>206.9</v>
      </c>
      <c r="J20">
        <v>3.9</v>
      </c>
      <c r="K20">
        <v>1.37</v>
      </c>
      <c r="L20">
        <v>0.02</v>
      </c>
      <c r="M20">
        <v>8.7200000000000006</v>
      </c>
      <c r="N20">
        <v>181.1</v>
      </c>
      <c r="O20">
        <v>3</v>
      </c>
      <c r="P20">
        <v>1.02</v>
      </c>
      <c r="Q20">
        <v>0.01</v>
      </c>
      <c r="R20">
        <v>19.47</v>
      </c>
      <c r="S20">
        <v>22</v>
      </c>
      <c r="T20" t="s">
        <v>336</v>
      </c>
    </row>
    <row r="21" spans="1:20" x14ac:dyDescent="0.2">
      <c r="A21" t="s">
        <v>29</v>
      </c>
      <c r="B21">
        <v>0.75</v>
      </c>
      <c r="C21" s="1">
        <v>15.7378</v>
      </c>
      <c r="D21" s="1">
        <v>-49.272500000000001</v>
      </c>
      <c r="E21">
        <v>18.399999999999999</v>
      </c>
      <c r="F21">
        <v>1083.0999999999999</v>
      </c>
      <c r="G21">
        <v>63.4</v>
      </c>
      <c r="H21">
        <v>9.1999999999999993</v>
      </c>
      <c r="I21">
        <v>160.80000000000001</v>
      </c>
      <c r="J21">
        <v>4.0999999999999996</v>
      </c>
      <c r="K21">
        <v>1.1100000000000001</v>
      </c>
      <c r="L21">
        <v>0.04</v>
      </c>
      <c r="M21">
        <v>1.72</v>
      </c>
      <c r="N21">
        <v>157.19999999999999</v>
      </c>
      <c r="O21">
        <v>4.2</v>
      </c>
      <c r="P21">
        <v>0.89</v>
      </c>
      <c r="Q21">
        <v>0.02</v>
      </c>
      <c r="R21">
        <v>3.09</v>
      </c>
      <c r="S21">
        <v>30</v>
      </c>
      <c r="T21" t="s">
        <v>336</v>
      </c>
    </row>
    <row r="22" spans="1:20" x14ac:dyDescent="0.2">
      <c r="A22" t="s">
        <v>30</v>
      </c>
      <c r="B22">
        <v>0.23</v>
      </c>
      <c r="C22" s="1">
        <v>16.3979</v>
      </c>
      <c r="D22" s="1">
        <v>-24.630099999999999</v>
      </c>
      <c r="E22">
        <v>27.3</v>
      </c>
      <c r="F22">
        <v>983.1</v>
      </c>
      <c r="G22">
        <v>112.2</v>
      </c>
      <c r="H22">
        <v>32.4</v>
      </c>
      <c r="I22">
        <v>212.3</v>
      </c>
      <c r="J22">
        <v>13.3</v>
      </c>
      <c r="K22">
        <v>0.98</v>
      </c>
      <c r="L22">
        <v>0.14000000000000001</v>
      </c>
      <c r="M22">
        <v>0.67</v>
      </c>
      <c r="N22">
        <v>208.4</v>
      </c>
      <c r="O22">
        <v>13.8</v>
      </c>
      <c r="P22">
        <v>0.67</v>
      </c>
      <c r="Q22">
        <v>0.06</v>
      </c>
      <c r="R22">
        <v>0.99</v>
      </c>
      <c r="S22">
        <v>26</v>
      </c>
      <c r="T22" t="s">
        <v>336</v>
      </c>
    </row>
    <row r="23" spans="1:20" x14ac:dyDescent="0.2">
      <c r="A23" t="s">
        <v>31</v>
      </c>
      <c r="B23">
        <v>0.254</v>
      </c>
      <c r="C23" s="1">
        <v>16.706199999999999</v>
      </c>
      <c r="D23" s="1">
        <v>1.0563</v>
      </c>
      <c r="E23">
        <v>9.8000000000000007</v>
      </c>
      <c r="F23">
        <v>460.9</v>
      </c>
      <c r="G23">
        <v>8.9</v>
      </c>
      <c r="H23">
        <v>0.9</v>
      </c>
      <c r="I23">
        <v>80.599999999999994</v>
      </c>
      <c r="J23">
        <v>1.8</v>
      </c>
      <c r="K23">
        <v>1.4</v>
      </c>
      <c r="L23">
        <v>0.03</v>
      </c>
      <c r="M23">
        <v>0.54</v>
      </c>
      <c r="N23">
        <v>88.3</v>
      </c>
      <c r="O23">
        <v>1.5</v>
      </c>
      <c r="P23">
        <v>1.1299999999999999</v>
      </c>
      <c r="Q23">
        <v>0.02</v>
      </c>
      <c r="R23">
        <v>5.0199999999999996</v>
      </c>
      <c r="S23">
        <v>20</v>
      </c>
      <c r="T23" t="s">
        <v>336</v>
      </c>
    </row>
    <row r="24" spans="1:20" x14ac:dyDescent="0.2">
      <c r="A24" t="s">
        <v>354</v>
      </c>
      <c r="B24">
        <v>0.107</v>
      </c>
      <c r="C24" s="1">
        <v>16.938099999999999</v>
      </c>
      <c r="D24" s="1">
        <v>54.1327</v>
      </c>
      <c r="E24">
        <v>14.5</v>
      </c>
      <c r="F24">
        <v>682</v>
      </c>
      <c r="G24">
        <v>336.6</v>
      </c>
      <c r="H24">
        <v>48.2</v>
      </c>
      <c r="I24">
        <v>389.9</v>
      </c>
      <c r="J24">
        <v>22.2</v>
      </c>
      <c r="K24">
        <v>1.25</v>
      </c>
      <c r="L24">
        <v>0.26</v>
      </c>
      <c r="M24">
        <v>0.39</v>
      </c>
      <c r="N24">
        <v>382.7</v>
      </c>
      <c r="O24">
        <v>21.7</v>
      </c>
      <c r="P24">
        <v>0.38</v>
      </c>
      <c r="Q24">
        <v>0.12</v>
      </c>
      <c r="R24">
        <v>0.53</v>
      </c>
      <c r="S24">
        <v>54</v>
      </c>
      <c r="T24" t="s">
        <v>336</v>
      </c>
    </row>
    <row r="25" spans="1:20" x14ac:dyDescent="0.2">
      <c r="A25" t="s">
        <v>355</v>
      </c>
      <c r="B25">
        <v>2.4299999999999999E-2</v>
      </c>
      <c r="C25" s="1">
        <v>17.480899999999998</v>
      </c>
      <c r="D25" s="1">
        <v>-45.930799999999998</v>
      </c>
      <c r="E25">
        <v>1.2</v>
      </c>
      <c r="F25">
        <v>203</v>
      </c>
      <c r="G25">
        <v>1.9</v>
      </c>
      <c r="H25">
        <v>0.9</v>
      </c>
      <c r="I25">
        <v>270.89999999999998</v>
      </c>
      <c r="J25">
        <v>12.6</v>
      </c>
      <c r="K25">
        <v>0.87</v>
      </c>
      <c r="L25">
        <v>0.04</v>
      </c>
      <c r="M25">
        <v>1.6</v>
      </c>
      <c r="N25">
        <v>269.10000000000002</v>
      </c>
      <c r="O25">
        <v>12.7</v>
      </c>
      <c r="P25">
        <v>0.82</v>
      </c>
      <c r="Q25">
        <v>0.02</v>
      </c>
      <c r="R25">
        <v>1.66</v>
      </c>
      <c r="S25">
        <v>39</v>
      </c>
      <c r="T25" t="s">
        <v>336</v>
      </c>
    </row>
    <row r="26" spans="1:20" x14ac:dyDescent="0.2">
      <c r="A26" t="s">
        <v>356</v>
      </c>
      <c r="B26">
        <v>4.4999999999999998E-2</v>
      </c>
      <c r="C26" s="1">
        <v>18.273700000000002</v>
      </c>
      <c r="D26" s="1">
        <v>15.5298</v>
      </c>
      <c r="E26">
        <v>8.6999999999999993</v>
      </c>
      <c r="F26">
        <v>117.9</v>
      </c>
      <c r="G26">
        <v>77.900000000000006</v>
      </c>
      <c r="H26">
        <v>56.1</v>
      </c>
      <c r="I26">
        <v>236.4</v>
      </c>
      <c r="J26">
        <v>17.899999999999999</v>
      </c>
      <c r="K26">
        <v>0.91</v>
      </c>
      <c r="L26">
        <v>0.72</v>
      </c>
      <c r="M26">
        <v>0.46</v>
      </c>
      <c r="N26">
        <v>232</v>
      </c>
      <c r="O26">
        <v>16.8</v>
      </c>
      <c r="P26">
        <v>0.45</v>
      </c>
      <c r="Q26">
        <v>0.21</v>
      </c>
      <c r="R26">
        <v>0.49</v>
      </c>
      <c r="S26">
        <v>15</v>
      </c>
      <c r="T26" t="s">
        <v>336</v>
      </c>
    </row>
    <row r="27" spans="1:20" x14ac:dyDescent="0.2">
      <c r="A27" t="s">
        <v>357</v>
      </c>
      <c r="B27">
        <v>4.4999999999999998E-2</v>
      </c>
      <c r="C27" s="1">
        <v>18.765799999999999</v>
      </c>
      <c r="D27" s="1">
        <v>0.40410000000000001</v>
      </c>
      <c r="E27">
        <v>15.3</v>
      </c>
      <c r="F27">
        <v>364.7</v>
      </c>
      <c r="G27">
        <v>114.7</v>
      </c>
      <c r="H27">
        <v>65.5</v>
      </c>
      <c r="I27">
        <v>200.5</v>
      </c>
      <c r="J27">
        <v>13.5</v>
      </c>
      <c r="K27">
        <v>0.88</v>
      </c>
      <c r="L27">
        <v>0.49</v>
      </c>
      <c r="M27">
        <v>0.71</v>
      </c>
      <c r="N27">
        <v>203.8</v>
      </c>
      <c r="O27">
        <v>13.6</v>
      </c>
      <c r="P27">
        <v>0.47</v>
      </c>
      <c r="Q27">
        <v>0.14000000000000001</v>
      </c>
      <c r="R27">
        <v>0.71</v>
      </c>
      <c r="S27">
        <v>48</v>
      </c>
      <c r="T27" t="s">
        <v>336</v>
      </c>
    </row>
    <row r="28" spans="1:20" x14ac:dyDescent="0.2">
      <c r="A28" t="s">
        <v>358</v>
      </c>
      <c r="B28">
        <v>0.22700000000000001</v>
      </c>
      <c r="C28" s="1">
        <v>19.546900000000001</v>
      </c>
      <c r="D28" s="1">
        <v>-26.965299999999999</v>
      </c>
      <c r="E28">
        <v>27</v>
      </c>
      <c r="F28">
        <v>973.3</v>
      </c>
      <c r="G28">
        <v>177.7</v>
      </c>
      <c r="H28">
        <v>33.200000000000003</v>
      </c>
      <c r="I28">
        <v>260</v>
      </c>
      <c r="J28">
        <v>14.3</v>
      </c>
      <c r="K28">
        <v>1.18</v>
      </c>
      <c r="L28">
        <v>0.15</v>
      </c>
      <c r="M28">
        <v>0.6</v>
      </c>
      <c r="N28">
        <v>257.7</v>
      </c>
      <c r="O28">
        <v>14.8</v>
      </c>
      <c r="P28">
        <v>0.64</v>
      </c>
      <c r="Q28">
        <v>7.0000000000000007E-2</v>
      </c>
      <c r="R28">
        <v>1.02</v>
      </c>
      <c r="S28">
        <v>28</v>
      </c>
      <c r="T28" t="s">
        <v>336</v>
      </c>
    </row>
    <row r="29" spans="1:20" x14ac:dyDescent="0.2">
      <c r="A29" t="s">
        <v>359</v>
      </c>
      <c r="B29">
        <v>4.4999999999999998E-2</v>
      </c>
      <c r="C29" s="1">
        <v>19.723500000000001</v>
      </c>
      <c r="D29" s="1">
        <v>-1.0021</v>
      </c>
      <c r="E29">
        <v>4.4000000000000004</v>
      </c>
      <c r="F29">
        <v>117.9</v>
      </c>
      <c r="G29">
        <v>-34.200000000000003</v>
      </c>
      <c r="H29">
        <v>30.2</v>
      </c>
      <c r="I29">
        <v>181.3</v>
      </c>
      <c r="J29">
        <v>11.4</v>
      </c>
      <c r="K29">
        <v>0.42</v>
      </c>
      <c r="L29">
        <v>0.31</v>
      </c>
      <c r="M29">
        <v>0.47</v>
      </c>
      <c r="N29">
        <v>189.8</v>
      </c>
      <c r="O29">
        <v>10.5</v>
      </c>
      <c r="P29">
        <v>0.64</v>
      </c>
      <c r="Q29">
        <v>0.04</v>
      </c>
      <c r="R29">
        <v>0.72</v>
      </c>
      <c r="S29">
        <v>14</v>
      </c>
      <c r="T29" t="s">
        <v>328</v>
      </c>
    </row>
    <row r="30" spans="1:20" x14ac:dyDescent="0.2">
      <c r="A30" t="s">
        <v>361</v>
      </c>
      <c r="B30">
        <v>4.9000000000000002E-2</v>
      </c>
      <c r="C30" s="1">
        <v>21.280200000000001</v>
      </c>
      <c r="D30" s="1">
        <v>8.7003000000000004</v>
      </c>
      <c r="E30">
        <v>7.1</v>
      </c>
      <c r="F30">
        <v>217.7</v>
      </c>
      <c r="G30">
        <v>142.5</v>
      </c>
      <c r="H30">
        <v>10.9</v>
      </c>
      <c r="I30">
        <v>176.8</v>
      </c>
      <c r="J30">
        <v>6.3</v>
      </c>
      <c r="K30">
        <v>1.9</v>
      </c>
      <c r="L30">
        <v>0.28000000000000003</v>
      </c>
      <c r="M30">
        <v>0.81</v>
      </c>
      <c r="N30">
        <v>193.1</v>
      </c>
      <c r="O30">
        <v>4.5</v>
      </c>
      <c r="P30">
        <v>0.32</v>
      </c>
      <c r="Q30">
        <v>0.13</v>
      </c>
      <c r="R30">
        <v>1.2</v>
      </c>
      <c r="S30">
        <v>42</v>
      </c>
      <c r="T30" t="s">
        <v>336</v>
      </c>
    </row>
    <row r="31" spans="1:20" x14ac:dyDescent="0.2">
      <c r="A31" t="s">
        <v>32</v>
      </c>
      <c r="B31">
        <v>0.20599999999999999</v>
      </c>
      <c r="C31" s="1">
        <v>22.970099999999999</v>
      </c>
      <c r="D31" s="1">
        <v>-13.6114</v>
      </c>
      <c r="E31">
        <v>16.7</v>
      </c>
      <c r="F31">
        <v>1095.3</v>
      </c>
      <c r="G31">
        <v>90.9</v>
      </c>
      <c r="H31">
        <v>30.5</v>
      </c>
      <c r="I31">
        <v>261.3</v>
      </c>
      <c r="J31">
        <v>10.6</v>
      </c>
      <c r="K31">
        <v>0.78</v>
      </c>
      <c r="L31">
        <v>0.11</v>
      </c>
      <c r="M31">
        <v>0.67</v>
      </c>
      <c r="N31">
        <v>267.2</v>
      </c>
      <c r="O31">
        <v>10.7</v>
      </c>
      <c r="P31">
        <v>0.59</v>
      </c>
      <c r="Q31">
        <v>0.05</v>
      </c>
      <c r="R31">
        <v>0.8</v>
      </c>
      <c r="S31">
        <v>42</v>
      </c>
      <c r="T31" t="s">
        <v>336</v>
      </c>
    </row>
    <row r="32" spans="1:20" x14ac:dyDescent="0.2">
      <c r="A32" t="s">
        <v>33</v>
      </c>
      <c r="B32">
        <v>0.21099999999999999</v>
      </c>
      <c r="C32" s="1">
        <v>24.394600000000001</v>
      </c>
      <c r="D32" s="1">
        <v>-12.9931</v>
      </c>
      <c r="E32">
        <v>25.6</v>
      </c>
      <c r="F32">
        <v>587.79999999999995</v>
      </c>
      <c r="G32">
        <v>132</v>
      </c>
      <c r="H32">
        <v>31.3</v>
      </c>
      <c r="I32">
        <v>202.8</v>
      </c>
      <c r="J32">
        <v>9.8000000000000007</v>
      </c>
      <c r="K32">
        <v>1.02</v>
      </c>
      <c r="L32">
        <v>0.22</v>
      </c>
      <c r="M32">
        <v>0.6</v>
      </c>
      <c r="N32">
        <v>205</v>
      </c>
      <c r="O32">
        <v>10.1</v>
      </c>
      <c r="P32">
        <v>0.52</v>
      </c>
      <c r="Q32">
        <v>0.09</v>
      </c>
      <c r="R32">
        <v>0.96</v>
      </c>
      <c r="S32">
        <v>22</v>
      </c>
      <c r="T32" t="s">
        <v>336</v>
      </c>
    </row>
    <row r="33" spans="1:20" x14ac:dyDescent="0.2">
      <c r="A33" t="s">
        <v>34</v>
      </c>
      <c r="B33">
        <v>0.20699999999999999</v>
      </c>
      <c r="C33" s="1">
        <v>24.483499999999999</v>
      </c>
      <c r="D33" s="1">
        <v>-12.819800000000001</v>
      </c>
      <c r="E33">
        <v>16.8</v>
      </c>
      <c r="F33">
        <v>595.9</v>
      </c>
      <c r="G33">
        <v>100.5</v>
      </c>
      <c r="H33">
        <v>22.5</v>
      </c>
      <c r="I33">
        <v>224.7</v>
      </c>
      <c r="J33">
        <v>11.4</v>
      </c>
      <c r="K33">
        <v>1.01</v>
      </c>
      <c r="L33">
        <v>0.15</v>
      </c>
      <c r="M33">
        <v>0.37</v>
      </c>
      <c r="N33">
        <v>244</v>
      </c>
      <c r="O33">
        <v>9.8000000000000007</v>
      </c>
      <c r="P33">
        <v>0.61</v>
      </c>
      <c r="Q33">
        <v>7.0000000000000007E-2</v>
      </c>
      <c r="R33">
        <v>0.86</v>
      </c>
      <c r="S33">
        <v>22</v>
      </c>
      <c r="T33" t="s">
        <v>336</v>
      </c>
    </row>
    <row r="34" spans="1:20" x14ac:dyDescent="0.2">
      <c r="A34" t="s">
        <v>37</v>
      </c>
      <c r="B34">
        <v>0.23100000000000001</v>
      </c>
      <c r="C34" s="1">
        <v>28.177399999999999</v>
      </c>
      <c r="D34" s="1">
        <v>1.0123</v>
      </c>
      <c r="E34">
        <v>18.3</v>
      </c>
      <c r="F34">
        <v>694.1</v>
      </c>
      <c r="G34">
        <v>156.30000000000001</v>
      </c>
      <c r="H34">
        <v>17</v>
      </c>
      <c r="I34">
        <v>200.9</v>
      </c>
      <c r="J34">
        <v>10.5</v>
      </c>
      <c r="K34">
        <v>1.87</v>
      </c>
      <c r="L34">
        <v>0.09</v>
      </c>
      <c r="M34">
        <v>0.34</v>
      </c>
      <c r="N34">
        <v>201.2</v>
      </c>
      <c r="O34">
        <v>11.6</v>
      </c>
      <c r="P34">
        <v>0.88</v>
      </c>
      <c r="Q34">
        <v>7.0000000000000007E-2</v>
      </c>
      <c r="R34">
        <v>2.62</v>
      </c>
      <c r="S34">
        <v>21</v>
      </c>
      <c r="T34" t="s">
        <v>336</v>
      </c>
    </row>
    <row r="35" spans="1:20" x14ac:dyDescent="0.2">
      <c r="A35" t="s">
        <v>368</v>
      </c>
      <c r="B35">
        <v>1.7399999999999999E-2</v>
      </c>
      <c r="C35" s="1">
        <v>28.192900000000002</v>
      </c>
      <c r="D35" s="1">
        <v>36.153300000000002</v>
      </c>
      <c r="E35">
        <v>0.9</v>
      </c>
      <c r="F35">
        <v>23.5</v>
      </c>
      <c r="G35">
        <v>2.4</v>
      </c>
      <c r="H35">
        <v>0.2</v>
      </c>
      <c r="I35">
        <v>239.8</v>
      </c>
      <c r="J35">
        <v>9.1</v>
      </c>
      <c r="K35">
        <v>1.1000000000000001</v>
      </c>
      <c r="L35">
        <v>0.02</v>
      </c>
      <c r="M35">
        <v>21.23</v>
      </c>
      <c r="N35">
        <v>171</v>
      </c>
      <c r="O35">
        <v>3.7</v>
      </c>
      <c r="P35">
        <v>0.9</v>
      </c>
      <c r="Q35">
        <v>0.01</v>
      </c>
      <c r="R35">
        <v>32.21</v>
      </c>
      <c r="S35">
        <v>14</v>
      </c>
      <c r="T35" t="s">
        <v>336</v>
      </c>
    </row>
    <row r="36" spans="1:20" x14ac:dyDescent="0.2">
      <c r="A36" t="s">
        <v>371</v>
      </c>
      <c r="B36">
        <v>1.8499999999999999E-2</v>
      </c>
      <c r="C36" s="1">
        <v>29.087599999999998</v>
      </c>
      <c r="D36" s="1">
        <v>5.6272000000000002</v>
      </c>
      <c r="E36">
        <v>0.9</v>
      </c>
      <c r="F36">
        <v>24.1</v>
      </c>
      <c r="G36">
        <v>0.6</v>
      </c>
      <c r="H36">
        <v>0.5</v>
      </c>
      <c r="I36">
        <v>175.6</v>
      </c>
      <c r="J36">
        <v>27.8</v>
      </c>
      <c r="K36">
        <v>0.94</v>
      </c>
      <c r="L36">
        <v>0.08</v>
      </c>
      <c r="M36">
        <v>0.73</v>
      </c>
      <c r="N36">
        <v>149.6</v>
      </c>
      <c r="O36">
        <v>12.4</v>
      </c>
      <c r="P36">
        <v>0.86</v>
      </c>
      <c r="Q36">
        <v>0.03</v>
      </c>
      <c r="R36">
        <v>0.84</v>
      </c>
      <c r="S36">
        <v>8</v>
      </c>
      <c r="T36" t="s">
        <v>336</v>
      </c>
    </row>
    <row r="37" spans="1:20" x14ac:dyDescent="0.2">
      <c r="A37" t="s">
        <v>38</v>
      </c>
      <c r="B37">
        <v>0.32200000000000001</v>
      </c>
      <c r="C37" s="1">
        <v>29.956</v>
      </c>
      <c r="D37" s="1">
        <v>-8.8336000000000006</v>
      </c>
      <c r="E37">
        <v>11.6</v>
      </c>
      <c r="F37">
        <v>382.9</v>
      </c>
      <c r="G37">
        <v>13.4</v>
      </c>
      <c r="H37">
        <v>4</v>
      </c>
      <c r="I37">
        <v>179.1</v>
      </c>
      <c r="J37">
        <v>6.5</v>
      </c>
      <c r="K37">
        <v>1.1200000000000001</v>
      </c>
      <c r="L37">
        <v>0.06</v>
      </c>
      <c r="M37">
        <v>0.55000000000000004</v>
      </c>
      <c r="N37">
        <v>189.7</v>
      </c>
      <c r="O37">
        <v>5</v>
      </c>
      <c r="P37">
        <v>0.96</v>
      </c>
      <c r="Q37">
        <v>0.03</v>
      </c>
      <c r="R37">
        <v>1.1000000000000001</v>
      </c>
      <c r="S37">
        <v>17</v>
      </c>
      <c r="T37" t="s">
        <v>336</v>
      </c>
    </row>
    <row r="38" spans="1:20" x14ac:dyDescent="0.2">
      <c r="A38" t="s">
        <v>375</v>
      </c>
      <c r="B38">
        <v>0.22900000000000001</v>
      </c>
      <c r="C38" s="1">
        <v>35.235700000000001</v>
      </c>
      <c r="D38" s="1">
        <v>-38.480400000000003</v>
      </c>
      <c r="E38">
        <v>9.1</v>
      </c>
      <c r="F38">
        <v>916.4</v>
      </c>
      <c r="G38">
        <v>20.7</v>
      </c>
      <c r="H38">
        <v>3.4</v>
      </c>
      <c r="I38">
        <v>134.30000000000001</v>
      </c>
      <c r="J38">
        <v>5.6</v>
      </c>
      <c r="K38">
        <v>1.1399999999999999</v>
      </c>
      <c r="L38">
        <v>0.05</v>
      </c>
      <c r="M38">
        <v>0.32</v>
      </c>
      <c r="N38">
        <v>149.5</v>
      </c>
      <c r="O38">
        <v>4.5999999999999996</v>
      </c>
      <c r="P38">
        <v>0.9</v>
      </c>
      <c r="Q38">
        <v>0.03</v>
      </c>
      <c r="R38">
        <v>1.85</v>
      </c>
      <c r="S38">
        <v>20</v>
      </c>
      <c r="T38" t="s">
        <v>336</v>
      </c>
    </row>
    <row r="39" spans="1:20" x14ac:dyDescent="0.2">
      <c r="A39" t="s">
        <v>376</v>
      </c>
      <c r="B39">
        <v>0.22</v>
      </c>
      <c r="C39" s="1">
        <v>36.471499999999999</v>
      </c>
      <c r="D39" s="1">
        <v>-41.915199999999999</v>
      </c>
      <c r="E39">
        <v>17.600000000000001</v>
      </c>
      <c r="F39">
        <v>976.7</v>
      </c>
      <c r="G39">
        <v>37.5</v>
      </c>
      <c r="H39">
        <v>8</v>
      </c>
      <c r="I39">
        <v>147.6</v>
      </c>
      <c r="J39">
        <v>9.3000000000000007</v>
      </c>
      <c r="K39">
        <v>1.27</v>
      </c>
      <c r="L39">
        <v>7.0000000000000007E-2</v>
      </c>
      <c r="M39">
        <v>0.28999999999999998</v>
      </c>
      <c r="N39">
        <v>168.1</v>
      </c>
      <c r="O39">
        <v>7.8</v>
      </c>
      <c r="P39">
        <v>0.99</v>
      </c>
      <c r="Q39">
        <v>0.04</v>
      </c>
      <c r="R39">
        <v>1.05</v>
      </c>
      <c r="S39">
        <v>23</v>
      </c>
      <c r="T39" t="s">
        <v>336</v>
      </c>
    </row>
    <row r="40" spans="1:20" x14ac:dyDescent="0.2">
      <c r="A40" t="s">
        <v>378</v>
      </c>
      <c r="B40">
        <v>6.0999999999999999E-2</v>
      </c>
      <c r="C40" s="1">
        <v>37.439700000000002</v>
      </c>
      <c r="D40" s="1">
        <v>-29.628699999999998</v>
      </c>
      <c r="E40">
        <v>5.8</v>
      </c>
      <c r="F40">
        <v>61</v>
      </c>
      <c r="G40">
        <v>5.2</v>
      </c>
      <c r="H40">
        <v>32</v>
      </c>
      <c r="I40">
        <v>74.8</v>
      </c>
      <c r="J40">
        <v>13.8</v>
      </c>
      <c r="K40">
        <v>0.45</v>
      </c>
      <c r="L40">
        <v>1.03</v>
      </c>
      <c r="M40">
        <v>0.52</v>
      </c>
      <c r="N40">
        <v>73.2</v>
      </c>
      <c r="O40">
        <v>7.2</v>
      </c>
      <c r="P40">
        <v>0.39</v>
      </c>
      <c r="Q40">
        <v>0.15</v>
      </c>
      <c r="R40">
        <v>0.35</v>
      </c>
      <c r="S40">
        <v>5</v>
      </c>
      <c r="T40" t="s">
        <v>336</v>
      </c>
    </row>
    <row r="41" spans="1:20" x14ac:dyDescent="0.2">
      <c r="A41" t="s">
        <v>380</v>
      </c>
      <c r="B41">
        <v>0.28399999999999997</v>
      </c>
      <c r="C41" s="1">
        <v>38.0777</v>
      </c>
      <c r="D41" s="1">
        <v>-44.346200000000003</v>
      </c>
      <c r="E41">
        <v>10.6</v>
      </c>
      <c r="F41">
        <v>925.1</v>
      </c>
      <c r="G41">
        <v>25.4</v>
      </c>
      <c r="H41">
        <v>5.7</v>
      </c>
      <c r="I41">
        <v>162.9</v>
      </c>
      <c r="J41">
        <v>6.4</v>
      </c>
      <c r="K41">
        <v>1.03</v>
      </c>
      <c r="L41">
        <v>0.05</v>
      </c>
      <c r="M41">
        <v>0.45</v>
      </c>
      <c r="N41">
        <v>177.1</v>
      </c>
      <c r="O41">
        <v>5.4</v>
      </c>
      <c r="P41">
        <v>0.87</v>
      </c>
      <c r="Q41">
        <v>0.03</v>
      </c>
      <c r="R41">
        <v>1.1499999999999999</v>
      </c>
      <c r="S41">
        <v>24</v>
      </c>
      <c r="T41" t="s">
        <v>336</v>
      </c>
    </row>
    <row r="42" spans="1:20" x14ac:dyDescent="0.2">
      <c r="A42" t="s">
        <v>40</v>
      </c>
      <c r="B42">
        <v>0.22</v>
      </c>
      <c r="C42" s="1">
        <v>39.365200000000002</v>
      </c>
      <c r="D42" s="1">
        <v>-26.507999999999999</v>
      </c>
      <c r="E42">
        <v>17.600000000000001</v>
      </c>
      <c r="F42">
        <v>483.9</v>
      </c>
      <c r="G42">
        <v>42.4</v>
      </c>
      <c r="H42">
        <v>8.1</v>
      </c>
      <c r="I42">
        <v>143.69999999999999</v>
      </c>
      <c r="J42">
        <v>6.5</v>
      </c>
      <c r="K42">
        <v>1.17</v>
      </c>
      <c r="L42">
        <v>0.09</v>
      </c>
      <c r="M42">
        <v>0.21</v>
      </c>
      <c r="N42">
        <v>159.4</v>
      </c>
      <c r="O42">
        <v>5.3</v>
      </c>
      <c r="P42">
        <v>0.81</v>
      </c>
      <c r="Q42">
        <v>0.05</v>
      </c>
      <c r="R42">
        <v>1.45</v>
      </c>
      <c r="S42">
        <v>15</v>
      </c>
      <c r="T42" t="s">
        <v>336</v>
      </c>
    </row>
    <row r="43" spans="1:20" x14ac:dyDescent="0.2">
      <c r="A43" t="s">
        <v>42</v>
      </c>
      <c r="B43">
        <v>0.375</v>
      </c>
      <c r="C43" s="1">
        <v>39.970700000000001</v>
      </c>
      <c r="D43" s="1">
        <v>-1.5792999999999999</v>
      </c>
      <c r="E43">
        <v>25.7</v>
      </c>
      <c r="F43">
        <v>500.3</v>
      </c>
      <c r="G43">
        <v>272.5</v>
      </c>
      <c r="H43">
        <v>35.4</v>
      </c>
      <c r="I43">
        <v>306.89999999999998</v>
      </c>
      <c r="J43">
        <v>19.3</v>
      </c>
      <c r="K43">
        <v>1.73</v>
      </c>
      <c r="L43">
        <v>0.2</v>
      </c>
      <c r="M43">
        <v>0.27</v>
      </c>
      <c r="N43">
        <v>272.2</v>
      </c>
      <c r="O43">
        <v>16.5</v>
      </c>
      <c r="P43">
        <v>0.61</v>
      </c>
      <c r="Q43">
        <v>0.09</v>
      </c>
      <c r="R43">
        <v>1.1399999999999999</v>
      </c>
      <c r="S43">
        <v>19</v>
      </c>
      <c r="T43" t="s">
        <v>336</v>
      </c>
    </row>
    <row r="44" spans="1:20" x14ac:dyDescent="0.2">
      <c r="A44" t="s">
        <v>43</v>
      </c>
      <c r="B44">
        <v>0.314</v>
      </c>
      <c r="C44" s="1">
        <v>40.649500000000003</v>
      </c>
      <c r="D44" s="1">
        <v>-21.540600000000001</v>
      </c>
      <c r="E44">
        <v>11.4</v>
      </c>
      <c r="F44">
        <v>741.4</v>
      </c>
      <c r="G44">
        <v>9.6999999999999993</v>
      </c>
      <c r="H44">
        <v>1.4</v>
      </c>
      <c r="I44">
        <v>93.9</v>
      </c>
      <c r="J44">
        <v>3.6</v>
      </c>
      <c r="K44">
        <v>1.27</v>
      </c>
      <c r="L44">
        <v>0.04</v>
      </c>
      <c r="M44">
        <v>0.46</v>
      </c>
      <c r="N44">
        <v>104</v>
      </c>
      <c r="O44">
        <v>3.1</v>
      </c>
      <c r="P44">
        <v>1.04</v>
      </c>
      <c r="Q44">
        <v>0.03</v>
      </c>
      <c r="R44">
        <v>3.84</v>
      </c>
      <c r="S44">
        <v>12</v>
      </c>
      <c r="T44" t="s">
        <v>336</v>
      </c>
    </row>
    <row r="45" spans="1:20" x14ac:dyDescent="0.2">
      <c r="A45" t="s">
        <v>44</v>
      </c>
      <c r="B45">
        <v>0.3</v>
      </c>
      <c r="C45" s="1">
        <v>41.361600000000003</v>
      </c>
      <c r="D45" s="1">
        <v>-53.03</v>
      </c>
      <c r="E45">
        <v>33.200000000000003</v>
      </c>
      <c r="F45">
        <v>729.4</v>
      </c>
      <c r="G45">
        <v>184.1</v>
      </c>
      <c r="H45">
        <v>21</v>
      </c>
      <c r="I45">
        <v>206</v>
      </c>
      <c r="J45">
        <v>14</v>
      </c>
      <c r="K45">
        <v>1.89</v>
      </c>
      <c r="L45">
        <v>0.18</v>
      </c>
      <c r="M45">
        <v>0.55000000000000004</v>
      </c>
      <c r="N45">
        <v>211.5</v>
      </c>
      <c r="O45">
        <v>14.4</v>
      </c>
      <c r="P45">
        <v>0.55000000000000004</v>
      </c>
      <c r="Q45">
        <v>0.13</v>
      </c>
      <c r="R45">
        <v>1.22</v>
      </c>
      <c r="S45">
        <v>20</v>
      </c>
      <c r="T45" t="s">
        <v>336</v>
      </c>
    </row>
    <row r="46" spans="1:20" x14ac:dyDescent="0.2">
      <c r="A46" t="s">
        <v>384</v>
      </c>
      <c r="B46">
        <v>4.8000000000000001E-2</v>
      </c>
      <c r="C46" s="1">
        <v>41.516399999999997</v>
      </c>
      <c r="D46" s="1">
        <v>36.905500000000004</v>
      </c>
      <c r="E46">
        <v>9.3000000000000007</v>
      </c>
      <c r="F46">
        <v>371.4</v>
      </c>
      <c r="G46">
        <v>35.799999999999997</v>
      </c>
      <c r="H46">
        <v>19.5</v>
      </c>
      <c r="I46">
        <v>251.6</v>
      </c>
      <c r="J46">
        <v>11.1</v>
      </c>
      <c r="K46">
        <v>0.73</v>
      </c>
      <c r="L46">
        <v>0.14000000000000001</v>
      </c>
      <c r="M46">
        <v>0.52</v>
      </c>
      <c r="N46">
        <v>263.2</v>
      </c>
      <c r="O46">
        <v>7.9</v>
      </c>
      <c r="P46">
        <v>0.57999999999999996</v>
      </c>
      <c r="Q46">
        <v>0.05</v>
      </c>
      <c r="R46">
        <v>0.57999999999999996</v>
      </c>
      <c r="S46">
        <v>30</v>
      </c>
      <c r="T46" t="s">
        <v>336</v>
      </c>
    </row>
    <row r="47" spans="1:20" x14ac:dyDescent="0.2">
      <c r="A47" t="s">
        <v>46</v>
      </c>
      <c r="B47">
        <v>0.187</v>
      </c>
      <c r="C47" s="1">
        <v>42.014099999999999</v>
      </c>
      <c r="D47" s="1">
        <v>-3.5293000000000001</v>
      </c>
      <c r="E47">
        <v>7.7</v>
      </c>
      <c r="F47">
        <v>565.4</v>
      </c>
      <c r="G47">
        <v>9.6</v>
      </c>
      <c r="H47">
        <v>1.1000000000000001</v>
      </c>
      <c r="I47">
        <v>122.5</v>
      </c>
      <c r="J47">
        <v>2.8</v>
      </c>
      <c r="K47">
        <v>1.1599999999999999</v>
      </c>
      <c r="L47">
        <v>0.03</v>
      </c>
      <c r="M47">
        <v>1.77</v>
      </c>
      <c r="N47">
        <v>132</v>
      </c>
      <c r="O47">
        <v>2.5</v>
      </c>
      <c r="P47">
        <v>0.97</v>
      </c>
      <c r="Q47">
        <v>0.02</v>
      </c>
      <c r="R47">
        <v>3.96</v>
      </c>
      <c r="S47">
        <v>32</v>
      </c>
      <c r="T47" t="s">
        <v>336</v>
      </c>
    </row>
    <row r="48" spans="1:20" x14ac:dyDescent="0.2">
      <c r="A48" t="s">
        <v>387</v>
      </c>
      <c r="B48">
        <v>2.3E-2</v>
      </c>
      <c r="C48" s="1">
        <v>43.215800000000002</v>
      </c>
      <c r="D48" s="1">
        <v>-1.2747999999999999</v>
      </c>
      <c r="E48">
        <v>1.1000000000000001</v>
      </c>
      <c r="F48">
        <v>71</v>
      </c>
      <c r="G48">
        <v>-1.6</v>
      </c>
      <c r="H48">
        <v>0.9</v>
      </c>
      <c r="I48">
        <v>111.9</v>
      </c>
      <c r="J48">
        <v>3.7</v>
      </c>
      <c r="K48">
        <v>0.66</v>
      </c>
      <c r="L48">
        <v>0.05</v>
      </c>
      <c r="M48">
        <v>1.26</v>
      </c>
      <c r="N48">
        <v>116.7</v>
      </c>
      <c r="O48">
        <v>3.1</v>
      </c>
      <c r="P48">
        <v>0.73</v>
      </c>
      <c r="Q48">
        <v>0.02</v>
      </c>
      <c r="R48">
        <v>1.51</v>
      </c>
      <c r="S48">
        <v>15</v>
      </c>
      <c r="T48" t="s">
        <v>336</v>
      </c>
    </row>
    <row r="49" spans="1:20" x14ac:dyDescent="0.2">
      <c r="A49" t="s">
        <v>47</v>
      </c>
      <c r="B49">
        <v>0.50490000000000002</v>
      </c>
      <c r="C49" s="1">
        <v>44.287999999999997</v>
      </c>
      <c r="D49" s="1">
        <v>-23.434999999999999</v>
      </c>
      <c r="E49">
        <v>15.3</v>
      </c>
      <c r="F49">
        <v>932.5</v>
      </c>
      <c r="G49">
        <v>77.5</v>
      </c>
      <c r="H49">
        <v>17.899999999999999</v>
      </c>
      <c r="I49">
        <v>199.5</v>
      </c>
      <c r="J49">
        <v>10.4</v>
      </c>
      <c r="K49">
        <v>1.18</v>
      </c>
      <c r="L49">
        <v>0.08</v>
      </c>
      <c r="M49">
        <v>0.23</v>
      </c>
      <c r="N49">
        <v>207.5</v>
      </c>
      <c r="O49">
        <v>10.8</v>
      </c>
      <c r="P49">
        <v>0.9</v>
      </c>
      <c r="Q49">
        <v>0.05</v>
      </c>
      <c r="R49">
        <v>1.0900000000000001</v>
      </c>
      <c r="S49">
        <v>18</v>
      </c>
      <c r="T49" t="s">
        <v>336</v>
      </c>
    </row>
    <row r="50" spans="1:20" x14ac:dyDescent="0.2">
      <c r="A50" t="s">
        <v>48</v>
      </c>
      <c r="B50">
        <v>0.32200000000000001</v>
      </c>
      <c r="C50" s="1">
        <v>44.421700000000001</v>
      </c>
      <c r="D50" s="1">
        <v>-22.154900000000001</v>
      </c>
      <c r="E50">
        <v>23.2</v>
      </c>
      <c r="F50">
        <v>800.7</v>
      </c>
      <c r="G50">
        <v>90.8</v>
      </c>
      <c r="H50">
        <v>25</v>
      </c>
      <c r="I50">
        <v>204.8</v>
      </c>
      <c r="J50">
        <v>12.3</v>
      </c>
      <c r="K50">
        <v>1.06</v>
      </c>
      <c r="L50">
        <v>0.14000000000000001</v>
      </c>
      <c r="M50">
        <v>0.17</v>
      </c>
      <c r="N50">
        <v>218.8</v>
      </c>
      <c r="O50">
        <v>11.7</v>
      </c>
      <c r="P50">
        <v>0.69</v>
      </c>
      <c r="Q50">
        <v>0.08</v>
      </c>
      <c r="R50">
        <v>0.7</v>
      </c>
      <c r="S50">
        <v>16</v>
      </c>
      <c r="T50" t="s">
        <v>328</v>
      </c>
    </row>
    <row r="51" spans="1:20" x14ac:dyDescent="0.2">
      <c r="A51" t="s">
        <v>393</v>
      </c>
      <c r="B51">
        <v>2.4400000000000002E-2</v>
      </c>
      <c r="C51" s="1">
        <v>44.423400000000001</v>
      </c>
      <c r="D51" s="1">
        <v>6.0243000000000002</v>
      </c>
      <c r="E51">
        <v>7.3</v>
      </c>
      <c r="F51">
        <v>145.6</v>
      </c>
      <c r="G51">
        <v>103.3</v>
      </c>
      <c r="H51">
        <v>15.4</v>
      </c>
      <c r="I51">
        <v>195.8</v>
      </c>
      <c r="J51">
        <v>8.6999999999999993</v>
      </c>
      <c r="K51">
        <v>1.57</v>
      </c>
      <c r="L51">
        <v>0.33</v>
      </c>
      <c r="M51">
        <v>0.56000000000000005</v>
      </c>
      <c r="N51">
        <v>197.1</v>
      </c>
      <c r="O51">
        <v>8.3000000000000007</v>
      </c>
      <c r="P51">
        <v>0.4</v>
      </c>
      <c r="Q51">
        <v>0.16</v>
      </c>
      <c r="R51">
        <v>0.75</v>
      </c>
      <c r="S51">
        <v>32</v>
      </c>
      <c r="T51" t="s">
        <v>336</v>
      </c>
    </row>
    <row r="52" spans="1:20" x14ac:dyDescent="0.2">
      <c r="A52" t="s">
        <v>49</v>
      </c>
      <c r="B52">
        <v>7.1999999999999995E-2</v>
      </c>
      <c r="C52" s="1">
        <v>44.4726</v>
      </c>
      <c r="D52" s="1">
        <v>13.0253</v>
      </c>
      <c r="E52">
        <v>6.8</v>
      </c>
      <c r="F52">
        <v>552</v>
      </c>
      <c r="G52">
        <v>124.8</v>
      </c>
      <c r="H52">
        <v>40.6</v>
      </c>
      <c r="I52">
        <v>341.5</v>
      </c>
      <c r="J52">
        <v>9.1999999999999993</v>
      </c>
      <c r="K52">
        <v>0.59</v>
      </c>
      <c r="L52">
        <v>0.15</v>
      </c>
      <c r="M52">
        <v>0.88</v>
      </c>
      <c r="N52">
        <v>349.4</v>
      </c>
      <c r="O52">
        <v>8.8000000000000007</v>
      </c>
      <c r="P52">
        <v>0.41</v>
      </c>
      <c r="Q52">
        <v>0.05</v>
      </c>
      <c r="R52">
        <v>0.93</v>
      </c>
      <c r="S52">
        <v>81</v>
      </c>
      <c r="T52" t="s">
        <v>336</v>
      </c>
    </row>
    <row r="53" spans="1:20" x14ac:dyDescent="0.2">
      <c r="A53" t="s">
        <v>51</v>
      </c>
      <c r="B53">
        <v>7.3999999999999996E-2</v>
      </c>
      <c r="C53" s="1">
        <v>44.7438</v>
      </c>
      <c r="D53" s="1">
        <v>13.578799999999999</v>
      </c>
      <c r="E53">
        <v>3.5</v>
      </c>
      <c r="F53">
        <v>573</v>
      </c>
      <c r="G53">
        <v>164.6</v>
      </c>
      <c r="H53">
        <v>16.600000000000001</v>
      </c>
      <c r="I53">
        <v>278.39999999999998</v>
      </c>
      <c r="J53">
        <v>4.5</v>
      </c>
      <c r="K53">
        <v>0.92</v>
      </c>
      <c r="L53">
        <v>0.09</v>
      </c>
      <c r="M53">
        <v>0.8</v>
      </c>
      <c r="N53">
        <v>284.5</v>
      </c>
      <c r="O53">
        <v>4.4000000000000004</v>
      </c>
      <c r="P53">
        <v>0.49</v>
      </c>
      <c r="Q53">
        <v>0.03</v>
      </c>
      <c r="R53">
        <v>1.1599999999999999</v>
      </c>
      <c r="S53">
        <v>83</v>
      </c>
      <c r="T53" t="s">
        <v>336</v>
      </c>
    </row>
    <row r="54" spans="1:20" x14ac:dyDescent="0.2">
      <c r="A54" t="s">
        <v>52</v>
      </c>
      <c r="B54">
        <v>0.17</v>
      </c>
      <c r="C54" s="1">
        <v>45.409199999999998</v>
      </c>
      <c r="D54" s="1">
        <v>1.9208000000000001</v>
      </c>
      <c r="E54">
        <v>7.2</v>
      </c>
      <c r="F54">
        <v>523.5</v>
      </c>
      <c r="G54">
        <v>10.1</v>
      </c>
      <c r="H54">
        <v>1.3</v>
      </c>
      <c r="I54">
        <v>117.1</v>
      </c>
      <c r="J54">
        <v>2.9</v>
      </c>
      <c r="K54">
        <v>1.18</v>
      </c>
      <c r="L54">
        <v>0.03</v>
      </c>
      <c r="M54">
        <v>1.37</v>
      </c>
      <c r="N54">
        <v>124.5</v>
      </c>
      <c r="O54">
        <v>2.6</v>
      </c>
      <c r="P54">
        <v>0.99</v>
      </c>
      <c r="Q54">
        <v>0.02</v>
      </c>
      <c r="R54">
        <v>4</v>
      </c>
      <c r="S54">
        <v>20</v>
      </c>
      <c r="T54" t="s">
        <v>336</v>
      </c>
    </row>
    <row r="55" spans="1:20" x14ac:dyDescent="0.2">
      <c r="A55" t="s">
        <v>53</v>
      </c>
      <c r="B55">
        <v>0.27400000000000002</v>
      </c>
      <c r="C55" s="1">
        <v>45.941299999999998</v>
      </c>
      <c r="D55" s="1">
        <v>-77.879199999999997</v>
      </c>
      <c r="E55">
        <v>20.7</v>
      </c>
      <c r="F55">
        <v>901.6</v>
      </c>
      <c r="G55">
        <v>-157.30000000000001</v>
      </c>
      <c r="H55">
        <v>122.9</v>
      </c>
      <c r="I55">
        <v>248.6</v>
      </c>
      <c r="J55">
        <v>15.4</v>
      </c>
      <c r="K55">
        <v>0.6</v>
      </c>
      <c r="L55">
        <v>0.23</v>
      </c>
      <c r="M55">
        <v>0.25</v>
      </c>
      <c r="N55">
        <v>239.8</v>
      </c>
      <c r="O55">
        <v>13.1</v>
      </c>
      <c r="P55">
        <v>0.84</v>
      </c>
      <c r="Q55">
        <v>0.05</v>
      </c>
      <c r="R55">
        <v>0.4</v>
      </c>
      <c r="S55">
        <v>29</v>
      </c>
      <c r="T55" t="s">
        <v>336</v>
      </c>
    </row>
    <row r="56" spans="1:20" x14ac:dyDescent="0.2">
      <c r="A56" t="s">
        <v>55</v>
      </c>
      <c r="B56">
        <v>3.3799999999999997E-2</v>
      </c>
      <c r="C56" s="1">
        <v>46.618600000000001</v>
      </c>
      <c r="D56" s="1">
        <v>-9.7311999999999994</v>
      </c>
      <c r="E56">
        <v>3.3</v>
      </c>
      <c r="F56">
        <v>74.8</v>
      </c>
      <c r="G56">
        <v>4.5999999999999996</v>
      </c>
      <c r="H56">
        <v>0.7</v>
      </c>
      <c r="I56">
        <v>205.4</v>
      </c>
      <c r="J56">
        <v>20.5</v>
      </c>
      <c r="K56">
        <v>1.41</v>
      </c>
      <c r="L56">
        <v>7.0000000000000007E-2</v>
      </c>
      <c r="M56">
        <v>0.91</v>
      </c>
      <c r="N56">
        <v>141.80000000000001</v>
      </c>
      <c r="O56">
        <v>12.1</v>
      </c>
      <c r="P56">
        <v>0.99</v>
      </c>
      <c r="Q56">
        <v>0.04</v>
      </c>
      <c r="R56">
        <v>7.74</v>
      </c>
      <c r="S56">
        <v>5</v>
      </c>
      <c r="T56" t="s">
        <v>336</v>
      </c>
    </row>
    <row r="57" spans="1:20" x14ac:dyDescent="0.2">
      <c r="A57" t="s">
        <v>396</v>
      </c>
      <c r="B57">
        <v>0.253</v>
      </c>
      <c r="C57" s="1">
        <v>46.758099999999999</v>
      </c>
      <c r="D57" s="1">
        <v>-28.665800000000001</v>
      </c>
      <c r="E57">
        <v>9.8000000000000007</v>
      </c>
      <c r="F57">
        <v>762.6</v>
      </c>
      <c r="G57">
        <v>11.9</v>
      </c>
      <c r="H57">
        <v>9.1</v>
      </c>
      <c r="I57">
        <v>189.4</v>
      </c>
      <c r="J57">
        <v>9.3000000000000007</v>
      </c>
      <c r="K57">
        <v>0.87</v>
      </c>
      <c r="L57">
        <v>0.08</v>
      </c>
      <c r="M57">
        <v>0.57999999999999996</v>
      </c>
      <c r="N57">
        <v>196.5</v>
      </c>
      <c r="O57">
        <v>7.1</v>
      </c>
      <c r="P57">
        <v>0.8</v>
      </c>
      <c r="Q57">
        <v>0.04</v>
      </c>
      <c r="R57">
        <v>0.63</v>
      </c>
      <c r="S57">
        <v>24</v>
      </c>
      <c r="T57" t="s">
        <v>328</v>
      </c>
    </row>
    <row r="58" spans="1:20" x14ac:dyDescent="0.2">
      <c r="A58" t="s">
        <v>56</v>
      </c>
      <c r="B58">
        <v>0.32400000000000001</v>
      </c>
      <c r="C58" s="1">
        <v>47.2331</v>
      </c>
      <c r="D58" s="1">
        <v>26.761099999999999</v>
      </c>
      <c r="E58">
        <v>23.3</v>
      </c>
      <c r="F58">
        <v>1118.7</v>
      </c>
      <c r="G58">
        <v>149.9</v>
      </c>
      <c r="H58">
        <v>27.9</v>
      </c>
      <c r="I58">
        <v>247.1</v>
      </c>
      <c r="J58">
        <v>14.9</v>
      </c>
      <c r="K58">
        <v>1.22</v>
      </c>
      <c r="L58">
        <v>0.11</v>
      </c>
      <c r="M58">
        <v>0.19</v>
      </c>
      <c r="N58">
        <v>249.1</v>
      </c>
      <c r="O58">
        <v>16.100000000000001</v>
      </c>
      <c r="P58">
        <v>0.75</v>
      </c>
      <c r="Q58">
        <v>7.0000000000000007E-2</v>
      </c>
      <c r="R58">
        <v>0.83</v>
      </c>
      <c r="S58">
        <v>27</v>
      </c>
      <c r="T58" t="s">
        <v>336</v>
      </c>
    </row>
    <row r="59" spans="1:20" x14ac:dyDescent="0.2">
      <c r="A59" t="s">
        <v>57</v>
      </c>
      <c r="B59">
        <v>6.8000000000000005E-2</v>
      </c>
      <c r="C59" s="1">
        <v>47.898899999999998</v>
      </c>
      <c r="D59" s="1">
        <v>-26.898499999999999</v>
      </c>
      <c r="E59">
        <v>12.9</v>
      </c>
      <c r="F59">
        <v>427.3</v>
      </c>
      <c r="G59">
        <v>-16.100000000000001</v>
      </c>
      <c r="H59">
        <v>70.5</v>
      </c>
      <c r="I59">
        <v>267.8</v>
      </c>
      <c r="J59">
        <v>12.4</v>
      </c>
      <c r="K59">
        <v>0.47</v>
      </c>
      <c r="L59">
        <v>0.27</v>
      </c>
      <c r="M59">
        <v>0.66</v>
      </c>
      <c r="N59">
        <v>265.89999999999998</v>
      </c>
      <c r="O59">
        <v>9.6</v>
      </c>
      <c r="P59">
        <v>0.5</v>
      </c>
      <c r="Q59">
        <v>7.0000000000000007E-2</v>
      </c>
      <c r="R59">
        <v>0.64</v>
      </c>
      <c r="S59">
        <v>32</v>
      </c>
      <c r="T59" t="s">
        <v>336</v>
      </c>
    </row>
    <row r="60" spans="1:20" x14ac:dyDescent="0.2">
      <c r="A60" t="s">
        <v>401</v>
      </c>
      <c r="B60">
        <v>6.9000000000000006E-2</v>
      </c>
      <c r="C60" s="1">
        <v>50.484900000000003</v>
      </c>
      <c r="D60" s="1">
        <v>-51.326599999999999</v>
      </c>
      <c r="E60">
        <v>6.5</v>
      </c>
      <c r="F60">
        <v>224.7</v>
      </c>
      <c r="G60">
        <v>1.1000000000000001</v>
      </c>
      <c r="H60">
        <v>5.7</v>
      </c>
      <c r="I60">
        <v>177.2</v>
      </c>
      <c r="J60">
        <v>10.1</v>
      </c>
      <c r="K60">
        <v>0.83</v>
      </c>
      <c r="L60">
        <v>0.11</v>
      </c>
      <c r="M60">
        <v>0.41</v>
      </c>
      <c r="N60">
        <v>176.8</v>
      </c>
      <c r="O60">
        <v>9.9</v>
      </c>
      <c r="P60">
        <v>0.81</v>
      </c>
      <c r="Q60">
        <v>0.04</v>
      </c>
      <c r="R60">
        <v>0.38</v>
      </c>
      <c r="S60">
        <v>15</v>
      </c>
      <c r="T60" t="s">
        <v>328</v>
      </c>
    </row>
    <row r="61" spans="1:20" x14ac:dyDescent="0.2">
      <c r="A61" t="s">
        <v>404</v>
      </c>
      <c r="B61">
        <v>0.03</v>
      </c>
      <c r="C61" s="1">
        <v>51.975700000000003</v>
      </c>
      <c r="D61" s="1">
        <v>2.5615999999999999</v>
      </c>
      <c r="E61">
        <v>1.5</v>
      </c>
      <c r="F61">
        <v>63.7</v>
      </c>
      <c r="G61">
        <v>3.7</v>
      </c>
      <c r="H61">
        <v>1.5</v>
      </c>
      <c r="I61">
        <v>207</v>
      </c>
      <c r="J61">
        <v>16.8</v>
      </c>
      <c r="K61">
        <v>1.28</v>
      </c>
      <c r="L61">
        <v>0.08</v>
      </c>
      <c r="M61">
        <v>1.97</v>
      </c>
      <c r="N61">
        <v>181.4</v>
      </c>
      <c r="O61">
        <v>9.8000000000000007</v>
      </c>
      <c r="P61">
        <v>1.0900000000000001</v>
      </c>
      <c r="Q61">
        <v>0.03</v>
      </c>
      <c r="R61">
        <v>2.13</v>
      </c>
      <c r="S61">
        <v>21</v>
      </c>
      <c r="T61" t="s">
        <v>336</v>
      </c>
    </row>
    <row r="62" spans="1:20" x14ac:dyDescent="0.2">
      <c r="A62" t="s">
        <v>60</v>
      </c>
      <c r="B62">
        <v>8.5999999999999993E-2</v>
      </c>
      <c r="C62" s="1">
        <v>52.1494</v>
      </c>
      <c r="D62" s="1">
        <v>-55.718000000000004</v>
      </c>
      <c r="E62">
        <v>15.9</v>
      </c>
      <c r="F62">
        <v>485.7</v>
      </c>
      <c r="G62">
        <v>171.6</v>
      </c>
      <c r="H62">
        <v>17.100000000000001</v>
      </c>
      <c r="I62">
        <v>221.4</v>
      </c>
      <c r="J62">
        <v>8.6999999999999993</v>
      </c>
      <c r="K62">
        <v>1.73</v>
      </c>
      <c r="L62">
        <v>0.13</v>
      </c>
      <c r="M62">
        <v>0.24</v>
      </c>
      <c r="N62">
        <v>236.5</v>
      </c>
      <c r="O62">
        <v>9.1</v>
      </c>
      <c r="P62">
        <v>0.65</v>
      </c>
      <c r="Q62">
        <v>0.08</v>
      </c>
      <c r="R62">
        <v>1.59</v>
      </c>
      <c r="S62">
        <v>25</v>
      </c>
      <c r="T62" t="s">
        <v>336</v>
      </c>
    </row>
    <row r="63" spans="1:20" x14ac:dyDescent="0.2">
      <c r="A63" t="s">
        <v>61</v>
      </c>
      <c r="B63">
        <v>0.45</v>
      </c>
      <c r="C63" s="1">
        <v>52.423699999999997</v>
      </c>
      <c r="D63" s="1">
        <v>-2.1966000000000001</v>
      </c>
      <c r="E63">
        <v>14.3</v>
      </c>
      <c r="F63">
        <v>688</v>
      </c>
      <c r="G63">
        <v>3.8</v>
      </c>
      <c r="H63">
        <v>2.5</v>
      </c>
      <c r="I63">
        <v>124.3</v>
      </c>
      <c r="J63">
        <v>4.2</v>
      </c>
      <c r="K63">
        <v>1.07</v>
      </c>
      <c r="L63">
        <v>0.04</v>
      </c>
      <c r="M63">
        <v>0.44</v>
      </c>
      <c r="N63">
        <v>128.4</v>
      </c>
      <c r="O63">
        <v>2.9</v>
      </c>
      <c r="P63">
        <v>1.01</v>
      </c>
      <c r="Q63">
        <v>0.02</v>
      </c>
      <c r="R63">
        <v>0.53</v>
      </c>
      <c r="S63">
        <v>19</v>
      </c>
      <c r="T63" t="s">
        <v>336</v>
      </c>
    </row>
    <row r="64" spans="1:20" x14ac:dyDescent="0.2">
      <c r="A64" t="s">
        <v>62</v>
      </c>
      <c r="B64">
        <v>0.06</v>
      </c>
      <c r="C64" s="1">
        <v>52.460900000000002</v>
      </c>
      <c r="D64" s="1">
        <v>-52.580399999999997</v>
      </c>
      <c r="E64">
        <v>11.4</v>
      </c>
      <c r="F64">
        <v>214.6</v>
      </c>
      <c r="G64">
        <v>35.200000000000003</v>
      </c>
      <c r="H64">
        <v>64.8</v>
      </c>
      <c r="I64">
        <v>206.6</v>
      </c>
      <c r="J64">
        <v>10.6</v>
      </c>
      <c r="K64">
        <v>0.51</v>
      </c>
      <c r="L64">
        <v>0.51</v>
      </c>
      <c r="M64">
        <v>0.22</v>
      </c>
      <c r="N64">
        <v>209.5</v>
      </c>
      <c r="O64">
        <v>8</v>
      </c>
      <c r="P64">
        <v>0.4</v>
      </c>
      <c r="Q64">
        <v>0.12</v>
      </c>
      <c r="R64">
        <v>0.21</v>
      </c>
      <c r="S64">
        <v>16</v>
      </c>
      <c r="T64" t="s">
        <v>336</v>
      </c>
    </row>
    <row r="65" spans="1:20" x14ac:dyDescent="0.2">
      <c r="A65" t="s">
        <v>63</v>
      </c>
      <c r="B65">
        <v>0.188</v>
      </c>
      <c r="C65" s="1">
        <v>52.774999999999999</v>
      </c>
      <c r="D65" s="1">
        <v>-21.008900000000001</v>
      </c>
      <c r="E65">
        <v>7.8</v>
      </c>
      <c r="F65">
        <v>684.5</v>
      </c>
      <c r="G65">
        <v>11.5</v>
      </c>
      <c r="H65">
        <v>1.6</v>
      </c>
      <c r="I65">
        <v>128.5</v>
      </c>
      <c r="J65">
        <v>4.4000000000000004</v>
      </c>
      <c r="K65">
        <v>1.25</v>
      </c>
      <c r="L65">
        <v>0.04</v>
      </c>
      <c r="M65">
        <v>0.37</v>
      </c>
      <c r="N65">
        <v>136.5</v>
      </c>
      <c r="O65">
        <v>4.2</v>
      </c>
      <c r="P65">
        <v>0.97</v>
      </c>
      <c r="Q65">
        <v>0.03</v>
      </c>
      <c r="R65">
        <v>1.91</v>
      </c>
      <c r="S65">
        <v>25</v>
      </c>
      <c r="T65" t="s">
        <v>336</v>
      </c>
    </row>
    <row r="66" spans="1:20" x14ac:dyDescent="0.2">
      <c r="A66" t="s">
        <v>411</v>
      </c>
      <c r="B66">
        <v>0.13900000000000001</v>
      </c>
      <c r="C66" s="1">
        <v>53.5625</v>
      </c>
      <c r="D66" s="1">
        <v>-1.1881999999999999</v>
      </c>
      <c r="E66">
        <v>12.1</v>
      </c>
      <c r="F66">
        <v>303.2</v>
      </c>
      <c r="G66">
        <v>30.8</v>
      </c>
      <c r="H66">
        <v>5.7</v>
      </c>
      <c r="I66">
        <v>247.7</v>
      </c>
      <c r="J66">
        <v>7.5</v>
      </c>
      <c r="K66">
        <v>1.34</v>
      </c>
      <c r="L66">
        <v>0.06</v>
      </c>
      <c r="M66">
        <v>0.37</v>
      </c>
      <c r="N66">
        <v>260.39999999999998</v>
      </c>
      <c r="O66">
        <v>6.8</v>
      </c>
      <c r="P66">
        <v>1.04</v>
      </c>
      <c r="Q66">
        <v>0.04</v>
      </c>
      <c r="R66">
        <v>1.49</v>
      </c>
      <c r="S66">
        <v>20</v>
      </c>
      <c r="T66" t="s">
        <v>336</v>
      </c>
    </row>
    <row r="67" spans="1:20" x14ac:dyDescent="0.2">
      <c r="A67" t="s">
        <v>413</v>
      </c>
      <c r="B67">
        <v>4.5999999999999999E-3</v>
      </c>
      <c r="C67" s="1">
        <v>54.620399999999997</v>
      </c>
      <c r="D67" s="1">
        <v>-35.4499</v>
      </c>
      <c r="E67">
        <v>0.2</v>
      </c>
      <c r="F67">
        <v>5.9</v>
      </c>
      <c r="G67">
        <v>1.1000000000000001</v>
      </c>
      <c r="H67">
        <v>0.1</v>
      </c>
      <c r="I67">
        <v>1634.6</v>
      </c>
      <c r="J67">
        <v>250.7</v>
      </c>
      <c r="K67">
        <v>1.39</v>
      </c>
      <c r="L67">
        <v>0.03</v>
      </c>
      <c r="M67">
        <v>1.58</v>
      </c>
      <c r="N67">
        <v>237.3</v>
      </c>
      <c r="O67">
        <v>16.2</v>
      </c>
      <c r="P67">
        <v>0.86</v>
      </c>
      <c r="Q67">
        <v>0.02</v>
      </c>
      <c r="R67">
        <v>16.46</v>
      </c>
      <c r="S67">
        <v>13</v>
      </c>
      <c r="T67" t="s">
        <v>336</v>
      </c>
    </row>
    <row r="68" spans="1:20" x14ac:dyDescent="0.2">
      <c r="A68" t="s">
        <v>414</v>
      </c>
      <c r="B68">
        <v>3.6299999999999999E-2</v>
      </c>
      <c r="C68" s="1">
        <v>54.671300000000002</v>
      </c>
      <c r="D68" s="1">
        <v>9.9669000000000008</v>
      </c>
      <c r="E68">
        <v>1.8</v>
      </c>
      <c r="F68">
        <v>76.5</v>
      </c>
      <c r="G68">
        <v>5.4</v>
      </c>
      <c r="H68">
        <v>0.1</v>
      </c>
      <c r="I68">
        <v>120.7</v>
      </c>
      <c r="J68">
        <v>1.8</v>
      </c>
      <c r="K68">
        <v>1.46</v>
      </c>
      <c r="L68">
        <v>0.01</v>
      </c>
      <c r="M68">
        <v>20.99</v>
      </c>
      <c r="N68">
        <v>76.099999999999994</v>
      </c>
      <c r="O68">
        <v>0.8</v>
      </c>
      <c r="P68">
        <v>0.87</v>
      </c>
      <c r="Q68">
        <v>0.01</v>
      </c>
      <c r="R68">
        <v>99.47</v>
      </c>
      <c r="S68">
        <v>22</v>
      </c>
      <c r="T68" t="s">
        <v>336</v>
      </c>
    </row>
    <row r="69" spans="1:20" x14ac:dyDescent="0.2">
      <c r="A69" t="s">
        <v>65</v>
      </c>
      <c r="B69">
        <v>7.0000000000000007E-2</v>
      </c>
      <c r="C69" s="1">
        <v>55.2241</v>
      </c>
      <c r="D69" s="1">
        <v>-45.6768</v>
      </c>
      <c r="E69">
        <v>29.7</v>
      </c>
      <c r="F69">
        <v>363</v>
      </c>
      <c r="G69">
        <v>300</v>
      </c>
      <c r="H69">
        <v>0</v>
      </c>
      <c r="I69">
        <v>327</v>
      </c>
      <c r="J69">
        <v>18.600000000000001</v>
      </c>
      <c r="K69">
        <v>0</v>
      </c>
      <c r="L69">
        <v>0</v>
      </c>
      <c r="M69">
        <v>1.02</v>
      </c>
      <c r="N69">
        <v>336.4</v>
      </c>
      <c r="O69">
        <v>26.1</v>
      </c>
      <c r="P69">
        <v>-0.03</v>
      </c>
      <c r="Q69">
        <v>3.31</v>
      </c>
      <c r="R69">
        <v>0.92</v>
      </c>
      <c r="S69">
        <v>12</v>
      </c>
      <c r="T69" t="s">
        <v>336</v>
      </c>
    </row>
    <row r="70" spans="1:20" x14ac:dyDescent="0.2">
      <c r="A70" t="s">
        <v>416</v>
      </c>
      <c r="B70">
        <v>2.9000000000000001E-2</v>
      </c>
      <c r="C70" s="1">
        <v>55.315300000000001</v>
      </c>
      <c r="D70" s="1">
        <v>15.409700000000001</v>
      </c>
      <c r="E70">
        <v>5.7</v>
      </c>
      <c r="F70">
        <v>223.7</v>
      </c>
      <c r="G70">
        <v>62.8</v>
      </c>
      <c r="H70">
        <v>11.2</v>
      </c>
      <c r="I70">
        <v>139.19999999999999</v>
      </c>
      <c r="J70">
        <v>4.0999999999999996</v>
      </c>
      <c r="K70">
        <v>0.97</v>
      </c>
      <c r="L70">
        <v>0.2</v>
      </c>
      <c r="M70">
        <v>0.84</v>
      </c>
      <c r="N70">
        <v>144.69999999999999</v>
      </c>
      <c r="O70">
        <v>3.4</v>
      </c>
      <c r="P70">
        <v>0.44</v>
      </c>
      <c r="Q70">
        <v>0.08</v>
      </c>
      <c r="R70">
        <v>1.02</v>
      </c>
      <c r="S70">
        <v>60</v>
      </c>
      <c r="T70" t="s">
        <v>336</v>
      </c>
    </row>
    <row r="71" spans="1:20" x14ac:dyDescent="0.2">
      <c r="A71" t="s">
        <v>68</v>
      </c>
      <c r="B71">
        <v>0.109</v>
      </c>
      <c r="C71" s="1">
        <v>58.245699999999999</v>
      </c>
      <c r="D71" s="1">
        <v>19.683</v>
      </c>
      <c r="E71">
        <v>4.9000000000000004</v>
      </c>
      <c r="F71">
        <v>334.3</v>
      </c>
      <c r="G71">
        <v>6.8</v>
      </c>
      <c r="H71">
        <v>0.4</v>
      </c>
      <c r="I71">
        <v>62.2</v>
      </c>
      <c r="J71">
        <v>1.3</v>
      </c>
      <c r="K71">
        <v>1.41</v>
      </c>
      <c r="L71">
        <v>0.02</v>
      </c>
      <c r="M71">
        <v>0.5</v>
      </c>
      <c r="N71">
        <v>66.900000000000006</v>
      </c>
      <c r="O71">
        <v>1.3</v>
      </c>
      <c r="P71">
        <v>0.98</v>
      </c>
      <c r="Q71">
        <v>0.02</v>
      </c>
      <c r="R71">
        <v>10.08</v>
      </c>
      <c r="S71">
        <v>29</v>
      </c>
      <c r="T71" t="s">
        <v>336</v>
      </c>
    </row>
    <row r="72" spans="1:20" x14ac:dyDescent="0.2">
      <c r="A72" t="s">
        <v>69</v>
      </c>
      <c r="B72">
        <v>0.42499999999999999</v>
      </c>
      <c r="C72" s="1">
        <v>59.726300000000002</v>
      </c>
      <c r="D72" s="1">
        <v>-29.925899999999999</v>
      </c>
      <c r="E72">
        <v>13.9</v>
      </c>
      <c r="F72">
        <v>1025.5999999999999</v>
      </c>
      <c r="G72">
        <v>27.7</v>
      </c>
      <c r="H72">
        <v>15.6</v>
      </c>
      <c r="I72">
        <v>193.8</v>
      </c>
      <c r="J72">
        <v>7.8</v>
      </c>
      <c r="K72">
        <v>0.69</v>
      </c>
      <c r="L72">
        <v>0.09</v>
      </c>
      <c r="M72">
        <v>0.47</v>
      </c>
      <c r="N72">
        <v>200.9</v>
      </c>
      <c r="O72">
        <v>6.5</v>
      </c>
      <c r="P72">
        <v>0.6</v>
      </c>
      <c r="Q72">
        <v>0.04</v>
      </c>
      <c r="R72">
        <v>0.55000000000000004</v>
      </c>
      <c r="S72">
        <v>27</v>
      </c>
      <c r="T72" t="s">
        <v>336</v>
      </c>
    </row>
    <row r="73" spans="1:20" x14ac:dyDescent="0.2">
      <c r="A73" t="s">
        <v>71</v>
      </c>
      <c r="B73">
        <v>8.7999999999999995E-2</v>
      </c>
      <c r="C73" s="1">
        <v>63.354999999999997</v>
      </c>
      <c r="D73" s="1">
        <v>10.465299999999999</v>
      </c>
      <c r="E73">
        <v>4.0999999999999996</v>
      </c>
      <c r="F73">
        <v>378</v>
      </c>
      <c r="G73">
        <v>7.9</v>
      </c>
      <c r="H73">
        <v>0.8</v>
      </c>
      <c r="I73">
        <v>132.6</v>
      </c>
      <c r="J73">
        <v>1.6</v>
      </c>
      <c r="K73">
        <v>1.03</v>
      </c>
      <c r="L73">
        <v>0.02</v>
      </c>
      <c r="M73">
        <v>1.03</v>
      </c>
      <c r="N73">
        <v>135.9</v>
      </c>
      <c r="O73">
        <v>1.5</v>
      </c>
      <c r="P73">
        <v>0.88</v>
      </c>
      <c r="Q73">
        <v>0.01</v>
      </c>
      <c r="R73">
        <v>2.76</v>
      </c>
      <c r="S73">
        <v>47</v>
      </c>
      <c r="T73" t="s">
        <v>336</v>
      </c>
    </row>
    <row r="74" spans="1:20" x14ac:dyDescent="0.2">
      <c r="A74" t="s">
        <v>72</v>
      </c>
      <c r="B74">
        <v>0.42</v>
      </c>
      <c r="C74" s="1">
        <v>64.039400000000001</v>
      </c>
      <c r="D74" s="1">
        <v>-24.0655</v>
      </c>
      <c r="E74">
        <v>27.5</v>
      </c>
      <c r="F74">
        <v>798.2</v>
      </c>
      <c r="G74">
        <v>12.4</v>
      </c>
      <c r="H74">
        <v>290.60000000000002</v>
      </c>
      <c r="I74">
        <v>325.8</v>
      </c>
      <c r="J74">
        <v>23.7</v>
      </c>
      <c r="K74">
        <v>0.35</v>
      </c>
      <c r="L74">
        <v>0.81</v>
      </c>
      <c r="M74">
        <v>0.59</v>
      </c>
      <c r="N74">
        <v>326.39999999999998</v>
      </c>
      <c r="O74">
        <v>20.6</v>
      </c>
      <c r="P74">
        <v>0.34</v>
      </c>
      <c r="Q74">
        <v>0.14000000000000001</v>
      </c>
      <c r="R74">
        <v>0.56000000000000005</v>
      </c>
      <c r="S74">
        <v>23</v>
      </c>
      <c r="T74" t="s">
        <v>336</v>
      </c>
    </row>
    <row r="75" spans="1:20" x14ac:dyDescent="0.2">
      <c r="A75" t="s">
        <v>423</v>
      </c>
      <c r="B75">
        <v>0.44</v>
      </c>
      <c r="C75" s="1">
        <v>64.392600000000002</v>
      </c>
      <c r="D75" s="1">
        <v>-11.909599999999999</v>
      </c>
      <c r="E75">
        <v>14.1</v>
      </c>
      <c r="F75">
        <v>1131.8</v>
      </c>
      <c r="G75">
        <v>17.100000000000001</v>
      </c>
      <c r="H75">
        <v>8.5</v>
      </c>
      <c r="I75">
        <v>186.8</v>
      </c>
      <c r="J75">
        <v>6.3</v>
      </c>
      <c r="K75">
        <v>0.87</v>
      </c>
      <c r="L75">
        <v>0.05</v>
      </c>
      <c r="M75">
        <v>0.83</v>
      </c>
      <c r="N75">
        <v>193.7</v>
      </c>
      <c r="O75">
        <v>5.0999999999999996</v>
      </c>
      <c r="P75">
        <v>0.8</v>
      </c>
      <c r="Q75">
        <v>0.02</v>
      </c>
      <c r="R75">
        <v>0.92</v>
      </c>
      <c r="S75">
        <v>37</v>
      </c>
      <c r="T75" t="s">
        <v>336</v>
      </c>
    </row>
    <row r="76" spans="1:20" x14ac:dyDescent="0.2">
      <c r="A76" t="s">
        <v>425</v>
      </c>
      <c r="B76">
        <v>1.23E-2</v>
      </c>
      <c r="C76" s="1">
        <v>64.908299999999997</v>
      </c>
      <c r="D76" s="1">
        <v>2.4102000000000001</v>
      </c>
      <c r="E76">
        <v>0.6</v>
      </c>
      <c r="F76">
        <v>88.7</v>
      </c>
      <c r="G76">
        <v>1.4</v>
      </c>
      <c r="H76">
        <v>0.4</v>
      </c>
      <c r="I76">
        <v>110.5</v>
      </c>
      <c r="J76">
        <v>3.1</v>
      </c>
      <c r="K76">
        <v>0.78</v>
      </c>
      <c r="L76">
        <v>0.03</v>
      </c>
      <c r="M76">
        <v>1.64</v>
      </c>
      <c r="N76">
        <v>104.7</v>
      </c>
      <c r="O76">
        <v>2.5</v>
      </c>
      <c r="P76">
        <v>0.71</v>
      </c>
      <c r="Q76">
        <v>0.01</v>
      </c>
      <c r="R76">
        <v>1.83</v>
      </c>
      <c r="S76">
        <v>64</v>
      </c>
      <c r="T76" t="s">
        <v>336</v>
      </c>
    </row>
    <row r="77" spans="1:20" x14ac:dyDescent="0.2">
      <c r="A77" t="s">
        <v>73</v>
      </c>
      <c r="B77">
        <v>0.04</v>
      </c>
      <c r="C77" s="1">
        <v>66.463399999999993</v>
      </c>
      <c r="D77" s="1">
        <v>-8.5603999999999996</v>
      </c>
      <c r="E77">
        <v>2</v>
      </c>
      <c r="F77">
        <v>285</v>
      </c>
      <c r="G77">
        <v>7.9</v>
      </c>
      <c r="H77">
        <v>1.3</v>
      </c>
      <c r="I77">
        <v>130.6</v>
      </c>
      <c r="J77">
        <v>3.2</v>
      </c>
      <c r="K77">
        <v>0.97</v>
      </c>
      <c r="L77">
        <v>0.04</v>
      </c>
      <c r="M77">
        <v>0.84</v>
      </c>
      <c r="N77">
        <v>130.69999999999999</v>
      </c>
      <c r="O77">
        <v>3.2</v>
      </c>
      <c r="P77">
        <v>0.8</v>
      </c>
      <c r="Q77">
        <v>0.02</v>
      </c>
      <c r="R77">
        <v>1.39</v>
      </c>
      <c r="S77">
        <v>48</v>
      </c>
      <c r="T77" t="s">
        <v>336</v>
      </c>
    </row>
    <row r="78" spans="1:20" x14ac:dyDescent="0.2">
      <c r="A78" t="s">
        <v>428</v>
      </c>
      <c r="B78">
        <v>3.9E-2</v>
      </c>
      <c r="C78" s="1">
        <v>67.156899999999993</v>
      </c>
      <c r="D78" s="1">
        <v>-53.840200000000003</v>
      </c>
      <c r="E78">
        <v>9.5</v>
      </c>
      <c r="F78">
        <v>209.6</v>
      </c>
      <c r="G78">
        <v>15.4</v>
      </c>
      <c r="H78">
        <v>49.5</v>
      </c>
      <c r="I78">
        <v>152.19999999999999</v>
      </c>
      <c r="J78">
        <v>7.8</v>
      </c>
      <c r="K78">
        <v>0.5</v>
      </c>
      <c r="L78">
        <v>0.48</v>
      </c>
      <c r="M78">
        <v>0.65</v>
      </c>
      <c r="N78">
        <v>153.6</v>
      </c>
      <c r="O78">
        <v>5.8</v>
      </c>
      <c r="P78">
        <v>0.44</v>
      </c>
      <c r="Q78">
        <v>0.12</v>
      </c>
      <c r="R78">
        <v>0.63</v>
      </c>
      <c r="S78">
        <v>29</v>
      </c>
      <c r="T78" t="s">
        <v>336</v>
      </c>
    </row>
    <row r="79" spans="1:20" x14ac:dyDescent="0.2">
      <c r="A79" t="s">
        <v>74</v>
      </c>
      <c r="B79">
        <v>0.39900000000000002</v>
      </c>
      <c r="C79" s="1">
        <v>67.400000000000006</v>
      </c>
      <c r="D79" s="1">
        <v>-2.8854000000000002</v>
      </c>
      <c r="E79">
        <v>13.3</v>
      </c>
      <c r="F79">
        <v>600.20000000000005</v>
      </c>
      <c r="G79">
        <v>13.3</v>
      </c>
      <c r="H79">
        <v>3.6</v>
      </c>
      <c r="I79">
        <v>121.2</v>
      </c>
      <c r="J79">
        <v>6.2</v>
      </c>
      <c r="K79">
        <v>1.17</v>
      </c>
      <c r="L79">
        <v>0.06</v>
      </c>
      <c r="M79">
        <v>0.6</v>
      </c>
      <c r="N79">
        <v>132.30000000000001</v>
      </c>
      <c r="O79">
        <v>5</v>
      </c>
      <c r="P79">
        <v>0.97</v>
      </c>
      <c r="Q79">
        <v>0.04</v>
      </c>
      <c r="R79">
        <v>1.52</v>
      </c>
      <c r="S79">
        <v>13</v>
      </c>
      <c r="T79" t="s">
        <v>336</v>
      </c>
    </row>
    <row r="80" spans="1:20" x14ac:dyDescent="0.2">
      <c r="A80" t="s">
        <v>430</v>
      </c>
      <c r="B80">
        <v>5.8900000000000001E-2</v>
      </c>
      <c r="C80" s="1">
        <v>67.804400000000001</v>
      </c>
      <c r="D80" s="1">
        <v>-61.453699999999998</v>
      </c>
      <c r="E80">
        <v>5.6</v>
      </c>
      <c r="F80">
        <v>621.5</v>
      </c>
      <c r="G80">
        <v>29.7</v>
      </c>
      <c r="H80">
        <v>77.3</v>
      </c>
      <c r="I80">
        <v>408.6</v>
      </c>
      <c r="J80">
        <v>11.4</v>
      </c>
      <c r="K80">
        <v>0.39</v>
      </c>
      <c r="L80">
        <v>0.2</v>
      </c>
      <c r="M80">
        <v>0.65</v>
      </c>
      <c r="N80">
        <v>410.8</v>
      </c>
      <c r="O80">
        <v>9.5</v>
      </c>
      <c r="P80">
        <v>0.36</v>
      </c>
      <c r="Q80">
        <v>0.05</v>
      </c>
      <c r="R80">
        <v>0.64</v>
      </c>
      <c r="S80">
        <v>105</v>
      </c>
      <c r="T80" t="s">
        <v>336</v>
      </c>
    </row>
    <row r="81" spans="1:20" x14ac:dyDescent="0.2">
      <c r="A81" t="s">
        <v>431</v>
      </c>
      <c r="B81">
        <v>3.2899999999999999E-2</v>
      </c>
      <c r="C81" s="1">
        <v>68.408500000000004</v>
      </c>
      <c r="D81" s="1">
        <v>-13.260999999999999</v>
      </c>
      <c r="E81">
        <v>1.6</v>
      </c>
      <c r="F81">
        <v>98.8</v>
      </c>
      <c r="G81">
        <v>5.2</v>
      </c>
      <c r="H81">
        <v>0.3</v>
      </c>
      <c r="I81">
        <v>159.9</v>
      </c>
      <c r="J81">
        <v>2.6</v>
      </c>
      <c r="K81">
        <v>1.03</v>
      </c>
      <c r="L81">
        <v>0.02</v>
      </c>
      <c r="M81">
        <v>4.03</v>
      </c>
      <c r="N81">
        <v>140.30000000000001</v>
      </c>
      <c r="O81">
        <v>1.9</v>
      </c>
      <c r="P81">
        <v>0.82</v>
      </c>
      <c r="Q81">
        <v>0.01</v>
      </c>
      <c r="R81">
        <v>9.52</v>
      </c>
      <c r="S81">
        <v>31</v>
      </c>
      <c r="T81" t="s">
        <v>336</v>
      </c>
    </row>
    <row r="82" spans="1:20" x14ac:dyDescent="0.2">
      <c r="A82" t="s">
        <v>432</v>
      </c>
      <c r="B82">
        <v>0.28499999999999998</v>
      </c>
      <c r="C82" s="1">
        <v>69.2898</v>
      </c>
      <c r="D82" s="1">
        <v>0.73219999999999996</v>
      </c>
      <c r="E82">
        <v>10.7</v>
      </c>
      <c r="F82">
        <v>703.5</v>
      </c>
      <c r="G82">
        <v>40.200000000000003</v>
      </c>
      <c r="H82">
        <v>4.2</v>
      </c>
      <c r="I82">
        <v>129.19999999999999</v>
      </c>
      <c r="J82">
        <v>5</v>
      </c>
      <c r="K82">
        <v>1.31</v>
      </c>
      <c r="L82">
        <v>0.06</v>
      </c>
      <c r="M82">
        <v>0.72</v>
      </c>
      <c r="N82">
        <v>150.19999999999999</v>
      </c>
      <c r="O82">
        <v>4</v>
      </c>
      <c r="P82">
        <v>0.82</v>
      </c>
      <c r="Q82">
        <v>0.04</v>
      </c>
      <c r="R82">
        <v>2.74</v>
      </c>
      <c r="S82">
        <v>25</v>
      </c>
      <c r="T82" t="s">
        <v>336</v>
      </c>
    </row>
    <row r="83" spans="1:20" x14ac:dyDescent="0.2">
      <c r="A83" t="s">
        <v>75</v>
      </c>
      <c r="B83">
        <v>0.23</v>
      </c>
      <c r="C83" s="1">
        <v>69.752300000000005</v>
      </c>
      <c r="D83" s="1">
        <v>7.2683999999999997</v>
      </c>
      <c r="E83">
        <v>18.2</v>
      </c>
      <c r="F83">
        <v>837.5</v>
      </c>
      <c r="G83">
        <v>62.1</v>
      </c>
      <c r="H83">
        <v>10.199999999999999</v>
      </c>
      <c r="I83">
        <v>168.5</v>
      </c>
      <c r="J83">
        <v>6.3</v>
      </c>
      <c r="K83">
        <v>1.03</v>
      </c>
      <c r="L83">
        <v>0.08</v>
      </c>
      <c r="M83">
        <v>0.72</v>
      </c>
      <c r="N83">
        <v>185.4</v>
      </c>
      <c r="O83">
        <v>5.6</v>
      </c>
      <c r="P83">
        <v>0.7</v>
      </c>
      <c r="Q83">
        <v>0.04</v>
      </c>
      <c r="R83">
        <v>1.49</v>
      </c>
      <c r="S83">
        <v>26</v>
      </c>
      <c r="T83" t="s">
        <v>336</v>
      </c>
    </row>
    <row r="84" spans="1:20" x14ac:dyDescent="0.2">
      <c r="A84" t="s">
        <v>76</v>
      </c>
      <c r="B84">
        <v>0.20799999999999999</v>
      </c>
      <c r="C84" s="1">
        <v>69.759</v>
      </c>
      <c r="D84" s="1">
        <v>5.3453999999999997</v>
      </c>
      <c r="E84">
        <v>8.4</v>
      </c>
      <c r="F84">
        <v>615</v>
      </c>
      <c r="G84">
        <v>6.7</v>
      </c>
      <c r="H84">
        <v>1.6</v>
      </c>
      <c r="I84">
        <v>127.8</v>
      </c>
      <c r="J84">
        <v>4.0999999999999996</v>
      </c>
      <c r="K84">
        <v>1.1399999999999999</v>
      </c>
      <c r="L84">
        <v>0.04</v>
      </c>
      <c r="M84">
        <v>0.54</v>
      </c>
      <c r="N84">
        <v>135.30000000000001</v>
      </c>
      <c r="O84">
        <v>3.6</v>
      </c>
      <c r="P84">
        <v>1</v>
      </c>
      <c r="Q84">
        <v>0.02</v>
      </c>
      <c r="R84">
        <v>1.31</v>
      </c>
      <c r="S84">
        <v>20</v>
      </c>
      <c r="T84" t="s">
        <v>336</v>
      </c>
    </row>
    <row r="85" spans="1:20" x14ac:dyDescent="0.2">
      <c r="A85" t="s">
        <v>77</v>
      </c>
      <c r="B85">
        <v>0.19</v>
      </c>
      <c r="C85" s="1">
        <v>70.791399999999996</v>
      </c>
      <c r="D85" s="1">
        <v>2.1720000000000002</v>
      </c>
      <c r="E85">
        <v>7.8</v>
      </c>
      <c r="F85">
        <v>345.1</v>
      </c>
      <c r="G85">
        <v>17.899999999999999</v>
      </c>
      <c r="H85">
        <v>4.4000000000000004</v>
      </c>
      <c r="I85">
        <v>154.69999999999999</v>
      </c>
      <c r="J85">
        <v>6</v>
      </c>
      <c r="K85">
        <v>1.03</v>
      </c>
      <c r="L85">
        <v>7.0000000000000007E-2</v>
      </c>
      <c r="M85">
        <v>0.27</v>
      </c>
      <c r="N85">
        <v>163.30000000000001</v>
      </c>
      <c r="O85">
        <v>5.3</v>
      </c>
      <c r="P85">
        <v>0.81</v>
      </c>
      <c r="Q85">
        <v>0.04</v>
      </c>
      <c r="R85">
        <v>1.37</v>
      </c>
      <c r="S85">
        <v>12</v>
      </c>
      <c r="T85" t="s">
        <v>336</v>
      </c>
    </row>
    <row r="86" spans="1:20" x14ac:dyDescent="0.2">
      <c r="A86" t="s">
        <v>79</v>
      </c>
      <c r="B86">
        <v>0.17199999999999999</v>
      </c>
      <c r="C86" s="1">
        <v>72.483000000000004</v>
      </c>
      <c r="D86" s="1">
        <v>-44.673099999999998</v>
      </c>
      <c r="E86">
        <v>21.7</v>
      </c>
      <c r="F86">
        <v>600.9</v>
      </c>
      <c r="G86">
        <v>123.8</v>
      </c>
      <c r="H86">
        <v>12.9</v>
      </c>
      <c r="I86">
        <v>157.6</v>
      </c>
      <c r="J86">
        <v>6.4</v>
      </c>
      <c r="K86">
        <v>1.65</v>
      </c>
      <c r="L86">
        <v>0.13</v>
      </c>
      <c r="M86">
        <v>0.49</v>
      </c>
      <c r="N86">
        <v>161.9</v>
      </c>
      <c r="O86">
        <v>6.8</v>
      </c>
      <c r="P86">
        <v>0.68</v>
      </c>
      <c r="Q86">
        <v>7.0000000000000007E-2</v>
      </c>
      <c r="R86">
        <v>2.1800000000000002</v>
      </c>
      <c r="S86">
        <v>20</v>
      </c>
      <c r="T86" t="s">
        <v>336</v>
      </c>
    </row>
    <row r="87" spans="1:20" x14ac:dyDescent="0.2">
      <c r="A87" t="s">
        <v>435</v>
      </c>
      <c r="B87">
        <v>2.1999999999999999E-2</v>
      </c>
      <c r="C87" s="1">
        <v>72.527100000000004</v>
      </c>
      <c r="D87" s="1">
        <v>45.0518</v>
      </c>
      <c r="E87">
        <v>5.5</v>
      </c>
      <c r="F87">
        <v>191.9</v>
      </c>
      <c r="G87">
        <v>-42.7</v>
      </c>
      <c r="H87">
        <v>483.1</v>
      </c>
      <c r="I87">
        <v>302.3</v>
      </c>
      <c r="J87">
        <v>8.6999999999999993</v>
      </c>
      <c r="K87">
        <v>0.17</v>
      </c>
      <c r="L87">
        <v>1.67</v>
      </c>
      <c r="M87">
        <v>0.67</v>
      </c>
      <c r="N87">
        <v>301.89999999999998</v>
      </c>
      <c r="O87">
        <v>7.8</v>
      </c>
      <c r="P87">
        <v>0.2</v>
      </c>
      <c r="Q87">
        <v>0.18</v>
      </c>
      <c r="R87">
        <v>0.66</v>
      </c>
      <c r="S87">
        <v>59</v>
      </c>
      <c r="T87" t="s">
        <v>336</v>
      </c>
    </row>
    <row r="88" spans="1:20" x14ac:dyDescent="0.2">
      <c r="A88" t="s">
        <v>80</v>
      </c>
      <c r="B88">
        <v>0.25330000000000003</v>
      </c>
      <c r="C88" s="1">
        <v>73.527799999999999</v>
      </c>
      <c r="D88" s="1">
        <v>-10.2209</v>
      </c>
      <c r="E88">
        <v>9.8000000000000007</v>
      </c>
      <c r="F88">
        <v>185.9</v>
      </c>
      <c r="G88">
        <v>99.5</v>
      </c>
      <c r="H88">
        <v>25.7</v>
      </c>
      <c r="I88">
        <v>299.8</v>
      </c>
      <c r="J88">
        <v>16.8</v>
      </c>
      <c r="K88">
        <v>1.6</v>
      </c>
      <c r="L88">
        <v>0.2</v>
      </c>
      <c r="M88">
        <v>0.66</v>
      </c>
      <c r="N88">
        <v>320.89999999999998</v>
      </c>
      <c r="O88">
        <v>13.3</v>
      </c>
      <c r="P88">
        <v>0.91</v>
      </c>
      <c r="Q88">
        <v>0.08</v>
      </c>
      <c r="R88">
        <v>1.52</v>
      </c>
      <c r="S88">
        <v>10</v>
      </c>
      <c r="T88" t="s">
        <v>336</v>
      </c>
    </row>
    <row r="89" spans="1:20" x14ac:dyDescent="0.2">
      <c r="A89" t="s">
        <v>438</v>
      </c>
      <c r="B89">
        <v>0.55000000000000004</v>
      </c>
      <c r="C89" s="1">
        <v>73.5471</v>
      </c>
      <c r="D89" s="1">
        <v>-3.0158999999999998</v>
      </c>
      <c r="E89">
        <v>16</v>
      </c>
      <c r="F89">
        <v>895.2</v>
      </c>
      <c r="G89">
        <v>212.8</v>
      </c>
      <c r="H89">
        <v>22.8</v>
      </c>
      <c r="I89">
        <v>250.2</v>
      </c>
      <c r="J89">
        <v>11.7</v>
      </c>
      <c r="K89">
        <v>1.41</v>
      </c>
      <c r="L89">
        <v>0.16</v>
      </c>
      <c r="M89">
        <v>0.33</v>
      </c>
      <c r="N89">
        <v>243.5</v>
      </c>
      <c r="O89">
        <v>11.6</v>
      </c>
      <c r="P89">
        <v>0.51</v>
      </c>
      <c r="Q89">
        <v>0.08</v>
      </c>
      <c r="R89">
        <v>1.27</v>
      </c>
      <c r="S89">
        <v>22</v>
      </c>
      <c r="T89" t="s">
        <v>336</v>
      </c>
    </row>
    <row r="90" spans="1:20" x14ac:dyDescent="0.2">
      <c r="A90" t="s">
        <v>439</v>
      </c>
      <c r="B90">
        <v>3.1E-2</v>
      </c>
      <c r="C90" s="1">
        <v>73.718100000000007</v>
      </c>
      <c r="D90" s="1">
        <v>-18.115400000000001</v>
      </c>
      <c r="E90">
        <v>3.1</v>
      </c>
      <c r="F90">
        <v>208</v>
      </c>
      <c r="G90">
        <v>-2.5</v>
      </c>
      <c r="H90">
        <v>6.6</v>
      </c>
      <c r="I90">
        <v>203.6</v>
      </c>
      <c r="J90">
        <v>8.5</v>
      </c>
      <c r="K90">
        <v>0.66</v>
      </c>
      <c r="L90">
        <v>0.11</v>
      </c>
      <c r="M90">
        <v>0.63</v>
      </c>
      <c r="N90">
        <v>204.1</v>
      </c>
      <c r="O90">
        <v>8.4</v>
      </c>
      <c r="P90">
        <v>0.69</v>
      </c>
      <c r="Q90">
        <v>0.04</v>
      </c>
      <c r="R90">
        <v>0.61</v>
      </c>
      <c r="S90">
        <v>28</v>
      </c>
      <c r="T90" t="s">
        <v>336</v>
      </c>
    </row>
    <row r="91" spans="1:20" x14ac:dyDescent="0.2">
      <c r="A91" t="s">
        <v>82</v>
      </c>
      <c r="B91">
        <v>0.2</v>
      </c>
      <c r="C91" s="1">
        <v>77.571299999999994</v>
      </c>
      <c r="D91" s="1">
        <v>-45.3215</v>
      </c>
      <c r="E91">
        <v>24.5</v>
      </c>
      <c r="F91">
        <v>743.4</v>
      </c>
      <c r="G91">
        <v>126.2</v>
      </c>
      <c r="H91">
        <v>18.8</v>
      </c>
      <c r="I91">
        <v>188.5</v>
      </c>
      <c r="J91">
        <v>8.3000000000000007</v>
      </c>
      <c r="K91">
        <v>1.29</v>
      </c>
      <c r="L91">
        <v>0.13</v>
      </c>
      <c r="M91">
        <v>0.34</v>
      </c>
      <c r="N91">
        <v>194.9</v>
      </c>
      <c r="O91">
        <v>8.8000000000000007</v>
      </c>
      <c r="P91">
        <v>0.65</v>
      </c>
      <c r="Q91">
        <v>0.08</v>
      </c>
      <c r="R91">
        <v>1.41</v>
      </c>
      <c r="S91">
        <v>21</v>
      </c>
      <c r="T91" t="s">
        <v>336</v>
      </c>
    </row>
    <row r="92" spans="1:20" x14ac:dyDescent="0.2">
      <c r="A92" t="s">
        <v>442</v>
      </c>
      <c r="B92">
        <v>0.22</v>
      </c>
      <c r="C92" s="1">
        <v>77.698499999999996</v>
      </c>
      <c r="D92" s="1">
        <v>-8.0274999999999999</v>
      </c>
      <c r="E92">
        <v>17.600000000000001</v>
      </c>
      <c r="F92">
        <v>739.1</v>
      </c>
      <c r="G92">
        <v>309.39999999999998</v>
      </c>
      <c r="H92">
        <v>59.7</v>
      </c>
      <c r="I92">
        <v>369.7</v>
      </c>
      <c r="J92">
        <v>18.7</v>
      </c>
      <c r="K92">
        <v>0.81</v>
      </c>
      <c r="L92">
        <v>0.51</v>
      </c>
      <c r="M92">
        <v>0.49</v>
      </c>
      <c r="N92">
        <v>381.7</v>
      </c>
      <c r="O92">
        <v>18.3</v>
      </c>
      <c r="P92">
        <v>0.19</v>
      </c>
      <c r="Q92">
        <v>0.2</v>
      </c>
      <c r="R92">
        <v>0.55000000000000004</v>
      </c>
      <c r="S92">
        <v>34</v>
      </c>
      <c r="T92" t="s">
        <v>336</v>
      </c>
    </row>
    <row r="93" spans="1:20" x14ac:dyDescent="0.2">
      <c r="A93" t="s">
        <v>444</v>
      </c>
      <c r="B93">
        <v>0.29499999999999998</v>
      </c>
      <c r="C93" s="1">
        <v>79.1571</v>
      </c>
      <c r="D93" s="1">
        <v>-54.513100000000001</v>
      </c>
      <c r="E93">
        <v>43.7</v>
      </c>
      <c r="F93">
        <v>1179.5999999999999</v>
      </c>
      <c r="G93">
        <v>-18.8</v>
      </c>
      <c r="H93">
        <v>45.9</v>
      </c>
      <c r="I93">
        <v>81.599999999999994</v>
      </c>
      <c r="J93">
        <v>10.199999999999999</v>
      </c>
      <c r="K93">
        <v>0.69</v>
      </c>
      <c r="L93">
        <v>0.23</v>
      </c>
      <c r="M93">
        <v>0.84</v>
      </c>
      <c r="N93">
        <v>83.8</v>
      </c>
      <c r="O93">
        <v>8.1999999999999993</v>
      </c>
      <c r="P93">
        <v>0.76</v>
      </c>
      <c r="Q93">
        <v>0.08</v>
      </c>
      <c r="R93">
        <v>0.81</v>
      </c>
      <c r="S93">
        <v>31</v>
      </c>
      <c r="T93" t="s">
        <v>336</v>
      </c>
    </row>
    <row r="94" spans="1:20" x14ac:dyDescent="0.2">
      <c r="A94" t="s">
        <v>85</v>
      </c>
      <c r="B94">
        <v>0.34</v>
      </c>
      <c r="C94" s="1">
        <v>80.1751</v>
      </c>
      <c r="D94" s="1">
        <v>-13.4803</v>
      </c>
      <c r="E94">
        <v>24.1</v>
      </c>
      <c r="F94">
        <v>613.9</v>
      </c>
      <c r="G94">
        <v>87.4</v>
      </c>
      <c r="H94">
        <v>15.2</v>
      </c>
      <c r="I94">
        <v>167.4</v>
      </c>
      <c r="J94">
        <v>7.1</v>
      </c>
      <c r="K94">
        <v>1.3</v>
      </c>
      <c r="L94">
        <v>0.09</v>
      </c>
      <c r="M94">
        <v>0.32</v>
      </c>
      <c r="N94">
        <v>166.8</v>
      </c>
      <c r="O94">
        <v>8.1</v>
      </c>
      <c r="P94">
        <v>0.87</v>
      </c>
      <c r="Q94">
        <v>0.05</v>
      </c>
      <c r="R94">
        <v>1.67</v>
      </c>
      <c r="S94">
        <v>14</v>
      </c>
      <c r="T94" t="s">
        <v>336</v>
      </c>
    </row>
    <row r="95" spans="1:20" x14ac:dyDescent="0.2">
      <c r="A95" t="s">
        <v>87</v>
      </c>
      <c r="B95">
        <v>0.191</v>
      </c>
      <c r="C95" s="1">
        <v>81.453400000000002</v>
      </c>
      <c r="D95" s="1">
        <v>-47.252800000000001</v>
      </c>
      <c r="E95">
        <v>15.8</v>
      </c>
      <c r="F95">
        <v>559.29999999999995</v>
      </c>
      <c r="G95">
        <v>174.8</v>
      </c>
      <c r="H95">
        <v>30.3</v>
      </c>
      <c r="I95">
        <v>230.9</v>
      </c>
      <c r="J95">
        <v>15</v>
      </c>
      <c r="K95">
        <v>1.4</v>
      </c>
      <c r="L95">
        <v>0.24</v>
      </c>
      <c r="M95">
        <v>0.09</v>
      </c>
      <c r="N95">
        <v>250</v>
      </c>
      <c r="O95">
        <v>15.2</v>
      </c>
      <c r="P95">
        <v>0.51</v>
      </c>
      <c r="Q95">
        <v>0.14000000000000001</v>
      </c>
      <c r="R95">
        <v>0.64</v>
      </c>
      <c r="S95">
        <v>20</v>
      </c>
      <c r="T95" t="s">
        <v>336</v>
      </c>
    </row>
    <row r="96" spans="1:20" x14ac:dyDescent="0.2">
      <c r="A96" t="s">
        <v>88</v>
      </c>
      <c r="B96">
        <v>0.158</v>
      </c>
      <c r="C96" s="1">
        <v>82.060699999999997</v>
      </c>
      <c r="D96" s="1">
        <v>-29.721900000000002</v>
      </c>
      <c r="E96">
        <v>20.3</v>
      </c>
      <c r="F96">
        <v>560.4</v>
      </c>
      <c r="G96">
        <v>60.5</v>
      </c>
      <c r="H96">
        <v>31.5</v>
      </c>
      <c r="I96">
        <v>191.1</v>
      </c>
      <c r="J96">
        <v>11.5</v>
      </c>
      <c r="K96">
        <v>0.86</v>
      </c>
      <c r="L96">
        <v>0.2</v>
      </c>
      <c r="M96">
        <v>0.44</v>
      </c>
      <c r="N96">
        <v>200.2</v>
      </c>
      <c r="O96">
        <v>9.8000000000000007</v>
      </c>
      <c r="P96">
        <v>0.62</v>
      </c>
      <c r="Q96">
        <v>0.08</v>
      </c>
      <c r="R96">
        <v>0.56999999999999995</v>
      </c>
      <c r="S96">
        <v>18</v>
      </c>
      <c r="T96" t="s">
        <v>336</v>
      </c>
    </row>
    <row r="97" spans="1:20" x14ac:dyDescent="0.2">
      <c r="A97" t="s">
        <v>89</v>
      </c>
      <c r="B97">
        <v>0.28399999999999997</v>
      </c>
      <c r="C97" s="1">
        <v>82.2209</v>
      </c>
      <c r="D97" s="1">
        <v>-39.470500000000001</v>
      </c>
      <c r="E97">
        <v>10.6</v>
      </c>
      <c r="F97">
        <v>393.4</v>
      </c>
      <c r="G97">
        <v>36.1</v>
      </c>
      <c r="H97">
        <v>6.8</v>
      </c>
      <c r="I97">
        <v>188.1</v>
      </c>
      <c r="J97">
        <v>6.9</v>
      </c>
      <c r="K97">
        <v>1.03</v>
      </c>
      <c r="L97">
        <v>0.08</v>
      </c>
      <c r="M97">
        <v>1</v>
      </c>
      <c r="N97">
        <v>205.1</v>
      </c>
      <c r="O97">
        <v>5.2</v>
      </c>
      <c r="P97">
        <v>0.74</v>
      </c>
      <c r="Q97">
        <v>0.04</v>
      </c>
      <c r="R97">
        <v>1.96</v>
      </c>
      <c r="S97">
        <v>19</v>
      </c>
      <c r="T97" t="s">
        <v>336</v>
      </c>
    </row>
    <row r="98" spans="1:20" x14ac:dyDescent="0.2">
      <c r="A98" t="s">
        <v>90</v>
      </c>
      <c r="B98">
        <v>0.21</v>
      </c>
      <c r="C98" s="1">
        <v>82.869500000000002</v>
      </c>
      <c r="D98" s="1">
        <v>-75.1768</v>
      </c>
      <c r="E98">
        <v>25.5</v>
      </c>
      <c r="F98">
        <v>746.9</v>
      </c>
      <c r="G98">
        <v>-61.6</v>
      </c>
      <c r="H98">
        <v>16.2</v>
      </c>
      <c r="I98">
        <v>98.2</v>
      </c>
      <c r="J98">
        <v>7.3</v>
      </c>
      <c r="K98">
        <v>0.68</v>
      </c>
      <c r="L98">
        <v>0.12</v>
      </c>
      <c r="M98">
        <v>0.28000000000000003</v>
      </c>
      <c r="N98">
        <v>36.4</v>
      </c>
      <c r="O98">
        <v>2.6</v>
      </c>
      <c r="P98">
        <v>1.57</v>
      </c>
      <c r="Q98">
        <v>0.03</v>
      </c>
      <c r="R98">
        <v>7</v>
      </c>
      <c r="S98">
        <v>20</v>
      </c>
      <c r="T98" t="s">
        <v>336</v>
      </c>
    </row>
    <row r="99" spans="1:20" x14ac:dyDescent="0.2">
      <c r="A99" t="s">
        <v>447</v>
      </c>
      <c r="B99">
        <v>0.154</v>
      </c>
      <c r="C99" s="1">
        <v>83.105699999999999</v>
      </c>
      <c r="D99" s="1">
        <v>-11.542199999999999</v>
      </c>
      <c r="E99">
        <v>13.2</v>
      </c>
      <c r="F99">
        <v>694</v>
      </c>
      <c r="G99">
        <v>212.5</v>
      </c>
      <c r="H99">
        <v>20.6</v>
      </c>
      <c r="I99">
        <v>279.10000000000002</v>
      </c>
      <c r="J99">
        <v>9.5</v>
      </c>
      <c r="K99">
        <v>1.1599999999999999</v>
      </c>
      <c r="L99">
        <v>0.14000000000000001</v>
      </c>
      <c r="M99">
        <v>0.37</v>
      </c>
      <c r="N99">
        <v>300.39999999999998</v>
      </c>
      <c r="O99">
        <v>9.6</v>
      </c>
      <c r="P99">
        <v>0.41</v>
      </c>
      <c r="Q99">
        <v>7.0000000000000007E-2</v>
      </c>
      <c r="R99">
        <v>1</v>
      </c>
      <c r="S99">
        <v>41</v>
      </c>
      <c r="T99" t="s">
        <v>336</v>
      </c>
    </row>
    <row r="100" spans="1:20" x14ac:dyDescent="0.2">
      <c r="A100" t="s">
        <v>448</v>
      </c>
      <c r="B100">
        <v>0.27500000000000002</v>
      </c>
      <c r="C100" s="1">
        <v>83.231399999999994</v>
      </c>
      <c r="D100" s="1">
        <v>-37.026400000000002</v>
      </c>
      <c r="E100">
        <v>20.8</v>
      </c>
      <c r="F100">
        <v>841.6</v>
      </c>
      <c r="G100">
        <v>53.8</v>
      </c>
      <c r="H100">
        <v>21.7</v>
      </c>
      <c r="I100">
        <v>220.8</v>
      </c>
      <c r="J100">
        <v>12.4</v>
      </c>
      <c r="K100">
        <v>0.97</v>
      </c>
      <c r="L100">
        <v>0.11</v>
      </c>
      <c r="M100">
        <v>0.12</v>
      </c>
      <c r="N100">
        <v>234.5</v>
      </c>
      <c r="O100">
        <v>10.6</v>
      </c>
      <c r="P100">
        <v>0.78</v>
      </c>
      <c r="Q100">
        <v>0.05</v>
      </c>
      <c r="R100">
        <v>0.33</v>
      </c>
      <c r="S100">
        <v>25</v>
      </c>
      <c r="T100" t="s">
        <v>336</v>
      </c>
    </row>
    <row r="101" spans="1:20" x14ac:dyDescent="0.2">
      <c r="A101" t="s">
        <v>91</v>
      </c>
      <c r="B101">
        <v>3.5999999999999997E-2</v>
      </c>
      <c r="C101" s="1">
        <v>85.027799999999999</v>
      </c>
      <c r="D101" s="1">
        <v>-40.836599999999997</v>
      </c>
      <c r="E101">
        <v>1.8</v>
      </c>
      <c r="F101">
        <v>254.2</v>
      </c>
      <c r="G101">
        <v>-8</v>
      </c>
      <c r="H101">
        <v>2.4</v>
      </c>
      <c r="I101">
        <v>162.69999999999999</v>
      </c>
      <c r="J101">
        <v>4.3</v>
      </c>
      <c r="K101">
        <v>0.64</v>
      </c>
      <c r="L101">
        <v>0.05</v>
      </c>
      <c r="M101">
        <v>1.48</v>
      </c>
      <c r="N101">
        <v>161.69999999999999</v>
      </c>
      <c r="O101">
        <v>4.3</v>
      </c>
      <c r="P101">
        <v>0.76</v>
      </c>
      <c r="Q101">
        <v>0.02</v>
      </c>
      <c r="R101">
        <v>1.74</v>
      </c>
      <c r="S101">
        <v>61</v>
      </c>
      <c r="T101" t="s">
        <v>336</v>
      </c>
    </row>
    <row r="102" spans="1:20" x14ac:dyDescent="0.2">
      <c r="A102" t="s">
        <v>451</v>
      </c>
      <c r="B102">
        <v>0.21</v>
      </c>
      <c r="C102" s="1">
        <v>86.756299999999996</v>
      </c>
      <c r="D102" s="1">
        <v>-39.073999999999998</v>
      </c>
      <c r="E102">
        <v>8.5</v>
      </c>
      <c r="F102">
        <v>492.3</v>
      </c>
      <c r="G102">
        <v>11</v>
      </c>
      <c r="H102">
        <v>2.8</v>
      </c>
      <c r="I102">
        <v>136.9</v>
      </c>
      <c r="J102">
        <v>6.7</v>
      </c>
      <c r="K102">
        <v>1.19</v>
      </c>
      <c r="L102">
        <v>0.06</v>
      </c>
      <c r="M102">
        <v>0.73</v>
      </c>
      <c r="N102">
        <v>143.1</v>
      </c>
      <c r="O102">
        <v>6.5</v>
      </c>
      <c r="P102">
        <v>0.96</v>
      </c>
      <c r="Q102">
        <v>0.04</v>
      </c>
      <c r="R102">
        <v>1.94</v>
      </c>
      <c r="S102">
        <v>13</v>
      </c>
      <c r="T102" t="s">
        <v>336</v>
      </c>
    </row>
    <row r="103" spans="1:20" x14ac:dyDescent="0.2">
      <c r="A103" t="s">
        <v>92</v>
      </c>
      <c r="B103">
        <v>0.14799999999999999</v>
      </c>
      <c r="C103" s="1">
        <v>86.906499999999994</v>
      </c>
      <c r="D103" s="1">
        <v>-31.871200000000002</v>
      </c>
      <c r="E103">
        <v>12.8</v>
      </c>
      <c r="F103">
        <v>626.6</v>
      </c>
      <c r="G103">
        <v>210.4</v>
      </c>
      <c r="H103">
        <v>18.399999999999999</v>
      </c>
      <c r="I103">
        <v>246.2</v>
      </c>
      <c r="J103">
        <v>10.8</v>
      </c>
      <c r="K103">
        <v>1.83</v>
      </c>
      <c r="L103">
        <v>0.12</v>
      </c>
      <c r="M103">
        <v>0.33</v>
      </c>
      <c r="N103">
        <v>253.3</v>
      </c>
      <c r="O103">
        <v>11.4</v>
      </c>
      <c r="P103">
        <v>0.59</v>
      </c>
      <c r="Q103">
        <v>0.09</v>
      </c>
      <c r="R103">
        <v>1.56</v>
      </c>
      <c r="S103">
        <v>35</v>
      </c>
      <c r="T103" t="s">
        <v>336</v>
      </c>
    </row>
    <row r="104" spans="1:20" x14ac:dyDescent="0.2">
      <c r="A104" t="s">
        <v>452</v>
      </c>
      <c r="B104">
        <v>0.04</v>
      </c>
      <c r="C104" s="1">
        <v>87.159599999999998</v>
      </c>
      <c r="D104" s="1">
        <v>-25.477900000000002</v>
      </c>
      <c r="E104">
        <v>7.8</v>
      </c>
      <c r="F104">
        <v>224.5</v>
      </c>
      <c r="G104">
        <v>6.9</v>
      </c>
      <c r="H104">
        <v>8.6999999999999993</v>
      </c>
      <c r="I104">
        <v>196.8</v>
      </c>
      <c r="J104">
        <v>8.6</v>
      </c>
      <c r="K104">
        <v>0.87</v>
      </c>
      <c r="L104">
        <v>0.12</v>
      </c>
      <c r="M104">
        <v>0.52</v>
      </c>
      <c r="N104">
        <v>199.8</v>
      </c>
      <c r="O104">
        <v>7.5</v>
      </c>
      <c r="P104">
        <v>0.8</v>
      </c>
      <c r="Q104">
        <v>0.05</v>
      </c>
      <c r="R104">
        <v>0.52</v>
      </c>
      <c r="S104">
        <v>16</v>
      </c>
      <c r="T104" t="s">
        <v>336</v>
      </c>
    </row>
    <row r="105" spans="1:20" x14ac:dyDescent="0.2">
      <c r="A105" t="s">
        <v>93</v>
      </c>
      <c r="B105">
        <v>9.9000000000000005E-2</v>
      </c>
      <c r="C105" s="1">
        <v>88.215900000000005</v>
      </c>
      <c r="D105" s="1">
        <v>-21.053599999999999</v>
      </c>
      <c r="E105">
        <v>18.100000000000001</v>
      </c>
      <c r="F105">
        <v>537.4</v>
      </c>
      <c r="G105">
        <v>-71.5</v>
      </c>
      <c r="H105">
        <v>36.9</v>
      </c>
      <c r="I105">
        <v>198.1</v>
      </c>
      <c r="J105">
        <v>9.5</v>
      </c>
      <c r="K105">
        <v>0.63</v>
      </c>
      <c r="L105">
        <v>0.14000000000000001</v>
      </c>
      <c r="M105">
        <v>0.57999999999999996</v>
      </c>
      <c r="N105">
        <v>185.5</v>
      </c>
      <c r="O105">
        <v>7.9</v>
      </c>
      <c r="P105">
        <v>0.84</v>
      </c>
      <c r="Q105">
        <v>0.05</v>
      </c>
      <c r="R105">
        <v>0.86</v>
      </c>
      <c r="S105">
        <v>24</v>
      </c>
      <c r="T105" t="s">
        <v>336</v>
      </c>
    </row>
    <row r="106" spans="1:20" x14ac:dyDescent="0.2">
      <c r="A106" t="s">
        <v>94</v>
      </c>
      <c r="B106">
        <v>0.40699999999999997</v>
      </c>
      <c r="C106" s="1">
        <v>88.357399999999998</v>
      </c>
      <c r="D106" s="1">
        <v>-33.708500000000001</v>
      </c>
      <c r="E106">
        <v>13.5</v>
      </c>
      <c r="F106">
        <v>1228.5999999999999</v>
      </c>
      <c r="G106">
        <v>186.9</v>
      </c>
      <c r="H106">
        <v>22.3</v>
      </c>
      <c r="I106">
        <v>287.10000000000002</v>
      </c>
      <c r="J106">
        <v>14.5</v>
      </c>
      <c r="K106">
        <v>1.23</v>
      </c>
      <c r="L106">
        <v>7.0000000000000007E-2</v>
      </c>
      <c r="M106">
        <v>0.84</v>
      </c>
      <c r="N106">
        <v>299.7</v>
      </c>
      <c r="O106">
        <v>16.899999999999999</v>
      </c>
      <c r="P106">
        <v>0.69</v>
      </c>
      <c r="Q106">
        <v>0.06</v>
      </c>
      <c r="R106">
        <v>1.95</v>
      </c>
      <c r="S106">
        <v>36</v>
      </c>
      <c r="T106" t="s">
        <v>336</v>
      </c>
    </row>
    <row r="107" spans="1:20" x14ac:dyDescent="0.2">
      <c r="A107" t="s">
        <v>458</v>
      </c>
      <c r="B107">
        <v>0.14099999999999999</v>
      </c>
      <c r="C107" s="1">
        <v>91.474900000000005</v>
      </c>
      <c r="D107" s="1">
        <v>-35.302199999999999</v>
      </c>
      <c r="E107">
        <v>6.1</v>
      </c>
      <c r="F107">
        <v>607.70000000000005</v>
      </c>
      <c r="G107">
        <v>3.2</v>
      </c>
      <c r="H107">
        <v>1.6</v>
      </c>
      <c r="I107">
        <v>126.4</v>
      </c>
      <c r="J107">
        <v>4</v>
      </c>
      <c r="K107">
        <v>1.04</v>
      </c>
      <c r="L107">
        <v>0.04</v>
      </c>
      <c r="M107">
        <v>0.48</v>
      </c>
      <c r="N107">
        <v>130.30000000000001</v>
      </c>
      <c r="O107">
        <v>3.4</v>
      </c>
      <c r="P107">
        <v>0.99</v>
      </c>
      <c r="Q107">
        <v>0.02</v>
      </c>
      <c r="R107">
        <v>0.63</v>
      </c>
      <c r="S107">
        <v>25</v>
      </c>
      <c r="T107" t="s">
        <v>336</v>
      </c>
    </row>
    <row r="108" spans="1:20" x14ac:dyDescent="0.2">
      <c r="A108" t="s">
        <v>96</v>
      </c>
      <c r="B108">
        <v>0.97199999999999998</v>
      </c>
      <c r="C108" s="1">
        <v>93.966099999999997</v>
      </c>
      <c r="D108" s="1">
        <v>-57.779400000000003</v>
      </c>
      <c r="E108">
        <v>20</v>
      </c>
      <c r="F108">
        <v>758.4</v>
      </c>
      <c r="G108">
        <v>78.599999999999994</v>
      </c>
      <c r="H108">
        <v>10.1</v>
      </c>
      <c r="I108">
        <v>154.1</v>
      </c>
      <c r="J108">
        <v>7.3</v>
      </c>
      <c r="K108">
        <v>1.33</v>
      </c>
      <c r="L108">
        <v>0.08</v>
      </c>
      <c r="M108">
        <v>0.11</v>
      </c>
      <c r="N108">
        <v>173.8</v>
      </c>
      <c r="O108">
        <v>7.7</v>
      </c>
      <c r="P108">
        <v>0.81</v>
      </c>
      <c r="Q108">
        <v>0.05</v>
      </c>
      <c r="R108">
        <v>2.4300000000000002</v>
      </c>
      <c r="S108">
        <v>15</v>
      </c>
      <c r="T108" t="s">
        <v>336</v>
      </c>
    </row>
    <row r="109" spans="1:20" x14ac:dyDescent="0.2">
      <c r="A109" t="s">
        <v>460</v>
      </c>
      <c r="B109">
        <v>0.17100000000000001</v>
      </c>
      <c r="C109" s="1">
        <v>94.103300000000004</v>
      </c>
      <c r="D109" s="1">
        <v>-21.938300000000002</v>
      </c>
      <c r="E109">
        <v>28.8</v>
      </c>
      <c r="F109">
        <v>835.8</v>
      </c>
      <c r="G109">
        <v>263.39999999999998</v>
      </c>
      <c r="H109">
        <v>53.4</v>
      </c>
      <c r="I109">
        <v>353.4</v>
      </c>
      <c r="J109">
        <v>21.1</v>
      </c>
      <c r="K109">
        <v>0.99</v>
      </c>
      <c r="L109">
        <v>0.25</v>
      </c>
      <c r="M109">
        <v>0.54</v>
      </c>
      <c r="N109">
        <v>362.1</v>
      </c>
      <c r="O109">
        <v>21.9</v>
      </c>
      <c r="P109">
        <v>0.41</v>
      </c>
      <c r="Q109">
        <v>0.11</v>
      </c>
      <c r="R109">
        <v>0.76</v>
      </c>
      <c r="S109">
        <v>24</v>
      </c>
      <c r="T109" t="s">
        <v>336</v>
      </c>
    </row>
    <row r="110" spans="1:20" x14ac:dyDescent="0.2">
      <c r="A110" t="s">
        <v>97</v>
      </c>
      <c r="B110">
        <v>0.152</v>
      </c>
      <c r="C110" s="1">
        <v>94.133899999999997</v>
      </c>
      <c r="D110" s="1">
        <v>-39.796799999999998</v>
      </c>
      <c r="E110">
        <v>26.2</v>
      </c>
      <c r="F110">
        <v>817.2</v>
      </c>
      <c r="G110">
        <v>135.30000000000001</v>
      </c>
      <c r="H110">
        <v>25.8</v>
      </c>
      <c r="I110">
        <v>199.3</v>
      </c>
      <c r="J110">
        <v>11.4</v>
      </c>
      <c r="K110">
        <v>1.18</v>
      </c>
      <c r="L110">
        <v>0.16</v>
      </c>
      <c r="M110">
        <v>0.41</v>
      </c>
      <c r="N110">
        <v>202.5</v>
      </c>
      <c r="O110">
        <v>12</v>
      </c>
      <c r="P110">
        <v>0.62</v>
      </c>
      <c r="Q110">
        <v>0.08</v>
      </c>
      <c r="R110">
        <v>1.1200000000000001</v>
      </c>
      <c r="S110">
        <v>20</v>
      </c>
      <c r="T110" t="s">
        <v>336</v>
      </c>
    </row>
    <row r="111" spans="1:20" x14ac:dyDescent="0.2">
      <c r="A111" t="s">
        <v>462</v>
      </c>
      <c r="B111">
        <v>0.27</v>
      </c>
      <c r="C111" s="1">
        <v>95.454099999999997</v>
      </c>
      <c r="D111" s="1">
        <v>74.701400000000007</v>
      </c>
      <c r="E111">
        <v>10.3</v>
      </c>
      <c r="F111">
        <v>738.3</v>
      </c>
      <c r="G111">
        <v>-7.2</v>
      </c>
      <c r="H111">
        <v>4.5</v>
      </c>
      <c r="I111">
        <v>152.30000000000001</v>
      </c>
      <c r="J111">
        <v>7.2</v>
      </c>
      <c r="K111">
        <v>0.92</v>
      </c>
      <c r="L111">
        <v>0.06</v>
      </c>
      <c r="M111">
        <v>0.72</v>
      </c>
      <c r="N111">
        <v>144.19999999999999</v>
      </c>
      <c r="O111">
        <v>5.4</v>
      </c>
      <c r="P111">
        <v>0.99</v>
      </c>
      <c r="Q111">
        <v>0.03</v>
      </c>
      <c r="R111">
        <v>0.85</v>
      </c>
      <c r="S111">
        <v>22</v>
      </c>
      <c r="T111" t="s">
        <v>336</v>
      </c>
    </row>
    <row r="112" spans="1:20" x14ac:dyDescent="0.2">
      <c r="A112" t="s">
        <v>463</v>
      </c>
      <c r="B112">
        <v>5.0999999999999997E-2</v>
      </c>
      <c r="C112" s="1">
        <v>96.578500000000005</v>
      </c>
      <c r="D112" s="1">
        <v>-53.692599999999999</v>
      </c>
      <c r="E112">
        <v>9.8000000000000007</v>
      </c>
      <c r="F112">
        <v>449.7</v>
      </c>
      <c r="G112">
        <v>294.39999999999998</v>
      </c>
      <c r="H112">
        <v>24.6</v>
      </c>
      <c r="I112">
        <v>341.1</v>
      </c>
      <c r="J112">
        <v>12</v>
      </c>
      <c r="K112">
        <v>1.54</v>
      </c>
      <c r="L112">
        <v>0.18</v>
      </c>
      <c r="M112">
        <v>0.54</v>
      </c>
      <c r="N112">
        <v>359.9</v>
      </c>
      <c r="O112">
        <v>12.1</v>
      </c>
      <c r="P112">
        <v>0.4</v>
      </c>
      <c r="Q112">
        <v>0.09</v>
      </c>
      <c r="R112">
        <v>0.9</v>
      </c>
      <c r="S112">
        <v>75</v>
      </c>
      <c r="T112" t="s">
        <v>336</v>
      </c>
    </row>
    <row r="113" spans="1:20" x14ac:dyDescent="0.2">
      <c r="A113" t="s">
        <v>99</v>
      </c>
      <c r="B113">
        <v>5.0999999999999997E-2</v>
      </c>
      <c r="C113" s="1">
        <v>96.680599999999998</v>
      </c>
      <c r="D113" s="1">
        <v>-54.543500000000002</v>
      </c>
      <c r="E113">
        <v>12.3</v>
      </c>
      <c r="F113">
        <v>621.70000000000005</v>
      </c>
      <c r="G113">
        <v>-2.2999999999999998</v>
      </c>
      <c r="H113">
        <v>159.69999999999999</v>
      </c>
      <c r="I113">
        <v>315</v>
      </c>
      <c r="J113">
        <v>12.8</v>
      </c>
      <c r="K113">
        <v>0.34</v>
      </c>
      <c r="L113">
        <v>0.45</v>
      </c>
      <c r="M113">
        <v>0.81</v>
      </c>
      <c r="N113">
        <v>314.89999999999998</v>
      </c>
      <c r="O113">
        <v>11.1</v>
      </c>
      <c r="P113">
        <v>0.35</v>
      </c>
      <c r="Q113">
        <v>0.09</v>
      </c>
      <c r="R113">
        <v>0.79</v>
      </c>
      <c r="S113">
        <v>61</v>
      </c>
      <c r="T113" t="s">
        <v>328</v>
      </c>
    </row>
    <row r="114" spans="1:20" x14ac:dyDescent="0.2">
      <c r="A114" t="s">
        <v>100</v>
      </c>
      <c r="B114">
        <v>0.20300000000000001</v>
      </c>
      <c r="C114" s="1">
        <v>99.308800000000005</v>
      </c>
      <c r="D114" s="1">
        <v>-48.471899999999998</v>
      </c>
      <c r="E114">
        <v>16.5</v>
      </c>
      <c r="F114">
        <v>884.4</v>
      </c>
      <c r="G114">
        <v>61</v>
      </c>
      <c r="H114">
        <v>17.399999999999999</v>
      </c>
      <c r="I114">
        <v>224.4</v>
      </c>
      <c r="J114">
        <v>11</v>
      </c>
      <c r="K114">
        <v>0.87</v>
      </c>
      <c r="L114">
        <v>0.09</v>
      </c>
      <c r="M114">
        <v>0.81</v>
      </c>
      <c r="N114">
        <v>242.8</v>
      </c>
      <c r="O114">
        <v>9.1</v>
      </c>
      <c r="P114">
        <v>0.68</v>
      </c>
      <c r="Q114">
        <v>0.04</v>
      </c>
      <c r="R114">
        <v>1.1399999999999999</v>
      </c>
      <c r="S114">
        <v>26</v>
      </c>
      <c r="T114" t="s">
        <v>336</v>
      </c>
    </row>
    <row r="115" spans="1:20" x14ac:dyDescent="0.2">
      <c r="A115" t="s">
        <v>101</v>
      </c>
      <c r="B115">
        <v>0.17399999999999999</v>
      </c>
      <c r="C115" s="1">
        <v>99.516199999999998</v>
      </c>
      <c r="D115" s="1">
        <v>47.7986</v>
      </c>
      <c r="E115">
        <v>29.2</v>
      </c>
      <c r="F115">
        <v>957.3</v>
      </c>
      <c r="G115">
        <v>281.5</v>
      </c>
      <c r="H115">
        <v>22.9</v>
      </c>
      <c r="I115">
        <v>293.39999999999998</v>
      </c>
      <c r="J115">
        <v>17.5</v>
      </c>
      <c r="K115">
        <v>1.94</v>
      </c>
      <c r="L115">
        <v>0.16</v>
      </c>
      <c r="M115">
        <v>0.56999999999999995</v>
      </c>
      <c r="N115">
        <v>243</v>
      </c>
      <c r="O115">
        <v>15.6</v>
      </c>
      <c r="P115">
        <v>0.53</v>
      </c>
      <c r="Q115">
        <v>0.1</v>
      </c>
      <c r="R115">
        <v>2.2599999999999998</v>
      </c>
      <c r="S115">
        <v>24</v>
      </c>
      <c r="T115" t="s">
        <v>336</v>
      </c>
    </row>
    <row r="116" spans="1:20" x14ac:dyDescent="0.2">
      <c r="A116" t="s">
        <v>102</v>
      </c>
      <c r="B116">
        <v>0.222</v>
      </c>
      <c r="C116" s="1">
        <v>99.701999999999998</v>
      </c>
      <c r="D116" s="1">
        <v>-53.974200000000003</v>
      </c>
      <c r="E116">
        <v>8.9</v>
      </c>
      <c r="F116">
        <v>593.6</v>
      </c>
      <c r="G116">
        <v>29.1</v>
      </c>
      <c r="H116">
        <v>7.3</v>
      </c>
      <c r="I116">
        <v>171.5</v>
      </c>
      <c r="J116">
        <v>6.7</v>
      </c>
      <c r="K116">
        <v>0.94</v>
      </c>
      <c r="L116">
        <v>7.0000000000000007E-2</v>
      </c>
      <c r="M116">
        <v>0.5</v>
      </c>
      <c r="N116">
        <v>185</v>
      </c>
      <c r="O116">
        <v>5.2</v>
      </c>
      <c r="P116">
        <v>0.75</v>
      </c>
      <c r="Q116">
        <v>0.04</v>
      </c>
      <c r="R116">
        <v>0.89</v>
      </c>
      <c r="S116">
        <v>30</v>
      </c>
      <c r="T116" t="s">
        <v>328</v>
      </c>
    </row>
    <row r="117" spans="1:20" x14ac:dyDescent="0.2">
      <c r="A117" t="s">
        <v>104</v>
      </c>
      <c r="B117">
        <v>0.16700000000000001</v>
      </c>
      <c r="C117" s="1">
        <v>101.37</v>
      </c>
      <c r="D117" s="1">
        <v>-54.228400000000001</v>
      </c>
      <c r="E117">
        <v>14.1</v>
      </c>
      <c r="F117">
        <v>841</v>
      </c>
      <c r="G117">
        <v>41.4</v>
      </c>
      <c r="H117">
        <v>15.7</v>
      </c>
      <c r="I117">
        <v>216.9</v>
      </c>
      <c r="J117">
        <v>9.1999999999999993</v>
      </c>
      <c r="K117">
        <v>0.94</v>
      </c>
      <c r="L117">
        <v>0.08</v>
      </c>
      <c r="M117">
        <v>0.37</v>
      </c>
      <c r="N117">
        <v>226.2</v>
      </c>
      <c r="O117">
        <v>8.3000000000000007</v>
      </c>
      <c r="P117">
        <v>0.8</v>
      </c>
      <c r="Q117">
        <v>0.04</v>
      </c>
      <c r="R117">
        <v>0.55000000000000004</v>
      </c>
      <c r="S117">
        <v>32</v>
      </c>
      <c r="T117" t="s">
        <v>336</v>
      </c>
    </row>
    <row r="118" spans="1:20" x14ac:dyDescent="0.2">
      <c r="A118" t="s">
        <v>105</v>
      </c>
      <c r="B118">
        <v>0.5907</v>
      </c>
      <c r="C118" s="1">
        <v>101.9585</v>
      </c>
      <c r="D118" s="1">
        <v>70.247100000000003</v>
      </c>
      <c r="E118">
        <v>33.1</v>
      </c>
      <c r="F118">
        <v>861.1</v>
      </c>
      <c r="G118">
        <v>144.19999999999999</v>
      </c>
      <c r="H118">
        <v>34.9</v>
      </c>
      <c r="I118">
        <v>201.2</v>
      </c>
      <c r="J118">
        <v>18.399999999999999</v>
      </c>
      <c r="K118">
        <v>1.45</v>
      </c>
      <c r="L118">
        <v>0.13</v>
      </c>
      <c r="M118">
        <v>0.11</v>
      </c>
      <c r="N118">
        <v>164.5</v>
      </c>
      <c r="O118">
        <v>14.4</v>
      </c>
      <c r="P118">
        <v>0.94</v>
      </c>
      <c r="Q118">
        <v>7.0000000000000007E-2</v>
      </c>
      <c r="R118">
        <v>0.91</v>
      </c>
      <c r="S118">
        <v>15</v>
      </c>
      <c r="T118" t="s">
        <v>336</v>
      </c>
    </row>
    <row r="119" spans="1:20" x14ac:dyDescent="0.2">
      <c r="A119" t="s">
        <v>106</v>
      </c>
      <c r="B119">
        <v>0.11</v>
      </c>
      <c r="C119" s="1">
        <v>103.3394</v>
      </c>
      <c r="D119" s="1">
        <v>69.331000000000003</v>
      </c>
      <c r="E119">
        <v>14.9</v>
      </c>
      <c r="F119">
        <v>337</v>
      </c>
      <c r="G119">
        <v>40.6</v>
      </c>
      <c r="H119">
        <v>82.2</v>
      </c>
      <c r="I119">
        <v>211.6</v>
      </c>
      <c r="J119">
        <v>10.3</v>
      </c>
      <c r="K119">
        <v>0.45</v>
      </c>
      <c r="L119">
        <v>0.57999999999999996</v>
      </c>
      <c r="M119">
        <v>0.8</v>
      </c>
      <c r="N119">
        <v>214.3</v>
      </c>
      <c r="O119">
        <v>7.6</v>
      </c>
      <c r="P119">
        <v>0.35</v>
      </c>
      <c r="Q119">
        <v>0.13</v>
      </c>
      <c r="R119">
        <v>0.77</v>
      </c>
      <c r="S119">
        <v>29</v>
      </c>
      <c r="T119" t="s">
        <v>328</v>
      </c>
    </row>
    <row r="120" spans="1:20" x14ac:dyDescent="0.2">
      <c r="A120" t="s">
        <v>109</v>
      </c>
      <c r="B120">
        <v>0.54600000000000004</v>
      </c>
      <c r="C120" s="1">
        <v>109.37560000000001</v>
      </c>
      <c r="D120" s="1">
        <v>37.76</v>
      </c>
      <c r="E120">
        <v>15.9</v>
      </c>
      <c r="F120">
        <v>1226.4000000000001</v>
      </c>
      <c r="G120">
        <v>137.1</v>
      </c>
      <c r="H120">
        <v>84.6</v>
      </c>
      <c r="I120">
        <v>369.7</v>
      </c>
      <c r="J120">
        <v>16.600000000000001</v>
      </c>
      <c r="K120">
        <v>0.56999999999999995</v>
      </c>
      <c r="L120">
        <v>0.21</v>
      </c>
      <c r="M120">
        <v>0.54</v>
      </c>
      <c r="N120">
        <v>368.1</v>
      </c>
      <c r="O120">
        <v>16.7</v>
      </c>
      <c r="P120">
        <v>0.43</v>
      </c>
      <c r="Q120">
        <v>0.06</v>
      </c>
      <c r="R120">
        <v>0.56999999999999995</v>
      </c>
      <c r="S120">
        <v>38</v>
      </c>
      <c r="T120" t="s">
        <v>336</v>
      </c>
    </row>
    <row r="121" spans="1:20" x14ac:dyDescent="0.2">
      <c r="A121" t="s">
        <v>468</v>
      </c>
      <c r="B121">
        <v>3.8899999999999997E-2</v>
      </c>
      <c r="C121" s="1">
        <v>110.3766</v>
      </c>
      <c r="D121" s="1">
        <v>55.761600000000001</v>
      </c>
      <c r="E121">
        <v>3.8</v>
      </c>
      <c r="F121">
        <v>169.2</v>
      </c>
      <c r="G121">
        <v>35.200000000000003</v>
      </c>
      <c r="H121">
        <v>14.4</v>
      </c>
      <c r="I121">
        <v>217.5</v>
      </c>
      <c r="J121">
        <v>4.3</v>
      </c>
      <c r="K121">
        <v>0.69</v>
      </c>
      <c r="L121">
        <v>0.13</v>
      </c>
      <c r="M121">
        <v>1.06</v>
      </c>
      <c r="N121">
        <v>219.4</v>
      </c>
      <c r="O121">
        <v>4.2</v>
      </c>
      <c r="P121">
        <v>0.53</v>
      </c>
      <c r="Q121">
        <v>0.04</v>
      </c>
      <c r="R121">
        <v>1.1499999999999999</v>
      </c>
      <c r="S121">
        <v>44</v>
      </c>
      <c r="T121" t="s">
        <v>336</v>
      </c>
    </row>
    <row r="122" spans="1:20" x14ac:dyDescent="0.2">
      <c r="A122" t="s">
        <v>111</v>
      </c>
      <c r="B122">
        <v>8.6999999999999994E-2</v>
      </c>
      <c r="C122" s="1">
        <v>111.223</v>
      </c>
      <c r="D122" s="1">
        <v>66.985399999999998</v>
      </c>
      <c r="E122">
        <v>16.100000000000001</v>
      </c>
      <c r="F122">
        <v>197.1</v>
      </c>
      <c r="G122">
        <v>16.399999999999999</v>
      </c>
      <c r="H122">
        <v>25.7</v>
      </c>
      <c r="I122">
        <v>256.3</v>
      </c>
      <c r="J122">
        <v>17.7</v>
      </c>
      <c r="K122">
        <v>1.05</v>
      </c>
      <c r="L122">
        <v>0.24</v>
      </c>
      <c r="M122">
        <v>0.21</v>
      </c>
      <c r="N122">
        <v>261.2</v>
      </c>
      <c r="O122">
        <v>15.1</v>
      </c>
      <c r="P122">
        <v>0.92</v>
      </c>
      <c r="Q122">
        <v>0.09</v>
      </c>
      <c r="R122">
        <v>0.22</v>
      </c>
      <c r="S122">
        <v>10</v>
      </c>
      <c r="T122" t="s">
        <v>336</v>
      </c>
    </row>
    <row r="123" spans="1:20" x14ac:dyDescent="0.2">
      <c r="A123" t="s">
        <v>112</v>
      </c>
      <c r="B123">
        <v>0.17100000000000001</v>
      </c>
      <c r="C123" s="1">
        <v>113.0847</v>
      </c>
      <c r="D123" s="1">
        <v>31.6325</v>
      </c>
      <c r="E123">
        <v>14.4</v>
      </c>
      <c r="F123">
        <v>843</v>
      </c>
      <c r="G123">
        <v>111.1</v>
      </c>
      <c r="H123">
        <v>11.9</v>
      </c>
      <c r="I123">
        <v>187.5</v>
      </c>
      <c r="J123">
        <v>6.1</v>
      </c>
      <c r="K123">
        <v>1.29</v>
      </c>
      <c r="L123">
        <v>7.0000000000000007E-2</v>
      </c>
      <c r="M123">
        <v>0.67</v>
      </c>
      <c r="N123">
        <v>193.5</v>
      </c>
      <c r="O123">
        <v>6.5</v>
      </c>
      <c r="P123">
        <v>0.79</v>
      </c>
      <c r="Q123">
        <v>0.04</v>
      </c>
      <c r="R123">
        <v>2.2599999999999998</v>
      </c>
      <c r="S123">
        <v>33</v>
      </c>
      <c r="T123" t="s">
        <v>336</v>
      </c>
    </row>
    <row r="124" spans="1:20" x14ac:dyDescent="0.2">
      <c r="A124" t="s">
        <v>113</v>
      </c>
      <c r="B124">
        <v>0.216</v>
      </c>
      <c r="C124" s="1">
        <v>115.4346</v>
      </c>
      <c r="D124" s="1">
        <v>74.244</v>
      </c>
      <c r="E124">
        <v>8.6999999999999993</v>
      </c>
      <c r="F124">
        <v>390.4</v>
      </c>
      <c r="G124">
        <v>16.100000000000001</v>
      </c>
      <c r="H124">
        <v>1</v>
      </c>
      <c r="I124">
        <v>139.1</v>
      </c>
      <c r="J124">
        <v>2.1</v>
      </c>
      <c r="K124">
        <v>1.1499999999999999</v>
      </c>
      <c r="L124">
        <v>0.02</v>
      </c>
      <c r="M124">
        <v>6.05</v>
      </c>
      <c r="N124">
        <v>150.1</v>
      </c>
      <c r="O124">
        <v>1.9</v>
      </c>
      <c r="P124">
        <v>0.87</v>
      </c>
      <c r="Q124">
        <v>0.01</v>
      </c>
      <c r="R124">
        <v>14.68</v>
      </c>
      <c r="S124">
        <v>23</v>
      </c>
      <c r="T124" t="s">
        <v>336</v>
      </c>
    </row>
    <row r="125" spans="1:20" x14ac:dyDescent="0.2">
      <c r="A125" t="s">
        <v>114</v>
      </c>
      <c r="B125">
        <v>1.0686</v>
      </c>
      <c r="C125" s="1">
        <v>116.0724</v>
      </c>
      <c r="D125" s="1">
        <v>37.887799999999999</v>
      </c>
      <c r="E125">
        <v>20.399999999999999</v>
      </c>
      <c r="F125">
        <v>428.8</v>
      </c>
      <c r="G125">
        <v>-17.5</v>
      </c>
      <c r="H125">
        <v>11.1</v>
      </c>
      <c r="I125">
        <v>143.69999999999999</v>
      </c>
      <c r="J125">
        <v>6.7</v>
      </c>
      <c r="K125">
        <v>0.81</v>
      </c>
      <c r="L125">
        <v>0.11</v>
      </c>
      <c r="M125">
        <v>0.28999999999999998</v>
      </c>
      <c r="N125">
        <v>132.69999999999999</v>
      </c>
      <c r="O125">
        <v>4</v>
      </c>
      <c r="P125">
        <v>0.99</v>
      </c>
      <c r="Q125">
        <v>0.03</v>
      </c>
      <c r="R125">
        <v>0.74</v>
      </c>
      <c r="S125">
        <v>10</v>
      </c>
      <c r="T125" t="s">
        <v>336</v>
      </c>
    </row>
    <row r="126" spans="1:20" x14ac:dyDescent="0.2">
      <c r="A126" t="s">
        <v>473</v>
      </c>
      <c r="B126">
        <v>0.69799999999999995</v>
      </c>
      <c r="C126" s="1">
        <v>116.2201</v>
      </c>
      <c r="D126" s="1">
        <v>39.457299999999996</v>
      </c>
      <c r="E126">
        <v>17.8</v>
      </c>
      <c r="F126">
        <v>785</v>
      </c>
      <c r="G126">
        <v>56.5</v>
      </c>
      <c r="H126">
        <v>8.6999999999999993</v>
      </c>
      <c r="I126">
        <v>146.6</v>
      </c>
      <c r="J126">
        <v>5.9</v>
      </c>
      <c r="K126">
        <v>1.1299999999999999</v>
      </c>
      <c r="L126">
        <v>0.06</v>
      </c>
      <c r="M126">
        <v>0.37</v>
      </c>
      <c r="N126">
        <v>159.6</v>
      </c>
      <c r="O126">
        <v>5.9</v>
      </c>
      <c r="P126">
        <v>0.8</v>
      </c>
      <c r="Q126">
        <v>0.04</v>
      </c>
      <c r="R126">
        <v>2.16</v>
      </c>
      <c r="S126">
        <v>17</v>
      </c>
      <c r="T126" t="s">
        <v>336</v>
      </c>
    </row>
    <row r="127" spans="1:20" x14ac:dyDescent="0.2">
      <c r="A127" t="s">
        <v>475</v>
      </c>
      <c r="B127">
        <v>0.10299999999999999</v>
      </c>
      <c r="C127" s="1">
        <v>116.87949999999999</v>
      </c>
      <c r="D127" s="1">
        <v>-19.294699999999999</v>
      </c>
      <c r="E127">
        <v>4.7</v>
      </c>
      <c r="F127">
        <v>275.89999999999998</v>
      </c>
      <c r="G127">
        <v>11.7</v>
      </c>
      <c r="H127">
        <v>0.5</v>
      </c>
      <c r="I127">
        <v>127</v>
      </c>
      <c r="J127">
        <v>1</v>
      </c>
      <c r="K127">
        <v>1.3</v>
      </c>
      <c r="L127">
        <v>0.01</v>
      </c>
      <c r="M127">
        <v>4.18</v>
      </c>
      <c r="N127">
        <v>128.80000000000001</v>
      </c>
      <c r="O127">
        <v>1</v>
      </c>
      <c r="P127">
        <v>1.02</v>
      </c>
      <c r="Q127">
        <v>0.01</v>
      </c>
      <c r="R127">
        <v>18.39</v>
      </c>
      <c r="S127">
        <v>30</v>
      </c>
      <c r="T127" t="s">
        <v>336</v>
      </c>
    </row>
    <row r="128" spans="1:20" x14ac:dyDescent="0.2">
      <c r="A128" t="s">
        <v>115</v>
      </c>
      <c r="B128">
        <v>0.189</v>
      </c>
      <c r="C128" s="1">
        <v>117.855</v>
      </c>
      <c r="D128" s="1">
        <v>17.5139</v>
      </c>
      <c r="E128">
        <v>7.8</v>
      </c>
      <c r="F128">
        <v>429.6</v>
      </c>
      <c r="G128">
        <v>7.9</v>
      </c>
      <c r="H128">
        <v>1.2</v>
      </c>
      <c r="I128">
        <v>113.7</v>
      </c>
      <c r="J128">
        <v>3.2</v>
      </c>
      <c r="K128">
        <v>1.28</v>
      </c>
      <c r="L128">
        <v>0.03</v>
      </c>
      <c r="M128">
        <v>2.0299999999999998</v>
      </c>
      <c r="N128">
        <v>121</v>
      </c>
      <c r="O128">
        <v>2.9</v>
      </c>
      <c r="P128">
        <v>1.0900000000000001</v>
      </c>
      <c r="Q128">
        <v>0.02</v>
      </c>
      <c r="R128">
        <v>4.5199999999999996</v>
      </c>
      <c r="S128">
        <v>17</v>
      </c>
      <c r="T128" t="s">
        <v>336</v>
      </c>
    </row>
    <row r="129" spans="1:20" x14ac:dyDescent="0.2">
      <c r="A129" t="s">
        <v>116</v>
      </c>
      <c r="B129">
        <v>0.28799999999999998</v>
      </c>
      <c r="C129" s="1">
        <v>120.23699999999999</v>
      </c>
      <c r="D129" s="1">
        <v>36.056600000000003</v>
      </c>
      <c r="E129">
        <v>10.7</v>
      </c>
      <c r="F129">
        <v>633.6</v>
      </c>
      <c r="G129">
        <v>51.2</v>
      </c>
      <c r="H129">
        <v>6.8</v>
      </c>
      <c r="I129">
        <v>178</v>
      </c>
      <c r="J129">
        <v>7.5</v>
      </c>
      <c r="K129">
        <v>1.19</v>
      </c>
      <c r="L129">
        <v>7.0000000000000007E-2</v>
      </c>
      <c r="M129">
        <v>0.42</v>
      </c>
      <c r="N129">
        <v>203.6</v>
      </c>
      <c r="O129">
        <v>6.1</v>
      </c>
      <c r="P129">
        <v>0.76</v>
      </c>
      <c r="Q129">
        <v>0.05</v>
      </c>
      <c r="R129">
        <v>1.68</v>
      </c>
      <c r="S129">
        <v>25</v>
      </c>
      <c r="T129" t="s">
        <v>328</v>
      </c>
    </row>
    <row r="130" spans="1:20" x14ac:dyDescent="0.2">
      <c r="A130" t="s">
        <v>118</v>
      </c>
      <c r="B130">
        <v>6.4000000000000001E-2</v>
      </c>
      <c r="C130" s="1">
        <v>122.5973</v>
      </c>
      <c r="D130" s="1">
        <v>42.273899999999998</v>
      </c>
      <c r="E130">
        <v>12.2</v>
      </c>
      <c r="F130">
        <v>212.7</v>
      </c>
      <c r="G130">
        <v>16</v>
      </c>
      <c r="H130">
        <v>19.899999999999999</v>
      </c>
      <c r="I130">
        <v>199.7</v>
      </c>
      <c r="J130">
        <v>12.8</v>
      </c>
      <c r="K130">
        <v>0.87</v>
      </c>
      <c r="L130">
        <v>0.23</v>
      </c>
      <c r="M130">
        <v>0.15</v>
      </c>
      <c r="N130">
        <v>203</v>
      </c>
      <c r="O130">
        <v>11.3</v>
      </c>
      <c r="P130">
        <v>0.74</v>
      </c>
      <c r="Q130">
        <v>0.08</v>
      </c>
      <c r="R130">
        <v>0.22</v>
      </c>
      <c r="S130">
        <v>8</v>
      </c>
      <c r="T130" t="s">
        <v>336</v>
      </c>
    </row>
    <row r="131" spans="1:20" x14ac:dyDescent="0.2">
      <c r="A131" t="s">
        <v>119</v>
      </c>
      <c r="B131">
        <v>7.0000000000000007E-2</v>
      </c>
      <c r="C131" s="1">
        <v>124.35850000000001</v>
      </c>
      <c r="D131" s="1">
        <v>-7.5087999999999999</v>
      </c>
      <c r="E131">
        <v>3.3</v>
      </c>
      <c r="F131">
        <v>346.5</v>
      </c>
      <c r="G131">
        <v>96.4</v>
      </c>
      <c r="H131">
        <v>6.9</v>
      </c>
      <c r="I131">
        <v>176</v>
      </c>
      <c r="J131">
        <v>4.5</v>
      </c>
      <c r="K131">
        <v>1.48</v>
      </c>
      <c r="L131">
        <v>0.08</v>
      </c>
      <c r="M131">
        <v>0.56000000000000005</v>
      </c>
      <c r="N131">
        <v>199</v>
      </c>
      <c r="O131">
        <v>3.6</v>
      </c>
      <c r="P131">
        <v>0.66</v>
      </c>
      <c r="Q131">
        <v>0.04</v>
      </c>
      <c r="R131">
        <v>1.93</v>
      </c>
      <c r="S131">
        <v>53</v>
      </c>
      <c r="T131" t="s">
        <v>336</v>
      </c>
    </row>
    <row r="132" spans="1:20" x14ac:dyDescent="0.2">
      <c r="A132" t="s">
        <v>120</v>
      </c>
      <c r="B132">
        <v>0.11899999999999999</v>
      </c>
      <c r="C132" s="1">
        <v>124.858</v>
      </c>
      <c r="D132" s="1">
        <v>63.623800000000003</v>
      </c>
      <c r="E132">
        <v>10.6</v>
      </c>
      <c r="F132">
        <v>355.6</v>
      </c>
      <c r="G132">
        <v>12.2</v>
      </c>
      <c r="H132">
        <v>14.6</v>
      </c>
      <c r="I132">
        <v>165.7</v>
      </c>
      <c r="J132">
        <v>8.5</v>
      </c>
      <c r="K132">
        <v>0.73</v>
      </c>
      <c r="L132">
        <v>0.18</v>
      </c>
      <c r="M132">
        <v>0.42</v>
      </c>
      <c r="N132">
        <v>169.2</v>
      </c>
      <c r="O132">
        <v>6.9</v>
      </c>
      <c r="P132">
        <v>0.64</v>
      </c>
      <c r="Q132">
        <v>0.06</v>
      </c>
      <c r="R132">
        <v>0.43</v>
      </c>
      <c r="S132">
        <v>14</v>
      </c>
      <c r="T132" t="s">
        <v>336</v>
      </c>
    </row>
    <row r="133" spans="1:20" x14ac:dyDescent="0.2">
      <c r="A133" t="s">
        <v>477</v>
      </c>
      <c r="B133">
        <v>1.6299999999999999E-2</v>
      </c>
      <c r="C133" s="1">
        <v>125.1485</v>
      </c>
      <c r="D133" s="1">
        <v>21.067900000000002</v>
      </c>
      <c r="E133">
        <v>0.8</v>
      </c>
      <c r="F133">
        <v>40.9</v>
      </c>
      <c r="G133">
        <v>1.9</v>
      </c>
      <c r="H133">
        <v>0.4</v>
      </c>
      <c r="I133">
        <v>341.6</v>
      </c>
      <c r="J133">
        <v>37.799999999999997</v>
      </c>
      <c r="K133">
        <v>1.0900000000000001</v>
      </c>
      <c r="L133">
        <v>0.04</v>
      </c>
      <c r="M133">
        <v>0.68</v>
      </c>
      <c r="N133">
        <v>234.9</v>
      </c>
      <c r="O133">
        <v>21.5</v>
      </c>
      <c r="P133">
        <v>0.89</v>
      </c>
      <c r="Q133">
        <v>0.03</v>
      </c>
      <c r="R133">
        <v>3.45</v>
      </c>
      <c r="S133">
        <v>9</v>
      </c>
      <c r="T133" t="s">
        <v>336</v>
      </c>
    </row>
    <row r="134" spans="1:20" x14ac:dyDescent="0.2">
      <c r="A134" t="s">
        <v>478</v>
      </c>
      <c r="B134">
        <v>2.9000000000000001E-2</v>
      </c>
      <c r="C134" s="1">
        <v>125.8402</v>
      </c>
      <c r="D134" s="1">
        <v>4.3726000000000003</v>
      </c>
      <c r="E134">
        <v>2.9</v>
      </c>
      <c r="F134">
        <v>98.9</v>
      </c>
      <c r="G134">
        <v>2.2999999999999998</v>
      </c>
      <c r="H134">
        <v>0.9</v>
      </c>
      <c r="I134">
        <v>171.5</v>
      </c>
      <c r="J134">
        <v>12</v>
      </c>
      <c r="K134">
        <v>1.1000000000000001</v>
      </c>
      <c r="L134">
        <v>0.06</v>
      </c>
      <c r="M134">
        <v>0.64</v>
      </c>
      <c r="N134">
        <v>160</v>
      </c>
      <c r="O134">
        <v>10.5</v>
      </c>
      <c r="P134">
        <v>0.96</v>
      </c>
      <c r="Q134">
        <v>0.03</v>
      </c>
      <c r="R134">
        <v>1.39</v>
      </c>
      <c r="S134">
        <v>8</v>
      </c>
      <c r="T134" t="s">
        <v>336</v>
      </c>
    </row>
    <row r="135" spans="1:20" x14ac:dyDescent="0.2">
      <c r="A135" t="s">
        <v>121</v>
      </c>
      <c r="B135">
        <v>0.22500000000000001</v>
      </c>
      <c r="C135" s="1">
        <v>126.4913</v>
      </c>
      <c r="D135" s="1">
        <v>4.2466999999999997</v>
      </c>
      <c r="E135">
        <v>17.899999999999999</v>
      </c>
      <c r="F135">
        <v>510.3</v>
      </c>
      <c r="G135">
        <v>35.6</v>
      </c>
      <c r="H135">
        <v>17</v>
      </c>
      <c r="I135">
        <v>164.9</v>
      </c>
      <c r="J135">
        <v>13.1</v>
      </c>
      <c r="K135">
        <v>1.02</v>
      </c>
      <c r="L135">
        <v>0.15</v>
      </c>
      <c r="M135">
        <v>0.13</v>
      </c>
      <c r="N135">
        <v>179.4</v>
      </c>
      <c r="O135">
        <v>9.9</v>
      </c>
      <c r="P135">
        <v>0.78</v>
      </c>
      <c r="Q135">
        <v>7.0000000000000007E-2</v>
      </c>
      <c r="R135">
        <v>0.45</v>
      </c>
      <c r="S135">
        <v>11</v>
      </c>
      <c r="T135" t="s">
        <v>336</v>
      </c>
    </row>
    <row r="136" spans="1:20" x14ac:dyDescent="0.2">
      <c r="A136" t="s">
        <v>123</v>
      </c>
      <c r="B136">
        <v>0.24099999999999999</v>
      </c>
      <c r="C136" s="1">
        <v>128.72839999999999</v>
      </c>
      <c r="D136" s="1">
        <v>55.572200000000002</v>
      </c>
      <c r="E136">
        <v>9.4</v>
      </c>
      <c r="F136">
        <v>546.9</v>
      </c>
      <c r="G136">
        <v>14.6</v>
      </c>
      <c r="H136">
        <v>1.2</v>
      </c>
      <c r="I136">
        <v>106.9</v>
      </c>
      <c r="J136">
        <v>2.6</v>
      </c>
      <c r="K136">
        <v>1.25</v>
      </c>
      <c r="L136">
        <v>0.03</v>
      </c>
      <c r="M136">
        <v>1.4</v>
      </c>
      <c r="N136">
        <v>116.1</v>
      </c>
      <c r="O136">
        <v>2.5</v>
      </c>
      <c r="P136">
        <v>0.92</v>
      </c>
      <c r="Q136">
        <v>0.02</v>
      </c>
      <c r="R136">
        <v>5.38</v>
      </c>
      <c r="S136">
        <v>29</v>
      </c>
      <c r="T136" t="s">
        <v>336</v>
      </c>
    </row>
    <row r="137" spans="1:20" x14ac:dyDescent="0.2">
      <c r="A137" t="s">
        <v>480</v>
      </c>
      <c r="B137">
        <v>0.16900000000000001</v>
      </c>
      <c r="C137" s="1">
        <v>130.46639999999999</v>
      </c>
      <c r="D137" s="1">
        <v>-17.462700000000002</v>
      </c>
      <c r="E137">
        <v>14.3</v>
      </c>
      <c r="F137">
        <v>392.5</v>
      </c>
      <c r="G137">
        <v>76.099999999999994</v>
      </c>
      <c r="H137">
        <v>20.6</v>
      </c>
      <c r="I137">
        <v>240.9</v>
      </c>
      <c r="J137">
        <v>8.6</v>
      </c>
      <c r="K137">
        <v>0.99</v>
      </c>
      <c r="L137">
        <v>0.12</v>
      </c>
      <c r="M137">
        <v>0.43</v>
      </c>
      <c r="N137">
        <v>253.3</v>
      </c>
      <c r="O137">
        <v>7.6</v>
      </c>
      <c r="P137">
        <v>0.68</v>
      </c>
      <c r="Q137">
        <v>0.06</v>
      </c>
      <c r="R137">
        <v>0.74</v>
      </c>
      <c r="S137">
        <v>27</v>
      </c>
      <c r="T137" t="s">
        <v>336</v>
      </c>
    </row>
    <row r="138" spans="1:20" x14ac:dyDescent="0.2">
      <c r="A138" t="s">
        <v>125</v>
      </c>
      <c r="B138">
        <v>0.19400000000000001</v>
      </c>
      <c r="C138" s="1">
        <v>130.7329</v>
      </c>
      <c r="D138" s="1">
        <v>29.457599999999999</v>
      </c>
      <c r="E138">
        <v>8</v>
      </c>
      <c r="F138">
        <v>494.5</v>
      </c>
      <c r="G138">
        <v>22.2</v>
      </c>
      <c r="H138">
        <v>1.9</v>
      </c>
      <c r="I138">
        <v>125.7</v>
      </c>
      <c r="J138">
        <v>4.8</v>
      </c>
      <c r="K138">
        <v>1.49</v>
      </c>
      <c r="L138">
        <v>0.04</v>
      </c>
      <c r="M138">
        <v>0.56999999999999995</v>
      </c>
      <c r="N138">
        <v>140.19999999999999</v>
      </c>
      <c r="O138">
        <v>4.3</v>
      </c>
      <c r="P138">
        <v>0.95</v>
      </c>
      <c r="Q138">
        <v>0.04</v>
      </c>
      <c r="R138">
        <v>4.58</v>
      </c>
      <c r="S138">
        <v>22</v>
      </c>
      <c r="T138" t="s">
        <v>336</v>
      </c>
    </row>
    <row r="139" spans="1:20" x14ac:dyDescent="0.2">
      <c r="A139" t="s">
        <v>126</v>
      </c>
      <c r="B139">
        <v>0.28199999999999997</v>
      </c>
      <c r="C139" s="1">
        <v>130.73990000000001</v>
      </c>
      <c r="D139" s="1">
        <v>36.366399999999999</v>
      </c>
      <c r="E139">
        <v>21.2</v>
      </c>
      <c r="F139">
        <v>1237.8</v>
      </c>
      <c r="G139">
        <v>221.8</v>
      </c>
      <c r="H139">
        <v>23.8</v>
      </c>
      <c r="I139">
        <v>283.39999999999998</v>
      </c>
      <c r="J139">
        <v>13.9</v>
      </c>
      <c r="K139">
        <v>1.57</v>
      </c>
      <c r="L139">
        <v>0.08</v>
      </c>
      <c r="M139">
        <v>0.32</v>
      </c>
      <c r="N139">
        <v>254.9</v>
      </c>
      <c r="O139">
        <v>13.8</v>
      </c>
      <c r="P139">
        <v>0.84</v>
      </c>
      <c r="Q139">
        <v>0.05</v>
      </c>
      <c r="R139">
        <v>1.68</v>
      </c>
      <c r="S139">
        <v>35</v>
      </c>
      <c r="T139" t="s">
        <v>336</v>
      </c>
    </row>
    <row r="140" spans="1:20" x14ac:dyDescent="0.2">
      <c r="A140" t="s">
        <v>759</v>
      </c>
      <c r="B140">
        <v>0.378</v>
      </c>
      <c r="C140" s="1">
        <v>132.52780000000001</v>
      </c>
      <c r="D140" s="1">
        <v>36.071199999999997</v>
      </c>
      <c r="E140">
        <v>25.8</v>
      </c>
      <c r="F140">
        <v>889.7</v>
      </c>
      <c r="G140">
        <v>234.5</v>
      </c>
      <c r="H140">
        <v>60.5</v>
      </c>
      <c r="I140">
        <v>296.39999999999998</v>
      </c>
      <c r="J140">
        <v>33.200000000000003</v>
      </c>
      <c r="K140">
        <v>1.47</v>
      </c>
      <c r="L140">
        <v>0.17</v>
      </c>
      <c r="M140">
        <v>0.34</v>
      </c>
      <c r="N140">
        <v>221.6</v>
      </c>
      <c r="O140">
        <v>21</v>
      </c>
      <c r="P140">
        <v>0.89</v>
      </c>
      <c r="Q140">
        <v>0.08</v>
      </c>
      <c r="R140">
        <v>0.94</v>
      </c>
      <c r="S140">
        <v>17</v>
      </c>
      <c r="T140" t="s">
        <v>850</v>
      </c>
    </row>
    <row r="141" spans="1:20" x14ac:dyDescent="0.2">
      <c r="A141" t="s">
        <v>129</v>
      </c>
      <c r="B141">
        <v>0.23</v>
      </c>
      <c r="C141" s="1">
        <v>135.15350000000001</v>
      </c>
      <c r="D141" s="1">
        <v>20.894400000000001</v>
      </c>
      <c r="E141">
        <v>9.1</v>
      </c>
      <c r="F141">
        <v>436.9</v>
      </c>
      <c r="G141">
        <v>11.7</v>
      </c>
      <c r="H141">
        <v>3.1</v>
      </c>
      <c r="I141">
        <v>98.3</v>
      </c>
      <c r="J141">
        <v>3.8</v>
      </c>
      <c r="K141">
        <v>1.31</v>
      </c>
      <c r="L141">
        <v>0.06</v>
      </c>
      <c r="M141">
        <v>3.11</v>
      </c>
      <c r="N141">
        <v>106.9</v>
      </c>
      <c r="O141">
        <v>2.6</v>
      </c>
      <c r="P141">
        <v>1.1100000000000001</v>
      </c>
      <c r="Q141">
        <v>0.02</v>
      </c>
      <c r="R141">
        <v>3.62</v>
      </c>
      <c r="S141">
        <v>21</v>
      </c>
      <c r="T141" t="s">
        <v>328</v>
      </c>
    </row>
    <row r="142" spans="1:20" x14ac:dyDescent="0.2">
      <c r="A142" t="s">
        <v>130</v>
      </c>
      <c r="B142">
        <v>7.2999999999999995E-2</v>
      </c>
      <c r="C142" s="1">
        <v>136.8355</v>
      </c>
      <c r="D142" s="1">
        <v>16.651700000000002</v>
      </c>
      <c r="E142">
        <v>6.9</v>
      </c>
      <c r="F142">
        <v>356.7</v>
      </c>
      <c r="G142">
        <v>7.4</v>
      </c>
      <c r="H142">
        <v>25.5</v>
      </c>
      <c r="I142">
        <v>179</v>
      </c>
      <c r="J142">
        <v>6.4</v>
      </c>
      <c r="K142">
        <v>0.5</v>
      </c>
      <c r="L142">
        <v>0.23</v>
      </c>
      <c r="M142">
        <v>0.64</v>
      </c>
      <c r="N142">
        <v>179.8</v>
      </c>
      <c r="O142">
        <v>5.8</v>
      </c>
      <c r="P142">
        <v>0.46</v>
      </c>
      <c r="Q142">
        <v>7.0000000000000007E-2</v>
      </c>
      <c r="R142">
        <v>0.62</v>
      </c>
      <c r="S142">
        <v>25</v>
      </c>
      <c r="T142" t="s">
        <v>336</v>
      </c>
    </row>
    <row r="143" spans="1:20" x14ac:dyDescent="0.2">
      <c r="A143" t="s">
        <v>131</v>
      </c>
      <c r="B143">
        <v>0.18</v>
      </c>
      <c r="C143" s="1">
        <v>137.3031</v>
      </c>
      <c r="D143" s="1">
        <v>10.9748</v>
      </c>
      <c r="E143">
        <v>15</v>
      </c>
      <c r="F143">
        <v>968.9</v>
      </c>
      <c r="G143">
        <v>59.1</v>
      </c>
      <c r="H143">
        <v>21.9</v>
      </c>
      <c r="I143">
        <v>196.5</v>
      </c>
      <c r="J143">
        <v>6.9</v>
      </c>
      <c r="K143">
        <v>0.72</v>
      </c>
      <c r="L143">
        <v>0.12</v>
      </c>
      <c r="M143">
        <v>0.77</v>
      </c>
      <c r="N143">
        <v>202.5</v>
      </c>
      <c r="O143">
        <v>6.5</v>
      </c>
      <c r="P143">
        <v>0.55000000000000004</v>
      </c>
      <c r="Q143">
        <v>0.05</v>
      </c>
      <c r="R143">
        <v>0.89</v>
      </c>
      <c r="S143">
        <v>40</v>
      </c>
      <c r="T143" t="s">
        <v>336</v>
      </c>
    </row>
    <row r="144" spans="1:20" x14ac:dyDescent="0.2">
      <c r="A144" t="s">
        <v>132</v>
      </c>
      <c r="B144">
        <v>0.442</v>
      </c>
      <c r="C144" s="1">
        <v>138.43950000000001</v>
      </c>
      <c r="D144" s="1">
        <v>40.941299999999998</v>
      </c>
      <c r="E144">
        <v>14.2</v>
      </c>
      <c r="F144">
        <v>780.2</v>
      </c>
      <c r="G144">
        <v>23.7</v>
      </c>
      <c r="H144">
        <v>2.8</v>
      </c>
      <c r="I144">
        <v>120.2</v>
      </c>
      <c r="J144">
        <v>3.9</v>
      </c>
      <c r="K144">
        <v>1.1599999999999999</v>
      </c>
      <c r="L144">
        <v>0.04</v>
      </c>
      <c r="M144">
        <v>0.31</v>
      </c>
      <c r="N144">
        <v>136.6</v>
      </c>
      <c r="O144">
        <v>3</v>
      </c>
      <c r="P144">
        <v>0.89</v>
      </c>
      <c r="Q144">
        <v>0.02</v>
      </c>
      <c r="R144">
        <v>3.03</v>
      </c>
      <c r="S144">
        <v>19</v>
      </c>
      <c r="T144" t="s">
        <v>336</v>
      </c>
    </row>
    <row r="145" spans="1:20" x14ac:dyDescent="0.2">
      <c r="A145" t="s">
        <v>133</v>
      </c>
      <c r="B145">
        <v>0.217</v>
      </c>
      <c r="C145" s="1">
        <v>139.47110000000001</v>
      </c>
      <c r="D145" s="1">
        <v>51.728000000000002</v>
      </c>
      <c r="E145">
        <v>17.399999999999999</v>
      </c>
      <c r="F145">
        <v>879.3</v>
      </c>
      <c r="G145">
        <v>208.8</v>
      </c>
      <c r="H145">
        <v>21</v>
      </c>
      <c r="I145">
        <v>248</v>
      </c>
      <c r="J145">
        <v>12.5</v>
      </c>
      <c r="K145">
        <v>1.69</v>
      </c>
      <c r="L145">
        <v>0.1</v>
      </c>
      <c r="M145">
        <v>0.51</v>
      </c>
      <c r="N145">
        <v>211.1</v>
      </c>
      <c r="O145">
        <v>11.3</v>
      </c>
      <c r="P145">
        <v>0.82</v>
      </c>
      <c r="Q145">
        <v>0.06</v>
      </c>
      <c r="R145">
        <v>1.76</v>
      </c>
      <c r="S145">
        <v>39</v>
      </c>
      <c r="T145" t="s">
        <v>336</v>
      </c>
    </row>
    <row r="146" spans="1:20" x14ac:dyDescent="0.2">
      <c r="A146" t="s">
        <v>490</v>
      </c>
      <c r="B146">
        <v>5.5E-2</v>
      </c>
      <c r="C146" s="1">
        <v>139.52459999999999</v>
      </c>
      <c r="D146" s="1">
        <v>-12.095700000000001</v>
      </c>
      <c r="E146">
        <v>2.6</v>
      </c>
      <c r="F146">
        <v>176.7</v>
      </c>
      <c r="G146">
        <v>12.9</v>
      </c>
      <c r="H146">
        <v>0.3</v>
      </c>
      <c r="I146">
        <v>115.2</v>
      </c>
      <c r="J146">
        <v>0.6</v>
      </c>
      <c r="K146">
        <v>1.0900000000000001</v>
      </c>
      <c r="L146">
        <v>0.01</v>
      </c>
      <c r="M146">
        <v>5.16</v>
      </c>
      <c r="N146">
        <v>111.1</v>
      </c>
      <c r="O146">
        <v>0.6</v>
      </c>
      <c r="P146">
        <v>0.76</v>
      </c>
      <c r="Q146">
        <v>0.01</v>
      </c>
      <c r="R146">
        <v>36.840000000000003</v>
      </c>
      <c r="S146">
        <v>34</v>
      </c>
      <c r="T146" t="s">
        <v>336</v>
      </c>
    </row>
    <row r="147" spans="1:20" x14ac:dyDescent="0.2">
      <c r="A147" t="s">
        <v>135</v>
      </c>
      <c r="B147">
        <v>0.25800000000000001</v>
      </c>
      <c r="C147" s="1">
        <v>140.11179999999999</v>
      </c>
      <c r="D147" s="1">
        <v>30.492699999999999</v>
      </c>
      <c r="E147">
        <v>29.8</v>
      </c>
      <c r="F147">
        <v>972.1</v>
      </c>
      <c r="G147">
        <v>154.19999999999999</v>
      </c>
      <c r="H147">
        <v>81.3</v>
      </c>
      <c r="I147">
        <v>334.5</v>
      </c>
      <c r="J147">
        <v>20.7</v>
      </c>
      <c r="K147">
        <v>0.65</v>
      </c>
      <c r="L147">
        <v>0.28999999999999998</v>
      </c>
      <c r="M147">
        <v>0.35</v>
      </c>
      <c r="N147">
        <v>342.7</v>
      </c>
      <c r="O147">
        <v>20.6</v>
      </c>
      <c r="P147">
        <v>0.42</v>
      </c>
      <c r="Q147">
        <v>0.09</v>
      </c>
      <c r="R147">
        <v>0.42</v>
      </c>
      <c r="S147">
        <v>21</v>
      </c>
      <c r="T147" t="s">
        <v>336</v>
      </c>
    </row>
    <row r="148" spans="1:20" x14ac:dyDescent="0.2">
      <c r="A148" t="s">
        <v>137</v>
      </c>
      <c r="B148">
        <v>0.13600000000000001</v>
      </c>
      <c r="C148" s="1">
        <v>141.0241</v>
      </c>
      <c r="D148" s="1">
        <v>14.1739</v>
      </c>
      <c r="E148">
        <v>6</v>
      </c>
      <c r="F148">
        <v>416.7</v>
      </c>
      <c r="G148">
        <v>20.6</v>
      </c>
      <c r="H148">
        <v>2.8</v>
      </c>
      <c r="I148">
        <v>140.6</v>
      </c>
      <c r="J148">
        <v>3.5</v>
      </c>
      <c r="K148">
        <v>1.07</v>
      </c>
      <c r="L148">
        <v>0.04</v>
      </c>
      <c r="M148">
        <v>0.83</v>
      </c>
      <c r="N148">
        <v>152.4</v>
      </c>
      <c r="O148">
        <v>2.8</v>
      </c>
      <c r="P148">
        <v>0.86</v>
      </c>
      <c r="Q148">
        <v>0.02</v>
      </c>
      <c r="R148">
        <v>2.12</v>
      </c>
      <c r="S148">
        <v>34</v>
      </c>
      <c r="T148" t="s">
        <v>336</v>
      </c>
    </row>
    <row r="149" spans="1:20" x14ac:dyDescent="0.2">
      <c r="A149" t="s">
        <v>138</v>
      </c>
      <c r="B149">
        <v>2.7E-2</v>
      </c>
      <c r="C149" s="1">
        <v>143.35730000000001</v>
      </c>
      <c r="D149" s="1">
        <v>34.048099999999998</v>
      </c>
      <c r="E149">
        <v>4</v>
      </c>
      <c r="F149">
        <v>48.2</v>
      </c>
      <c r="G149">
        <v>1.5</v>
      </c>
      <c r="H149">
        <v>5.7</v>
      </c>
      <c r="I149">
        <v>90.7</v>
      </c>
      <c r="J149">
        <v>13</v>
      </c>
      <c r="K149">
        <v>0.68</v>
      </c>
      <c r="L149">
        <v>0.28000000000000003</v>
      </c>
      <c r="M149">
        <v>0.66</v>
      </c>
      <c r="N149">
        <v>88</v>
      </c>
      <c r="O149">
        <v>6.3</v>
      </c>
      <c r="P149">
        <v>0.64</v>
      </c>
      <c r="Q149">
        <v>0.06</v>
      </c>
      <c r="R149">
        <v>0.51</v>
      </c>
      <c r="S149">
        <v>6</v>
      </c>
      <c r="T149" t="s">
        <v>336</v>
      </c>
    </row>
    <row r="150" spans="1:20" x14ac:dyDescent="0.2">
      <c r="A150" t="s">
        <v>139</v>
      </c>
      <c r="B150">
        <v>0.36</v>
      </c>
      <c r="C150" s="1">
        <v>144.5847</v>
      </c>
      <c r="D150" s="1">
        <v>52.048400000000001</v>
      </c>
      <c r="E150">
        <v>25</v>
      </c>
      <c r="F150">
        <v>237.4</v>
      </c>
      <c r="G150">
        <v>107.5</v>
      </c>
      <c r="H150">
        <v>14.3</v>
      </c>
      <c r="I150">
        <v>152.6</v>
      </c>
      <c r="J150">
        <v>11.3</v>
      </c>
      <c r="K150">
        <v>2.33</v>
      </c>
      <c r="L150">
        <v>0.25</v>
      </c>
      <c r="M150">
        <v>0.33</v>
      </c>
      <c r="N150">
        <v>174.3</v>
      </c>
      <c r="O150">
        <v>9.3000000000000007</v>
      </c>
      <c r="P150">
        <v>0.6</v>
      </c>
      <c r="Q150">
        <v>0.17</v>
      </c>
      <c r="R150">
        <v>2.59</v>
      </c>
      <c r="S150">
        <v>9</v>
      </c>
      <c r="T150" t="s">
        <v>336</v>
      </c>
    </row>
    <row r="151" spans="1:20" x14ac:dyDescent="0.2">
      <c r="A151" t="s">
        <v>496</v>
      </c>
      <c r="B151">
        <v>0.153</v>
      </c>
      <c r="C151" s="1">
        <v>146.35890000000001</v>
      </c>
      <c r="D151" s="1">
        <v>-8.6568000000000005</v>
      </c>
      <c r="E151">
        <v>26.3</v>
      </c>
      <c r="F151">
        <v>815.1</v>
      </c>
      <c r="G151">
        <v>222.3</v>
      </c>
      <c r="H151">
        <v>14.4</v>
      </c>
      <c r="I151">
        <v>225.3</v>
      </c>
      <c r="J151">
        <v>13.2</v>
      </c>
      <c r="K151">
        <v>2.81</v>
      </c>
      <c r="L151">
        <v>0.13</v>
      </c>
      <c r="M151">
        <v>0.6</v>
      </c>
      <c r="N151">
        <v>215.8</v>
      </c>
      <c r="O151">
        <v>13.1</v>
      </c>
      <c r="P151">
        <v>0.41</v>
      </c>
      <c r="Q151">
        <v>0.13</v>
      </c>
      <c r="R151">
        <v>2.37</v>
      </c>
      <c r="S151">
        <v>24</v>
      </c>
      <c r="T151" t="s">
        <v>336</v>
      </c>
    </row>
    <row r="152" spans="1:20" x14ac:dyDescent="0.2">
      <c r="A152" t="s">
        <v>497</v>
      </c>
      <c r="B152">
        <v>0.35399999999999998</v>
      </c>
      <c r="C152" s="1">
        <v>146.80279999999999</v>
      </c>
      <c r="D152" s="1">
        <v>76.387100000000004</v>
      </c>
      <c r="E152">
        <v>12.4</v>
      </c>
      <c r="F152">
        <v>667.5</v>
      </c>
      <c r="G152">
        <v>22.5</v>
      </c>
      <c r="H152">
        <v>2</v>
      </c>
      <c r="I152">
        <v>98.3</v>
      </c>
      <c r="J152">
        <v>3.8</v>
      </c>
      <c r="K152">
        <v>1.64</v>
      </c>
      <c r="L152">
        <v>0.03</v>
      </c>
      <c r="M152">
        <v>1.99</v>
      </c>
      <c r="N152">
        <v>119.4</v>
      </c>
      <c r="O152">
        <v>2.8</v>
      </c>
      <c r="P152">
        <v>1.25</v>
      </c>
      <c r="Q152">
        <v>0.02</v>
      </c>
      <c r="R152">
        <v>6.17</v>
      </c>
      <c r="S152">
        <v>24</v>
      </c>
      <c r="T152" t="s">
        <v>336</v>
      </c>
    </row>
    <row r="153" spans="1:20" x14ac:dyDescent="0.2">
      <c r="A153" t="s">
        <v>140</v>
      </c>
      <c r="B153">
        <v>0.214</v>
      </c>
      <c r="C153" s="1">
        <v>148.2056</v>
      </c>
      <c r="D153" s="1">
        <v>51.8842</v>
      </c>
      <c r="E153">
        <v>8.6</v>
      </c>
      <c r="F153">
        <v>577.1</v>
      </c>
      <c r="G153">
        <v>29.5</v>
      </c>
      <c r="H153">
        <v>2.1</v>
      </c>
      <c r="I153">
        <v>126</v>
      </c>
      <c r="J153">
        <v>3</v>
      </c>
      <c r="K153">
        <v>1.37</v>
      </c>
      <c r="L153">
        <v>0.03</v>
      </c>
      <c r="M153">
        <v>0.67</v>
      </c>
      <c r="N153">
        <v>141.80000000000001</v>
      </c>
      <c r="O153">
        <v>2.5</v>
      </c>
      <c r="P153">
        <v>0.95</v>
      </c>
      <c r="Q153">
        <v>0.02</v>
      </c>
      <c r="R153">
        <v>4.9800000000000004</v>
      </c>
      <c r="S153">
        <v>34</v>
      </c>
      <c r="T153" t="s">
        <v>328</v>
      </c>
    </row>
    <row r="154" spans="1:20" x14ac:dyDescent="0.2">
      <c r="A154" t="s">
        <v>143</v>
      </c>
      <c r="B154">
        <v>0.153</v>
      </c>
      <c r="C154" s="1">
        <v>149.5917</v>
      </c>
      <c r="D154" s="1">
        <v>-11.064</v>
      </c>
      <c r="E154">
        <v>6.6</v>
      </c>
      <c r="F154">
        <v>887.4</v>
      </c>
      <c r="G154">
        <v>12.4</v>
      </c>
      <c r="H154">
        <v>1.9</v>
      </c>
      <c r="I154">
        <v>151.4</v>
      </c>
      <c r="J154">
        <v>2.8</v>
      </c>
      <c r="K154">
        <v>0.94</v>
      </c>
      <c r="L154">
        <v>0.02</v>
      </c>
      <c r="M154">
        <v>1.1299999999999999</v>
      </c>
      <c r="N154">
        <v>160.6</v>
      </c>
      <c r="O154">
        <v>2.2999999999999998</v>
      </c>
      <c r="P154">
        <v>0.83</v>
      </c>
      <c r="Q154">
        <v>0.01</v>
      </c>
      <c r="R154">
        <v>1.69</v>
      </c>
      <c r="S154">
        <v>65</v>
      </c>
      <c r="T154" t="s">
        <v>336</v>
      </c>
    </row>
    <row r="155" spans="1:20" x14ac:dyDescent="0.2">
      <c r="A155" t="s">
        <v>144</v>
      </c>
      <c r="B155">
        <v>0.24</v>
      </c>
      <c r="C155" s="1">
        <v>150.0067</v>
      </c>
      <c r="D155" s="1">
        <v>-30.277200000000001</v>
      </c>
      <c r="E155">
        <v>18.8</v>
      </c>
      <c r="F155">
        <v>921.2</v>
      </c>
      <c r="G155">
        <v>102.8</v>
      </c>
      <c r="H155">
        <v>42.4</v>
      </c>
      <c r="I155">
        <v>271.3</v>
      </c>
      <c r="J155">
        <v>14.4</v>
      </c>
      <c r="K155">
        <v>0.81</v>
      </c>
      <c r="L155">
        <v>0.17</v>
      </c>
      <c r="M155">
        <v>0.52</v>
      </c>
      <c r="N155">
        <v>280.89999999999998</v>
      </c>
      <c r="O155">
        <v>14</v>
      </c>
      <c r="P155">
        <v>0.57999999999999996</v>
      </c>
      <c r="Q155">
        <v>7.0000000000000007E-2</v>
      </c>
      <c r="R155">
        <v>0.64</v>
      </c>
      <c r="S155">
        <v>26</v>
      </c>
      <c r="T155" t="s">
        <v>336</v>
      </c>
    </row>
    <row r="156" spans="1:20" x14ac:dyDescent="0.2">
      <c r="A156" t="s">
        <v>504</v>
      </c>
      <c r="B156">
        <v>1.3299999999999999E-2</v>
      </c>
      <c r="C156" s="1">
        <v>150.05930000000001</v>
      </c>
      <c r="D156" s="1">
        <v>-19.636299999999999</v>
      </c>
      <c r="E156">
        <v>0.7</v>
      </c>
      <c r="F156">
        <v>10</v>
      </c>
      <c r="G156">
        <v>-0.1</v>
      </c>
      <c r="H156">
        <v>1</v>
      </c>
      <c r="I156">
        <v>90.6</v>
      </c>
      <c r="J156">
        <v>24</v>
      </c>
      <c r="K156">
        <v>0.69</v>
      </c>
      <c r="L156">
        <v>0.17</v>
      </c>
      <c r="M156">
        <v>2.1</v>
      </c>
      <c r="N156">
        <v>92.5</v>
      </c>
      <c r="O156">
        <v>9.6999999999999993</v>
      </c>
      <c r="P156">
        <v>0.7</v>
      </c>
      <c r="Q156">
        <v>0.04</v>
      </c>
      <c r="R156">
        <v>1.75</v>
      </c>
      <c r="S156">
        <v>8</v>
      </c>
      <c r="T156" t="s">
        <v>336</v>
      </c>
    </row>
    <row r="157" spans="1:20" x14ac:dyDescent="0.2">
      <c r="A157" t="s">
        <v>145</v>
      </c>
      <c r="B157">
        <v>0.154</v>
      </c>
      <c r="C157" s="1">
        <v>150.13069999999999</v>
      </c>
      <c r="D157" s="1">
        <v>44.145800000000001</v>
      </c>
      <c r="E157">
        <v>13.2</v>
      </c>
      <c r="F157">
        <v>416.4</v>
      </c>
      <c r="G157">
        <v>25.8</v>
      </c>
      <c r="H157">
        <v>6</v>
      </c>
      <c r="I157">
        <v>126.5</v>
      </c>
      <c r="J157">
        <v>5.7</v>
      </c>
      <c r="K157">
        <v>1.05</v>
      </c>
      <c r="L157">
        <v>0.09</v>
      </c>
      <c r="M157">
        <v>0.16</v>
      </c>
      <c r="N157">
        <v>136.69999999999999</v>
      </c>
      <c r="O157">
        <v>4.3</v>
      </c>
      <c r="P157">
        <v>0.77</v>
      </c>
      <c r="Q157">
        <v>0.05</v>
      </c>
      <c r="R157">
        <v>1</v>
      </c>
      <c r="S157">
        <v>16</v>
      </c>
      <c r="T157" t="s">
        <v>336</v>
      </c>
    </row>
    <row r="158" spans="1:20" x14ac:dyDescent="0.2">
      <c r="A158" t="s">
        <v>147</v>
      </c>
      <c r="B158">
        <v>0.221</v>
      </c>
      <c r="C158" s="1">
        <v>152.19810000000001</v>
      </c>
      <c r="D158" s="1">
        <v>11.790800000000001</v>
      </c>
      <c r="E158">
        <v>17.7</v>
      </c>
      <c r="F158">
        <v>900.6</v>
      </c>
      <c r="G158">
        <v>137.5</v>
      </c>
      <c r="H158">
        <v>15.8</v>
      </c>
      <c r="I158">
        <v>202.8</v>
      </c>
      <c r="J158">
        <v>7.7</v>
      </c>
      <c r="K158">
        <v>1.36</v>
      </c>
      <c r="L158">
        <v>0.09</v>
      </c>
      <c r="M158">
        <v>0.55000000000000004</v>
      </c>
      <c r="N158">
        <v>206.5</v>
      </c>
      <c r="O158">
        <v>8.1999999999999993</v>
      </c>
      <c r="P158">
        <v>0.74</v>
      </c>
      <c r="Q158">
        <v>0.05</v>
      </c>
      <c r="R158">
        <v>1.53</v>
      </c>
      <c r="S158">
        <v>39</v>
      </c>
      <c r="T158" t="s">
        <v>336</v>
      </c>
    </row>
    <row r="159" spans="1:20" x14ac:dyDescent="0.2">
      <c r="A159" t="s">
        <v>148</v>
      </c>
      <c r="B159">
        <v>0.30099999999999999</v>
      </c>
      <c r="C159" s="1">
        <v>152.63550000000001</v>
      </c>
      <c r="D159" s="1">
        <v>-12.6633</v>
      </c>
      <c r="E159">
        <v>22.2</v>
      </c>
      <c r="F159">
        <v>764.4</v>
      </c>
      <c r="G159">
        <v>43.7</v>
      </c>
      <c r="H159">
        <v>38.299999999999997</v>
      </c>
      <c r="I159">
        <v>244.9</v>
      </c>
      <c r="J159">
        <v>10.8</v>
      </c>
      <c r="K159">
        <v>0.61</v>
      </c>
      <c r="L159">
        <v>0.17</v>
      </c>
      <c r="M159">
        <v>0.82</v>
      </c>
      <c r="N159">
        <v>251</v>
      </c>
      <c r="O159">
        <v>9.1</v>
      </c>
      <c r="P159">
        <v>0.51</v>
      </c>
      <c r="Q159">
        <v>0.06</v>
      </c>
      <c r="R159">
        <v>0.82</v>
      </c>
      <c r="S159">
        <v>25</v>
      </c>
      <c r="T159" t="s">
        <v>336</v>
      </c>
    </row>
    <row r="160" spans="1:20" x14ac:dyDescent="0.2">
      <c r="A160" t="s">
        <v>149</v>
      </c>
      <c r="B160">
        <v>0.20599999999999999</v>
      </c>
      <c r="C160" s="1">
        <v>154.26519999999999</v>
      </c>
      <c r="D160" s="1">
        <v>39.0471</v>
      </c>
      <c r="E160">
        <v>8.4</v>
      </c>
      <c r="F160">
        <v>643.79999999999995</v>
      </c>
      <c r="G160">
        <v>38.5</v>
      </c>
      <c r="H160">
        <v>8.8000000000000007</v>
      </c>
      <c r="I160">
        <v>189.7</v>
      </c>
      <c r="J160">
        <v>6</v>
      </c>
      <c r="K160">
        <v>0.82</v>
      </c>
      <c r="L160">
        <v>7.0000000000000007E-2</v>
      </c>
      <c r="M160">
        <v>0.43</v>
      </c>
      <c r="N160">
        <v>202.4</v>
      </c>
      <c r="O160">
        <v>4.8</v>
      </c>
      <c r="P160">
        <v>0.64</v>
      </c>
      <c r="Q160">
        <v>0.03</v>
      </c>
      <c r="R160">
        <v>0.8</v>
      </c>
      <c r="S160">
        <v>37</v>
      </c>
      <c r="T160" t="s">
        <v>336</v>
      </c>
    </row>
    <row r="161" spans="1:20" x14ac:dyDescent="0.2">
      <c r="A161" t="s">
        <v>506</v>
      </c>
      <c r="B161">
        <v>5.8999999999999997E-2</v>
      </c>
      <c r="C161" s="1">
        <v>154.34809999999999</v>
      </c>
      <c r="D161" s="1">
        <v>-10.6851</v>
      </c>
      <c r="E161">
        <v>11.3</v>
      </c>
      <c r="F161">
        <v>450.7</v>
      </c>
      <c r="G161">
        <v>93.1</v>
      </c>
      <c r="H161">
        <v>15.5</v>
      </c>
      <c r="I161">
        <v>208.8</v>
      </c>
      <c r="J161">
        <v>7.2</v>
      </c>
      <c r="K161">
        <v>1.1000000000000001</v>
      </c>
      <c r="L161">
        <v>0.1</v>
      </c>
      <c r="M161">
        <v>0.43</v>
      </c>
      <c r="N161">
        <v>223.6</v>
      </c>
      <c r="O161">
        <v>6.7</v>
      </c>
      <c r="P161">
        <v>0.68</v>
      </c>
      <c r="Q161">
        <v>0.05</v>
      </c>
      <c r="R161">
        <v>1.06</v>
      </c>
      <c r="S161">
        <v>33</v>
      </c>
      <c r="T161" t="s">
        <v>336</v>
      </c>
    </row>
    <row r="162" spans="1:20" x14ac:dyDescent="0.2">
      <c r="A162" t="s">
        <v>507</v>
      </c>
      <c r="B162">
        <v>4.9000000000000002E-2</v>
      </c>
      <c r="C162" s="1">
        <v>155.54159999999999</v>
      </c>
      <c r="D162" s="1">
        <v>38.523000000000003</v>
      </c>
      <c r="E162">
        <v>4.7</v>
      </c>
      <c r="F162">
        <v>116</v>
      </c>
      <c r="G162">
        <v>14.7</v>
      </c>
      <c r="H162">
        <v>9.1</v>
      </c>
      <c r="I162">
        <v>221.8</v>
      </c>
      <c r="J162">
        <v>17.100000000000001</v>
      </c>
      <c r="K162">
        <v>0.82</v>
      </c>
      <c r="L162">
        <v>0.18</v>
      </c>
      <c r="M162">
        <v>0.37</v>
      </c>
      <c r="N162">
        <v>207.7</v>
      </c>
      <c r="O162">
        <v>12.6</v>
      </c>
      <c r="P162">
        <v>0.64</v>
      </c>
      <c r="Q162">
        <v>0.06</v>
      </c>
      <c r="R162">
        <v>0.43</v>
      </c>
      <c r="S162">
        <v>22</v>
      </c>
      <c r="T162" t="s">
        <v>328</v>
      </c>
    </row>
    <row r="163" spans="1:20" x14ac:dyDescent="0.2">
      <c r="A163" t="s">
        <v>508</v>
      </c>
      <c r="B163">
        <v>0.158</v>
      </c>
      <c r="C163" s="1">
        <v>155.6182</v>
      </c>
      <c r="D163" s="1">
        <v>50.106099999999998</v>
      </c>
      <c r="E163">
        <v>20.3</v>
      </c>
      <c r="F163">
        <v>567.1</v>
      </c>
      <c r="G163">
        <v>147.19999999999999</v>
      </c>
      <c r="H163">
        <v>24.8</v>
      </c>
      <c r="I163">
        <v>212.9</v>
      </c>
      <c r="J163">
        <v>11.9</v>
      </c>
      <c r="K163">
        <v>1.37</v>
      </c>
      <c r="L163">
        <v>0.17</v>
      </c>
      <c r="M163">
        <v>0.31</v>
      </c>
      <c r="N163">
        <v>225</v>
      </c>
      <c r="O163">
        <v>12.6</v>
      </c>
      <c r="P163">
        <v>0.63</v>
      </c>
      <c r="Q163">
        <v>0.1</v>
      </c>
      <c r="R163">
        <v>1.06</v>
      </c>
      <c r="S163">
        <v>21</v>
      </c>
      <c r="T163" t="s">
        <v>336</v>
      </c>
    </row>
    <row r="164" spans="1:20" x14ac:dyDescent="0.2">
      <c r="A164" t="s">
        <v>509</v>
      </c>
      <c r="B164">
        <v>0.29099999999999998</v>
      </c>
      <c r="C164" s="1">
        <v>155.91540000000001</v>
      </c>
      <c r="D164" s="1">
        <v>4.1863000000000001</v>
      </c>
      <c r="E164">
        <v>10.8</v>
      </c>
      <c r="F164">
        <v>595</v>
      </c>
      <c r="G164">
        <v>14.2</v>
      </c>
      <c r="H164">
        <v>1</v>
      </c>
      <c r="I164">
        <v>104.2</v>
      </c>
      <c r="J164">
        <v>2.4</v>
      </c>
      <c r="K164">
        <v>1.38</v>
      </c>
      <c r="L164">
        <v>0.02</v>
      </c>
      <c r="M164">
        <v>3.37</v>
      </c>
      <c r="N164">
        <v>118.1</v>
      </c>
      <c r="O164">
        <v>2</v>
      </c>
      <c r="P164">
        <v>1.0900000000000001</v>
      </c>
      <c r="Q164">
        <v>0.01</v>
      </c>
      <c r="R164">
        <v>9.06</v>
      </c>
      <c r="S164">
        <v>28</v>
      </c>
      <c r="T164" t="s">
        <v>336</v>
      </c>
    </row>
    <row r="165" spans="1:20" x14ac:dyDescent="0.2">
      <c r="A165" t="s">
        <v>511</v>
      </c>
      <c r="B165">
        <v>0.14399999999999999</v>
      </c>
      <c r="C165" s="1">
        <v>155.9162</v>
      </c>
      <c r="D165" s="1">
        <v>49.144500000000001</v>
      </c>
      <c r="E165">
        <v>18.7</v>
      </c>
      <c r="F165">
        <v>806</v>
      </c>
      <c r="G165">
        <v>157.19999999999999</v>
      </c>
      <c r="H165">
        <v>18.600000000000001</v>
      </c>
      <c r="I165">
        <v>199.8</v>
      </c>
      <c r="J165">
        <v>10.1</v>
      </c>
      <c r="K165">
        <v>1.49</v>
      </c>
      <c r="L165">
        <v>0.13</v>
      </c>
      <c r="M165">
        <v>0.53</v>
      </c>
      <c r="N165">
        <v>201.1</v>
      </c>
      <c r="O165">
        <v>10.7</v>
      </c>
      <c r="P165">
        <v>0.65</v>
      </c>
      <c r="Q165">
        <v>0.08</v>
      </c>
      <c r="R165">
        <v>1.49</v>
      </c>
      <c r="S165">
        <v>28</v>
      </c>
      <c r="T165" t="s">
        <v>336</v>
      </c>
    </row>
    <row r="166" spans="1:20" x14ac:dyDescent="0.2">
      <c r="A166" t="s">
        <v>150</v>
      </c>
      <c r="B166">
        <v>0.253</v>
      </c>
      <c r="C166" s="1">
        <v>155.95920000000001</v>
      </c>
      <c r="D166" s="1">
        <v>-27.256399999999999</v>
      </c>
      <c r="E166">
        <v>9.8000000000000007</v>
      </c>
      <c r="F166">
        <v>674.6</v>
      </c>
      <c r="G166">
        <v>18.100000000000001</v>
      </c>
      <c r="H166">
        <v>1.7</v>
      </c>
      <c r="I166">
        <v>96</v>
      </c>
      <c r="J166">
        <v>3</v>
      </c>
      <c r="K166">
        <v>1.4</v>
      </c>
      <c r="L166">
        <v>0.03</v>
      </c>
      <c r="M166">
        <v>0.6</v>
      </c>
      <c r="N166">
        <v>110.6</v>
      </c>
      <c r="O166">
        <v>2.2999999999999998</v>
      </c>
      <c r="P166">
        <v>1.06</v>
      </c>
      <c r="Q166">
        <v>0.02</v>
      </c>
      <c r="R166">
        <v>3.22</v>
      </c>
      <c r="S166">
        <v>32</v>
      </c>
      <c r="T166" t="s">
        <v>336</v>
      </c>
    </row>
    <row r="167" spans="1:20" x14ac:dyDescent="0.2">
      <c r="A167" t="s">
        <v>151</v>
      </c>
      <c r="B167">
        <v>0.126</v>
      </c>
      <c r="C167" s="1">
        <v>157.93629999999999</v>
      </c>
      <c r="D167" s="1">
        <v>35.040700000000001</v>
      </c>
      <c r="E167">
        <v>11.2</v>
      </c>
      <c r="F167">
        <v>602.29999999999995</v>
      </c>
      <c r="G167">
        <v>91.5</v>
      </c>
      <c r="H167">
        <v>17.100000000000001</v>
      </c>
      <c r="I167">
        <v>237.6</v>
      </c>
      <c r="J167">
        <v>5.7</v>
      </c>
      <c r="K167">
        <v>0.83</v>
      </c>
      <c r="L167">
        <v>0.08</v>
      </c>
      <c r="M167">
        <v>0.96</v>
      </c>
      <c r="N167">
        <v>246.5</v>
      </c>
      <c r="O167">
        <v>5.5</v>
      </c>
      <c r="P167">
        <v>0.57999999999999996</v>
      </c>
      <c r="Q167">
        <v>0.03</v>
      </c>
      <c r="R167">
        <v>1.33</v>
      </c>
      <c r="S167">
        <v>50</v>
      </c>
      <c r="T167" t="s">
        <v>336</v>
      </c>
    </row>
    <row r="168" spans="1:20" x14ac:dyDescent="0.2">
      <c r="A168" t="s">
        <v>514</v>
      </c>
      <c r="B168">
        <v>1.26E-2</v>
      </c>
      <c r="C168" s="1">
        <v>159.1782</v>
      </c>
      <c r="D168" s="1">
        <v>-27.526900000000001</v>
      </c>
      <c r="E168">
        <v>1.3</v>
      </c>
      <c r="F168">
        <v>181</v>
      </c>
      <c r="G168">
        <v>3.4</v>
      </c>
      <c r="H168">
        <v>9.8000000000000007</v>
      </c>
      <c r="I168">
        <v>172.6</v>
      </c>
      <c r="J168">
        <v>2.7</v>
      </c>
      <c r="K168">
        <v>0.39</v>
      </c>
      <c r="L168">
        <v>0.11</v>
      </c>
      <c r="M168">
        <v>0.98</v>
      </c>
      <c r="N168">
        <v>172.4</v>
      </c>
      <c r="O168">
        <v>2.7</v>
      </c>
      <c r="P168">
        <v>0.38</v>
      </c>
      <c r="Q168">
        <v>0.04</v>
      </c>
      <c r="R168">
        <v>0.97</v>
      </c>
      <c r="S168">
        <v>127</v>
      </c>
      <c r="T168" t="s">
        <v>336</v>
      </c>
    </row>
    <row r="169" spans="1:20" x14ac:dyDescent="0.2">
      <c r="A169" t="s">
        <v>153</v>
      </c>
      <c r="B169">
        <v>0.13800000000000001</v>
      </c>
      <c r="C169" s="1">
        <v>160.18549999999999</v>
      </c>
      <c r="D169" s="1">
        <v>39.953400000000002</v>
      </c>
      <c r="E169">
        <v>6</v>
      </c>
      <c r="F169">
        <v>452</v>
      </c>
      <c r="G169">
        <v>7.7</v>
      </c>
      <c r="H169">
        <v>0.7</v>
      </c>
      <c r="I169">
        <v>114</v>
      </c>
      <c r="J169">
        <v>2.5</v>
      </c>
      <c r="K169">
        <v>1.21</v>
      </c>
      <c r="L169">
        <v>0.02</v>
      </c>
      <c r="M169">
        <v>0.95</v>
      </c>
      <c r="N169">
        <v>119.9</v>
      </c>
      <c r="O169">
        <v>2.2999999999999998</v>
      </c>
      <c r="P169">
        <v>0.99</v>
      </c>
      <c r="Q169">
        <v>0.02</v>
      </c>
      <c r="R169">
        <v>3.77</v>
      </c>
      <c r="S169">
        <v>34</v>
      </c>
      <c r="T169" t="s">
        <v>336</v>
      </c>
    </row>
    <row r="170" spans="1:20" x14ac:dyDescent="0.2">
      <c r="A170" t="s">
        <v>517</v>
      </c>
      <c r="B170">
        <v>1.4999999999999999E-2</v>
      </c>
      <c r="C170" s="1">
        <v>162.6086</v>
      </c>
      <c r="D170" s="1">
        <v>-12.845000000000001</v>
      </c>
      <c r="E170">
        <v>0.8</v>
      </c>
      <c r="F170">
        <v>69.400000000000006</v>
      </c>
      <c r="G170">
        <v>1.6</v>
      </c>
      <c r="H170">
        <v>0.1</v>
      </c>
      <c r="I170">
        <v>102.2</v>
      </c>
      <c r="J170">
        <v>2.9</v>
      </c>
      <c r="K170">
        <v>0.92</v>
      </c>
      <c r="L170">
        <v>0.02</v>
      </c>
      <c r="M170">
        <v>1.95</v>
      </c>
      <c r="N170">
        <v>82.9</v>
      </c>
      <c r="O170">
        <v>1.8</v>
      </c>
      <c r="P170">
        <v>0.75</v>
      </c>
      <c r="Q170">
        <v>0.01</v>
      </c>
      <c r="R170">
        <v>4.8899999999999997</v>
      </c>
      <c r="S170">
        <v>40</v>
      </c>
      <c r="T170" t="s">
        <v>336</v>
      </c>
    </row>
    <row r="171" spans="1:20" x14ac:dyDescent="0.2">
      <c r="A171" t="s">
        <v>518</v>
      </c>
      <c r="B171">
        <v>7.0000000000000007E-2</v>
      </c>
      <c r="C171" s="1">
        <v>163.38419999999999</v>
      </c>
      <c r="D171" s="1">
        <v>54.875399999999999</v>
      </c>
      <c r="E171">
        <v>19.8</v>
      </c>
      <c r="F171">
        <v>617.1</v>
      </c>
      <c r="G171">
        <v>-8</v>
      </c>
      <c r="H171">
        <v>14</v>
      </c>
      <c r="I171">
        <v>119</v>
      </c>
      <c r="J171">
        <v>5.4</v>
      </c>
      <c r="K171">
        <v>0.73</v>
      </c>
      <c r="L171">
        <v>0.11</v>
      </c>
      <c r="M171">
        <v>0.45</v>
      </c>
      <c r="N171">
        <v>117.3</v>
      </c>
      <c r="O171">
        <v>4.5999999999999996</v>
      </c>
      <c r="P171">
        <v>0.77</v>
      </c>
      <c r="Q171">
        <v>0.05</v>
      </c>
      <c r="R171">
        <v>0.45</v>
      </c>
      <c r="S171">
        <v>31</v>
      </c>
      <c r="T171" t="s">
        <v>336</v>
      </c>
    </row>
    <row r="172" spans="1:20" x14ac:dyDescent="0.2">
      <c r="A172" t="s">
        <v>154</v>
      </c>
      <c r="B172">
        <v>0.82299999999999995</v>
      </c>
      <c r="C172" s="1">
        <v>164.23269999999999</v>
      </c>
      <c r="D172" s="1">
        <v>-3.6272000000000002</v>
      </c>
      <c r="E172">
        <v>38</v>
      </c>
      <c r="F172">
        <v>284.7</v>
      </c>
      <c r="G172">
        <v>163.80000000000001</v>
      </c>
      <c r="H172">
        <v>35.5</v>
      </c>
      <c r="I172">
        <v>207.4</v>
      </c>
      <c r="J172">
        <v>19.8</v>
      </c>
      <c r="K172">
        <v>2.0099999999999998</v>
      </c>
      <c r="L172">
        <v>0.45</v>
      </c>
      <c r="M172">
        <v>0.61</v>
      </c>
      <c r="N172">
        <v>231.8</v>
      </c>
      <c r="O172">
        <v>17.7</v>
      </c>
      <c r="P172">
        <v>0.51</v>
      </c>
      <c r="Q172">
        <v>0.26</v>
      </c>
      <c r="R172">
        <v>1.27</v>
      </c>
      <c r="S172">
        <v>7</v>
      </c>
      <c r="T172" t="s">
        <v>336</v>
      </c>
    </row>
    <row r="173" spans="1:20" x14ac:dyDescent="0.2">
      <c r="A173" t="s">
        <v>156</v>
      </c>
      <c r="B173">
        <v>0.44900000000000001</v>
      </c>
      <c r="C173" s="1">
        <v>167.2304</v>
      </c>
      <c r="D173" s="1">
        <v>9.0989000000000004</v>
      </c>
      <c r="E173">
        <v>28.6</v>
      </c>
      <c r="F173">
        <v>744.4</v>
      </c>
      <c r="G173">
        <v>-210.7</v>
      </c>
      <c r="H173">
        <v>81.599999999999994</v>
      </c>
      <c r="I173">
        <v>170</v>
      </c>
      <c r="J173">
        <v>12.9</v>
      </c>
      <c r="K173">
        <v>0.44</v>
      </c>
      <c r="L173">
        <v>0.23</v>
      </c>
      <c r="M173">
        <v>0.37</v>
      </c>
      <c r="N173">
        <v>80</v>
      </c>
      <c r="O173">
        <v>5.5</v>
      </c>
      <c r="P173">
        <v>1.26</v>
      </c>
      <c r="Q173">
        <v>0.04</v>
      </c>
      <c r="R173">
        <v>7.17</v>
      </c>
      <c r="S173">
        <v>13</v>
      </c>
      <c r="T173" t="s">
        <v>336</v>
      </c>
    </row>
    <row r="174" spans="1:20" x14ac:dyDescent="0.2">
      <c r="A174" t="s">
        <v>157</v>
      </c>
      <c r="B174">
        <v>3.2000000000000001E-2</v>
      </c>
      <c r="C174" s="1">
        <v>167.43520000000001</v>
      </c>
      <c r="D174" s="1">
        <v>21.7591</v>
      </c>
      <c r="E174">
        <v>3.2</v>
      </c>
      <c r="F174">
        <v>94.6</v>
      </c>
      <c r="G174">
        <v>-36.5</v>
      </c>
      <c r="H174">
        <v>25.1</v>
      </c>
      <c r="I174">
        <v>168.8</v>
      </c>
      <c r="J174">
        <v>6.8</v>
      </c>
      <c r="K174">
        <v>0.39</v>
      </c>
      <c r="L174">
        <v>0.27</v>
      </c>
      <c r="M174">
        <v>0.53</v>
      </c>
      <c r="N174">
        <v>179.1</v>
      </c>
      <c r="O174">
        <v>6</v>
      </c>
      <c r="P174">
        <v>0.66</v>
      </c>
      <c r="Q174">
        <v>0.04</v>
      </c>
      <c r="R174">
        <v>0.96</v>
      </c>
      <c r="S174">
        <v>15</v>
      </c>
      <c r="T174" t="s">
        <v>336</v>
      </c>
    </row>
    <row r="175" spans="1:20" x14ac:dyDescent="0.2">
      <c r="A175" t="s">
        <v>521</v>
      </c>
      <c r="B175">
        <v>2.1999999999999999E-2</v>
      </c>
      <c r="C175" s="1">
        <v>167.66900000000001</v>
      </c>
      <c r="D175" s="1">
        <v>28.713799999999999</v>
      </c>
      <c r="E175">
        <v>5.5</v>
      </c>
      <c r="F175">
        <v>58.1</v>
      </c>
      <c r="G175">
        <v>102.5</v>
      </c>
      <c r="H175">
        <v>36.200000000000003</v>
      </c>
      <c r="I175">
        <v>98.1</v>
      </c>
      <c r="J175">
        <v>14.7</v>
      </c>
      <c r="K175">
        <v>-0.81</v>
      </c>
      <c r="L175">
        <v>1.86</v>
      </c>
      <c r="M175">
        <v>1.86</v>
      </c>
      <c r="N175">
        <v>101.1</v>
      </c>
      <c r="O175">
        <v>12.4</v>
      </c>
      <c r="P175">
        <v>0.16</v>
      </c>
      <c r="Q175">
        <v>0.6</v>
      </c>
      <c r="R175">
        <v>1.25</v>
      </c>
      <c r="S175">
        <v>12</v>
      </c>
      <c r="T175" t="s">
        <v>336</v>
      </c>
    </row>
    <row r="176" spans="1:20" x14ac:dyDescent="0.2">
      <c r="A176" t="s">
        <v>522</v>
      </c>
      <c r="B176">
        <v>7.4999999999999997E-2</v>
      </c>
      <c r="C176" s="1">
        <v>167.91589999999999</v>
      </c>
      <c r="D176" s="1">
        <v>40.840200000000003</v>
      </c>
      <c r="E176">
        <v>17.600000000000001</v>
      </c>
      <c r="F176">
        <v>386.7</v>
      </c>
      <c r="G176">
        <v>266.3</v>
      </c>
      <c r="H176">
        <v>30.4</v>
      </c>
      <c r="I176">
        <v>279.10000000000002</v>
      </c>
      <c r="J176">
        <v>18.100000000000001</v>
      </c>
      <c r="K176">
        <v>2.27</v>
      </c>
      <c r="L176">
        <v>0.53</v>
      </c>
      <c r="M176">
        <v>0.2</v>
      </c>
      <c r="N176">
        <v>296.8</v>
      </c>
      <c r="O176">
        <v>16.899999999999999</v>
      </c>
      <c r="P176">
        <v>0.23</v>
      </c>
      <c r="Q176">
        <v>0.35</v>
      </c>
      <c r="R176">
        <v>0.6</v>
      </c>
      <c r="S176">
        <v>17</v>
      </c>
      <c r="T176" t="s">
        <v>336</v>
      </c>
    </row>
    <row r="177" spans="1:20" x14ac:dyDescent="0.2">
      <c r="A177" t="s">
        <v>158</v>
      </c>
      <c r="B177">
        <v>0.16900000000000001</v>
      </c>
      <c r="C177" s="1">
        <v>168.2278</v>
      </c>
      <c r="D177" s="1">
        <v>13.4339</v>
      </c>
      <c r="E177">
        <v>14.3</v>
      </c>
      <c r="F177">
        <v>206.9</v>
      </c>
      <c r="G177">
        <v>8.6</v>
      </c>
      <c r="H177">
        <v>30.4</v>
      </c>
      <c r="I177">
        <v>216.5</v>
      </c>
      <c r="J177">
        <v>8.4</v>
      </c>
      <c r="K177">
        <v>0.66</v>
      </c>
      <c r="L177">
        <v>0.24</v>
      </c>
      <c r="M177">
        <v>0.68</v>
      </c>
      <c r="N177">
        <v>217.5</v>
      </c>
      <c r="O177">
        <v>7.3</v>
      </c>
      <c r="P177">
        <v>0.62</v>
      </c>
      <c r="Q177">
        <v>0.06</v>
      </c>
      <c r="R177">
        <v>0.63</v>
      </c>
      <c r="S177">
        <v>14</v>
      </c>
      <c r="T177" t="s">
        <v>328</v>
      </c>
    </row>
    <row r="178" spans="1:20" x14ac:dyDescent="0.2">
      <c r="A178" t="s">
        <v>160</v>
      </c>
      <c r="B178">
        <v>0.17100000000000001</v>
      </c>
      <c r="C178" s="1">
        <v>168.33510000000001</v>
      </c>
      <c r="D178" s="1">
        <v>17.5944</v>
      </c>
      <c r="E178">
        <v>7.2</v>
      </c>
      <c r="F178">
        <v>590.79999999999995</v>
      </c>
      <c r="G178">
        <v>13</v>
      </c>
      <c r="H178">
        <v>1.6</v>
      </c>
      <c r="I178">
        <v>95.6</v>
      </c>
      <c r="J178">
        <v>2.9</v>
      </c>
      <c r="K178">
        <v>1.3</v>
      </c>
      <c r="L178">
        <v>0.03</v>
      </c>
      <c r="M178">
        <v>0.76</v>
      </c>
      <c r="N178">
        <v>105.9</v>
      </c>
      <c r="O178">
        <v>2.4</v>
      </c>
      <c r="P178">
        <v>1.04</v>
      </c>
      <c r="Q178">
        <v>0.02</v>
      </c>
      <c r="R178">
        <v>3.21</v>
      </c>
      <c r="S178">
        <v>24</v>
      </c>
      <c r="T178" t="s">
        <v>336</v>
      </c>
    </row>
    <row r="179" spans="1:20" x14ac:dyDescent="0.2">
      <c r="A179" t="s">
        <v>161</v>
      </c>
      <c r="B179">
        <v>0.46600000000000003</v>
      </c>
      <c r="C179" s="1">
        <v>168.8116</v>
      </c>
      <c r="D179" s="1">
        <v>53.333300000000001</v>
      </c>
      <c r="E179">
        <v>43.9</v>
      </c>
      <c r="F179">
        <v>1140.5999999999999</v>
      </c>
      <c r="G179">
        <v>180.3</v>
      </c>
      <c r="H179">
        <v>144.19999999999999</v>
      </c>
      <c r="I179">
        <v>258.8</v>
      </c>
      <c r="J179">
        <v>77.7</v>
      </c>
      <c r="K179">
        <v>1.23</v>
      </c>
      <c r="L179">
        <v>0.31</v>
      </c>
      <c r="M179">
        <v>0.36</v>
      </c>
      <c r="N179">
        <v>184.3</v>
      </c>
      <c r="O179">
        <v>32.799999999999997</v>
      </c>
      <c r="P179">
        <v>0.9</v>
      </c>
      <c r="Q179">
        <v>0.12</v>
      </c>
      <c r="R179">
        <v>0.46</v>
      </c>
      <c r="S179">
        <v>11</v>
      </c>
      <c r="T179" t="s">
        <v>850</v>
      </c>
    </row>
    <row r="180" spans="1:20" x14ac:dyDescent="0.2">
      <c r="A180" t="s">
        <v>162</v>
      </c>
      <c r="B180">
        <v>0.35199999999999998</v>
      </c>
      <c r="C180" s="1">
        <v>168.96610000000001</v>
      </c>
      <c r="D180" s="1">
        <v>1.4990000000000001</v>
      </c>
      <c r="E180">
        <v>12.3</v>
      </c>
      <c r="F180">
        <v>332.5</v>
      </c>
      <c r="G180">
        <v>23.3</v>
      </c>
      <c r="H180">
        <v>2.5</v>
      </c>
      <c r="I180">
        <v>129.1</v>
      </c>
      <c r="J180">
        <v>5.7</v>
      </c>
      <c r="K180">
        <v>1.55</v>
      </c>
      <c r="L180">
        <v>0.06</v>
      </c>
      <c r="M180">
        <v>0.36</v>
      </c>
      <c r="N180">
        <v>145.9</v>
      </c>
      <c r="O180">
        <v>4.8</v>
      </c>
      <c r="P180">
        <v>1.01</v>
      </c>
      <c r="Q180">
        <v>0.04</v>
      </c>
      <c r="R180">
        <v>4.5199999999999996</v>
      </c>
      <c r="S180">
        <v>14</v>
      </c>
      <c r="T180" t="s">
        <v>336</v>
      </c>
    </row>
    <row r="181" spans="1:20" x14ac:dyDescent="0.2">
      <c r="A181" t="s">
        <v>526</v>
      </c>
      <c r="B181">
        <v>2.5999999999999999E-2</v>
      </c>
      <c r="C181" s="1">
        <v>170.60980000000001</v>
      </c>
      <c r="D181" s="1">
        <v>24.2986</v>
      </c>
      <c r="E181">
        <v>1.3</v>
      </c>
      <c r="F181">
        <v>46.4</v>
      </c>
      <c r="G181">
        <v>-7</v>
      </c>
      <c r="H181">
        <v>2.8</v>
      </c>
      <c r="I181">
        <v>124.6</v>
      </c>
      <c r="J181">
        <v>10.6</v>
      </c>
      <c r="K181">
        <v>0.56000000000000005</v>
      </c>
      <c r="L181">
        <v>0.12</v>
      </c>
      <c r="M181">
        <v>0.72</v>
      </c>
      <c r="N181">
        <v>159.1</v>
      </c>
      <c r="O181">
        <v>8.5</v>
      </c>
      <c r="P181">
        <v>0.8</v>
      </c>
      <c r="Q181">
        <v>0.02</v>
      </c>
      <c r="R181">
        <v>2.4</v>
      </c>
      <c r="S181">
        <v>10</v>
      </c>
      <c r="T181" t="s">
        <v>336</v>
      </c>
    </row>
    <row r="182" spans="1:20" x14ac:dyDescent="0.2">
      <c r="A182" t="s">
        <v>164</v>
      </c>
      <c r="B182">
        <v>0.06</v>
      </c>
      <c r="C182" s="1">
        <v>172.51310000000001</v>
      </c>
      <c r="D182" s="1">
        <v>36.637</v>
      </c>
      <c r="E182">
        <v>5.7</v>
      </c>
      <c r="F182">
        <v>188.8</v>
      </c>
      <c r="G182">
        <v>6.1</v>
      </c>
      <c r="H182">
        <v>6.6</v>
      </c>
      <c r="I182">
        <v>123.6</v>
      </c>
      <c r="J182">
        <v>6.7</v>
      </c>
      <c r="K182">
        <v>0.66</v>
      </c>
      <c r="L182">
        <v>0.16</v>
      </c>
      <c r="M182">
        <v>0.92</v>
      </c>
      <c r="N182">
        <v>121.2</v>
      </c>
      <c r="O182">
        <v>5.9</v>
      </c>
      <c r="P182">
        <v>0.57999999999999996</v>
      </c>
      <c r="Q182">
        <v>0.05</v>
      </c>
      <c r="R182">
        <v>0.91</v>
      </c>
      <c r="S182">
        <v>24</v>
      </c>
      <c r="T182" t="s">
        <v>336</v>
      </c>
    </row>
    <row r="183" spans="1:20" x14ac:dyDescent="0.2">
      <c r="A183" t="s">
        <v>528</v>
      </c>
      <c r="B183">
        <v>0.106</v>
      </c>
      <c r="C183" s="1">
        <v>172.5932</v>
      </c>
      <c r="D183" s="1">
        <v>-14.5807</v>
      </c>
      <c r="E183">
        <v>14.4</v>
      </c>
      <c r="F183">
        <v>671.6</v>
      </c>
      <c r="G183">
        <v>245.8</v>
      </c>
      <c r="H183">
        <v>24.9</v>
      </c>
      <c r="I183">
        <v>287.3</v>
      </c>
      <c r="J183">
        <v>11.6</v>
      </c>
      <c r="K183">
        <v>1.42</v>
      </c>
      <c r="L183">
        <v>0.18</v>
      </c>
      <c r="M183">
        <v>0.51</v>
      </c>
      <c r="N183">
        <v>285.10000000000002</v>
      </c>
      <c r="O183">
        <v>11.6</v>
      </c>
      <c r="P183">
        <v>0.46</v>
      </c>
      <c r="Q183">
        <v>0.08</v>
      </c>
      <c r="R183">
        <v>1.01</v>
      </c>
      <c r="S183">
        <v>49</v>
      </c>
      <c r="T183" t="s">
        <v>336</v>
      </c>
    </row>
    <row r="184" spans="1:20" x14ac:dyDescent="0.2">
      <c r="A184" t="s">
        <v>530</v>
      </c>
      <c r="B184">
        <v>0.307</v>
      </c>
      <c r="C184" s="1">
        <v>172.97749999999999</v>
      </c>
      <c r="D184" s="1">
        <v>-19.929099999999998</v>
      </c>
      <c r="E184">
        <v>22.5</v>
      </c>
      <c r="F184">
        <v>1123.0999999999999</v>
      </c>
      <c r="G184">
        <v>71.599999999999994</v>
      </c>
      <c r="H184">
        <v>30.1</v>
      </c>
      <c r="I184">
        <v>275.39999999999998</v>
      </c>
      <c r="J184">
        <v>17</v>
      </c>
      <c r="K184">
        <v>0.93</v>
      </c>
      <c r="L184">
        <v>0.1</v>
      </c>
      <c r="M184">
        <v>0.28999999999999998</v>
      </c>
      <c r="N184">
        <v>288</v>
      </c>
      <c r="O184">
        <v>16.5</v>
      </c>
      <c r="P184">
        <v>0.77</v>
      </c>
      <c r="Q184">
        <v>0.05</v>
      </c>
      <c r="R184">
        <v>0.43</v>
      </c>
      <c r="S184">
        <v>31</v>
      </c>
      <c r="T184" t="s">
        <v>336</v>
      </c>
    </row>
    <row r="185" spans="1:20" x14ac:dyDescent="0.2">
      <c r="A185" t="s">
        <v>166</v>
      </c>
      <c r="B185">
        <v>0.311</v>
      </c>
      <c r="C185" s="1">
        <v>175.59800000000001</v>
      </c>
      <c r="D185" s="1">
        <v>58.520299999999999</v>
      </c>
      <c r="E185">
        <v>34</v>
      </c>
      <c r="F185">
        <v>759.2</v>
      </c>
      <c r="G185">
        <v>565.79999999999995</v>
      </c>
      <c r="H185">
        <v>37.799999999999997</v>
      </c>
      <c r="I185">
        <v>565.79999999999995</v>
      </c>
      <c r="J185">
        <v>37.700000000000003</v>
      </c>
      <c r="K185">
        <v>4.54</v>
      </c>
      <c r="L185">
        <v>0.46</v>
      </c>
      <c r="M185">
        <v>0.25</v>
      </c>
      <c r="N185">
        <v>515.29999999999995</v>
      </c>
      <c r="O185">
        <v>54.2</v>
      </c>
      <c r="P185">
        <v>0.15</v>
      </c>
      <c r="Q185">
        <v>0.5</v>
      </c>
      <c r="R185">
        <v>0.76</v>
      </c>
      <c r="S185">
        <v>25</v>
      </c>
      <c r="T185" t="s">
        <v>336</v>
      </c>
    </row>
    <row r="186" spans="1:20" x14ac:dyDescent="0.2">
      <c r="A186" t="s">
        <v>532</v>
      </c>
      <c r="B186">
        <v>0.1171</v>
      </c>
      <c r="C186" s="1">
        <v>175.9151</v>
      </c>
      <c r="D186" s="1">
        <v>46.355699999999999</v>
      </c>
      <c r="E186">
        <v>10.5</v>
      </c>
      <c r="F186">
        <v>329.7</v>
      </c>
      <c r="G186">
        <v>15.8</v>
      </c>
      <c r="H186">
        <v>2.9</v>
      </c>
      <c r="I186">
        <v>160.5</v>
      </c>
      <c r="J186">
        <v>7</v>
      </c>
      <c r="K186">
        <v>1.38</v>
      </c>
      <c r="L186">
        <v>0.06</v>
      </c>
      <c r="M186">
        <v>0.45</v>
      </c>
      <c r="N186">
        <v>167</v>
      </c>
      <c r="O186">
        <v>6.9</v>
      </c>
      <c r="P186">
        <v>1.05</v>
      </c>
      <c r="Q186">
        <v>0.04</v>
      </c>
      <c r="R186">
        <v>2.34</v>
      </c>
      <c r="S186">
        <v>13</v>
      </c>
      <c r="T186" t="s">
        <v>336</v>
      </c>
    </row>
    <row r="187" spans="1:20" x14ac:dyDescent="0.2">
      <c r="A187" t="s">
        <v>533</v>
      </c>
      <c r="B187">
        <v>5.0999999999999997E-2</v>
      </c>
      <c r="C187" s="1">
        <v>176.80459999999999</v>
      </c>
      <c r="D187" s="1">
        <v>55.729100000000003</v>
      </c>
      <c r="E187">
        <v>12.3</v>
      </c>
      <c r="F187">
        <v>199.1</v>
      </c>
      <c r="G187">
        <v>98.8</v>
      </c>
      <c r="H187">
        <v>46.9</v>
      </c>
      <c r="I187">
        <v>193.7</v>
      </c>
      <c r="J187">
        <v>10.9</v>
      </c>
      <c r="K187">
        <v>0.93</v>
      </c>
      <c r="L187">
        <v>0.54</v>
      </c>
      <c r="M187">
        <v>0.43</v>
      </c>
      <c r="N187">
        <v>202.2</v>
      </c>
      <c r="O187">
        <v>7.8</v>
      </c>
      <c r="P187">
        <v>0.42</v>
      </c>
      <c r="Q187">
        <v>0.17</v>
      </c>
      <c r="R187">
        <v>0.46</v>
      </c>
      <c r="S187">
        <v>24</v>
      </c>
      <c r="T187" t="s">
        <v>336</v>
      </c>
    </row>
    <row r="188" spans="1:20" x14ac:dyDescent="0.2">
      <c r="A188" t="s">
        <v>167</v>
      </c>
      <c r="B188">
        <v>0.5444</v>
      </c>
      <c r="C188" s="1">
        <v>177.39940000000001</v>
      </c>
      <c r="D188" s="1">
        <v>22.398599999999998</v>
      </c>
      <c r="E188">
        <v>31.8</v>
      </c>
      <c r="F188">
        <v>1176.8</v>
      </c>
      <c r="G188">
        <v>339.1</v>
      </c>
      <c r="H188">
        <v>28.3</v>
      </c>
      <c r="I188">
        <v>342.8</v>
      </c>
      <c r="J188">
        <v>26.4</v>
      </c>
      <c r="K188">
        <v>2.5099999999999998</v>
      </c>
      <c r="L188">
        <v>0.14000000000000001</v>
      </c>
      <c r="M188">
        <v>0.56999999999999995</v>
      </c>
      <c r="N188">
        <v>280.5</v>
      </c>
      <c r="O188">
        <v>26.4</v>
      </c>
      <c r="P188">
        <v>0.47</v>
      </c>
      <c r="Q188">
        <v>0.14000000000000001</v>
      </c>
      <c r="R188">
        <v>1.9</v>
      </c>
      <c r="S188">
        <v>24</v>
      </c>
      <c r="T188" t="s">
        <v>336</v>
      </c>
    </row>
    <row r="189" spans="1:20" x14ac:dyDescent="0.2">
      <c r="A189" t="s">
        <v>168</v>
      </c>
      <c r="B189">
        <v>0.14299999999999999</v>
      </c>
      <c r="C189" s="1">
        <v>178.82470000000001</v>
      </c>
      <c r="D189" s="1">
        <v>23.4057</v>
      </c>
      <c r="E189">
        <v>6.2</v>
      </c>
      <c r="F189">
        <v>646</v>
      </c>
      <c r="G189">
        <v>57.6</v>
      </c>
      <c r="H189">
        <v>5.0999999999999996</v>
      </c>
      <c r="I189">
        <v>188.3</v>
      </c>
      <c r="J189">
        <v>4.4000000000000004</v>
      </c>
      <c r="K189">
        <v>1.05</v>
      </c>
      <c r="L189">
        <v>0.04</v>
      </c>
      <c r="M189">
        <v>0.61</v>
      </c>
      <c r="N189">
        <v>210.1</v>
      </c>
      <c r="O189">
        <v>3.6</v>
      </c>
      <c r="P189">
        <v>0.72</v>
      </c>
      <c r="Q189">
        <v>0.02</v>
      </c>
      <c r="R189">
        <v>2.1800000000000002</v>
      </c>
      <c r="S189">
        <v>52</v>
      </c>
      <c r="T189" t="s">
        <v>336</v>
      </c>
    </row>
    <row r="190" spans="1:20" x14ac:dyDescent="0.2">
      <c r="A190" t="s">
        <v>169</v>
      </c>
      <c r="B190">
        <v>0.21299999999999999</v>
      </c>
      <c r="C190" s="1">
        <v>179.3218</v>
      </c>
      <c r="D190" s="1">
        <v>33.610999999999997</v>
      </c>
      <c r="E190">
        <v>8.6</v>
      </c>
      <c r="F190">
        <v>283.2</v>
      </c>
      <c r="G190">
        <v>37</v>
      </c>
      <c r="H190">
        <v>9</v>
      </c>
      <c r="I190">
        <v>185.6</v>
      </c>
      <c r="J190">
        <v>7.6</v>
      </c>
      <c r="K190">
        <v>1.01</v>
      </c>
      <c r="L190">
        <v>0.11</v>
      </c>
      <c r="M190">
        <v>0.72</v>
      </c>
      <c r="N190">
        <v>196.6</v>
      </c>
      <c r="O190">
        <v>6.5</v>
      </c>
      <c r="P190">
        <v>0.71</v>
      </c>
      <c r="Q190">
        <v>0.05</v>
      </c>
      <c r="R190">
        <v>1.43</v>
      </c>
      <c r="S190">
        <v>17</v>
      </c>
      <c r="T190" t="s">
        <v>328</v>
      </c>
    </row>
    <row r="191" spans="1:20" x14ac:dyDescent="0.2">
      <c r="A191" t="s">
        <v>170</v>
      </c>
      <c r="B191">
        <v>8.1000000000000003E-2</v>
      </c>
      <c r="C191" s="1">
        <v>179.9675</v>
      </c>
      <c r="D191" s="1">
        <v>55.534799999999997</v>
      </c>
      <c r="E191">
        <v>3.8</v>
      </c>
      <c r="F191">
        <v>56.6</v>
      </c>
      <c r="G191">
        <v>3.1</v>
      </c>
      <c r="H191">
        <v>0.8</v>
      </c>
      <c r="I191">
        <v>406.8</v>
      </c>
      <c r="J191">
        <v>60.4</v>
      </c>
      <c r="K191">
        <v>1.45</v>
      </c>
      <c r="L191">
        <v>7.0000000000000007E-2</v>
      </c>
      <c r="M191">
        <v>2.39</v>
      </c>
      <c r="N191">
        <v>274.8</v>
      </c>
      <c r="O191">
        <v>25.4</v>
      </c>
      <c r="P191">
        <v>1.1399999999999999</v>
      </c>
      <c r="Q191">
        <v>0.03</v>
      </c>
      <c r="R191">
        <v>3.54</v>
      </c>
      <c r="S191">
        <v>8</v>
      </c>
      <c r="T191" t="s">
        <v>336</v>
      </c>
    </row>
    <row r="192" spans="1:20" x14ac:dyDescent="0.2">
      <c r="A192" t="s">
        <v>172</v>
      </c>
      <c r="B192">
        <v>0.10299999999999999</v>
      </c>
      <c r="C192" s="1">
        <v>180.51759999999999</v>
      </c>
      <c r="D192" s="1">
        <v>58.033200000000001</v>
      </c>
      <c r="E192">
        <v>9.4</v>
      </c>
      <c r="F192">
        <v>191.8</v>
      </c>
      <c r="G192">
        <v>173</v>
      </c>
      <c r="H192">
        <v>21.3</v>
      </c>
      <c r="I192">
        <v>218.2</v>
      </c>
      <c r="J192">
        <v>11.4</v>
      </c>
      <c r="K192">
        <v>1.94</v>
      </c>
      <c r="L192">
        <v>0.46</v>
      </c>
      <c r="M192">
        <v>0.3</v>
      </c>
      <c r="N192">
        <v>233.4</v>
      </c>
      <c r="O192">
        <v>8.5</v>
      </c>
      <c r="P192">
        <v>0.3</v>
      </c>
      <c r="Q192">
        <v>0.23</v>
      </c>
      <c r="R192">
        <v>0.66</v>
      </c>
      <c r="S192">
        <v>20</v>
      </c>
      <c r="T192" t="s">
        <v>328</v>
      </c>
    </row>
    <row r="193" spans="1:20" x14ac:dyDescent="0.2">
      <c r="A193" t="s">
        <v>538</v>
      </c>
      <c r="B193">
        <v>0.02</v>
      </c>
      <c r="C193" s="1">
        <v>181.11340000000001</v>
      </c>
      <c r="D193" s="1">
        <v>1.8952</v>
      </c>
      <c r="E193">
        <v>1</v>
      </c>
      <c r="F193">
        <v>65</v>
      </c>
      <c r="G193">
        <v>2.9</v>
      </c>
      <c r="H193">
        <v>0.5</v>
      </c>
      <c r="I193">
        <v>170.7</v>
      </c>
      <c r="J193">
        <v>7.1</v>
      </c>
      <c r="K193">
        <v>0.85</v>
      </c>
      <c r="L193">
        <v>0.03</v>
      </c>
      <c r="M193">
        <v>2.2200000000000002</v>
      </c>
      <c r="N193">
        <v>148.9</v>
      </c>
      <c r="O193">
        <v>4.8</v>
      </c>
      <c r="P193">
        <v>0.73</v>
      </c>
      <c r="Q193">
        <v>0.02</v>
      </c>
      <c r="R193">
        <v>3.09</v>
      </c>
      <c r="S193">
        <v>31</v>
      </c>
      <c r="T193" t="s">
        <v>336</v>
      </c>
    </row>
    <row r="194" spans="1:20" x14ac:dyDescent="0.2">
      <c r="A194" t="s">
        <v>174</v>
      </c>
      <c r="B194">
        <v>0.44</v>
      </c>
      <c r="C194" s="1">
        <v>181.5504</v>
      </c>
      <c r="D194" s="1">
        <v>-8.8004999999999995</v>
      </c>
      <c r="E194">
        <v>14.1</v>
      </c>
      <c r="F194">
        <v>1089.3</v>
      </c>
      <c r="G194">
        <v>66.8</v>
      </c>
      <c r="H194">
        <v>11.8</v>
      </c>
      <c r="I194">
        <v>181.7</v>
      </c>
      <c r="J194">
        <v>10.9</v>
      </c>
      <c r="K194">
        <v>1.22</v>
      </c>
      <c r="L194">
        <v>0.08</v>
      </c>
      <c r="M194">
        <v>0.13</v>
      </c>
      <c r="N194">
        <v>207</v>
      </c>
      <c r="O194">
        <v>10.3</v>
      </c>
      <c r="P194">
        <v>0.85</v>
      </c>
      <c r="Q194">
        <v>0.05</v>
      </c>
      <c r="R194">
        <v>1.07</v>
      </c>
      <c r="S194">
        <v>24</v>
      </c>
      <c r="T194" t="s">
        <v>336</v>
      </c>
    </row>
    <row r="195" spans="1:20" x14ac:dyDescent="0.2">
      <c r="A195" t="s">
        <v>539</v>
      </c>
      <c r="B195">
        <v>2.8000000000000001E-2</v>
      </c>
      <c r="C195" s="1">
        <v>181.66210000000001</v>
      </c>
      <c r="D195" s="1">
        <v>28.174199999999999</v>
      </c>
      <c r="E195">
        <v>1.4</v>
      </c>
      <c r="F195">
        <v>24.9</v>
      </c>
      <c r="G195">
        <v>0.6</v>
      </c>
      <c r="H195">
        <v>0.5</v>
      </c>
      <c r="I195">
        <v>1249.4000000000001</v>
      </c>
      <c r="J195">
        <v>329.7</v>
      </c>
      <c r="K195">
        <v>1.44</v>
      </c>
      <c r="L195">
        <v>7.0000000000000007E-2</v>
      </c>
      <c r="M195">
        <v>1.68</v>
      </c>
      <c r="N195">
        <v>951.9</v>
      </c>
      <c r="O195">
        <v>130</v>
      </c>
      <c r="P195">
        <v>1.33</v>
      </c>
      <c r="Q195">
        <v>0.03</v>
      </c>
      <c r="R195">
        <v>1.62</v>
      </c>
      <c r="S195">
        <v>7</v>
      </c>
      <c r="T195" t="s">
        <v>336</v>
      </c>
    </row>
    <row r="196" spans="1:20" x14ac:dyDescent="0.2">
      <c r="A196" t="s">
        <v>176</v>
      </c>
      <c r="B196">
        <v>0.11899999999999999</v>
      </c>
      <c r="C196" s="1">
        <v>183.85300000000001</v>
      </c>
      <c r="D196" s="1">
        <v>-39.035499999999999</v>
      </c>
      <c r="E196">
        <v>37.200000000000003</v>
      </c>
      <c r="F196">
        <v>599.79999999999995</v>
      </c>
      <c r="G196">
        <v>369</v>
      </c>
      <c r="H196">
        <v>55.7</v>
      </c>
      <c r="I196">
        <v>384.1</v>
      </c>
      <c r="J196">
        <v>37.700000000000003</v>
      </c>
      <c r="K196">
        <v>1.96</v>
      </c>
      <c r="L196">
        <v>0.44</v>
      </c>
      <c r="M196">
        <v>0.33</v>
      </c>
      <c r="N196">
        <v>352.3</v>
      </c>
      <c r="O196">
        <v>33.9</v>
      </c>
      <c r="P196">
        <v>0.39</v>
      </c>
      <c r="Q196">
        <v>0.22</v>
      </c>
      <c r="R196">
        <v>0.67</v>
      </c>
      <c r="S196">
        <v>20</v>
      </c>
      <c r="T196" t="s">
        <v>336</v>
      </c>
    </row>
    <row r="197" spans="1:20" x14ac:dyDescent="0.2">
      <c r="A197" t="s">
        <v>540</v>
      </c>
      <c r="B197">
        <v>7.6999999999999999E-2</v>
      </c>
      <c r="C197" s="1">
        <v>184.42150000000001</v>
      </c>
      <c r="D197" s="1">
        <v>3.6555</v>
      </c>
      <c r="E197">
        <v>10.8</v>
      </c>
      <c r="F197">
        <v>623</v>
      </c>
      <c r="G197">
        <v>174.3</v>
      </c>
      <c r="H197">
        <v>20.9</v>
      </c>
      <c r="I197">
        <v>263.7</v>
      </c>
      <c r="J197">
        <v>9.8000000000000007</v>
      </c>
      <c r="K197">
        <v>1.24</v>
      </c>
      <c r="L197">
        <v>0.11</v>
      </c>
      <c r="M197">
        <v>0.5</v>
      </c>
      <c r="N197">
        <v>276.8</v>
      </c>
      <c r="O197">
        <v>10.4</v>
      </c>
      <c r="P197">
        <v>0.62</v>
      </c>
      <c r="Q197">
        <v>0.06</v>
      </c>
      <c r="R197">
        <v>0.94</v>
      </c>
      <c r="S197">
        <v>66</v>
      </c>
      <c r="T197" t="s">
        <v>336</v>
      </c>
    </row>
    <row r="198" spans="1:20" x14ac:dyDescent="0.2">
      <c r="A198" t="s">
        <v>542</v>
      </c>
      <c r="B198">
        <v>2.5000000000000001E-2</v>
      </c>
      <c r="C198" s="1">
        <v>185.77760000000001</v>
      </c>
      <c r="D198" s="1">
        <v>10.6213</v>
      </c>
      <c r="E198">
        <v>1.2</v>
      </c>
      <c r="F198">
        <v>80.7</v>
      </c>
      <c r="G198">
        <v>3.9</v>
      </c>
      <c r="H198">
        <v>0.2</v>
      </c>
      <c r="I198">
        <v>92.2</v>
      </c>
      <c r="J198">
        <v>3</v>
      </c>
      <c r="K198">
        <v>1.35</v>
      </c>
      <c r="L198">
        <v>0.03</v>
      </c>
      <c r="M198">
        <v>0.9</v>
      </c>
      <c r="N198">
        <v>72</v>
      </c>
      <c r="O198">
        <v>2</v>
      </c>
      <c r="P198">
        <v>0.95</v>
      </c>
      <c r="Q198">
        <v>0.02</v>
      </c>
      <c r="R198">
        <v>7.76</v>
      </c>
      <c r="S198">
        <v>29</v>
      </c>
      <c r="T198" t="s">
        <v>336</v>
      </c>
    </row>
    <row r="199" spans="1:20" x14ac:dyDescent="0.2">
      <c r="A199" t="s">
        <v>178</v>
      </c>
      <c r="B199">
        <v>0.37</v>
      </c>
      <c r="C199" s="1">
        <v>186.7123</v>
      </c>
      <c r="D199" s="1">
        <v>21.8323</v>
      </c>
      <c r="E199">
        <v>12.7</v>
      </c>
      <c r="F199">
        <v>992.1</v>
      </c>
      <c r="G199">
        <v>35.799999999999997</v>
      </c>
      <c r="H199">
        <v>20.3</v>
      </c>
      <c r="I199">
        <v>184.7</v>
      </c>
      <c r="J199">
        <v>8.5</v>
      </c>
      <c r="K199">
        <v>0.69</v>
      </c>
      <c r="L199">
        <v>0.12</v>
      </c>
      <c r="M199">
        <v>0.76</v>
      </c>
      <c r="N199">
        <v>191.5</v>
      </c>
      <c r="O199">
        <v>7.2</v>
      </c>
      <c r="P199">
        <v>0.57999999999999996</v>
      </c>
      <c r="Q199">
        <v>0.05</v>
      </c>
      <c r="R199">
        <v>0.82</v>
      </c>
      <c r="S199">
        <v>29</v>
      </c>
      <c r="T199" t="s">
        <v>336</v>
      </c>
    </row>
    <row r="200" spans="1:20" x14ac:dyDescent="0.2">
      <c r="A200" t="s">
        <v>543</v>
      </c>
      <c r="B200">
        <v>0.89</v>
      </c>
      <c r="C200" s="1">
        <v>186.7423</v>
      </c>
      <c r="D200" s="1">
        <v>33.546300000000002</v>
      </c>
      <c r="E200">
        <v>19.5</v>
      </c>
      <c r="F200">
        <v>681.4</v>
      </c>
      <c r="G200">
        <v>80.099999999999994</v>
      </c>
      <c r="H200">
        <v>24.6</v>
      </c>
      <c r="I200">
        <v>212.9</v>
      </c>
      <c r="J200">
        <v>17.7</v>
      </c>
      <c r="K200">
        <v>1.32</v>
      </c>
      <c r="L200">
        <v>0.12</v>
      </c>
      <c r="M200">
        <v>0.08</v>
      </c>
      <c r="N200">
        <v>231.6</v>
      </c>
      <c r="O200">
        <v>17.399999999999999</v>
      </c>
      <c r="P200">
        <v>0.95</v>
      </c>
      <c r="Q200">
        <v>0.08</v>
      </c>
      <c r="R200">
        <v>0.89</v>
      </c>
      <c r="S200">
        <v>11</v>
      </c>
      <c r="T200" t="s">
        <v>850</v>
      </c>
    </row>
    <row r="201" spans="1:20" x14ac:dyDescent="0.2">
      <c r="A201" t="s">
        <v>545</v>
      </c>
      <c r="B201">
        <v>3.3E-3</v>
      </c>
      <c r="C201" s="1">
        <v>187.4452</v>
      </c>
      <c r="D201" s="1">
        <v>8.0006000000000004</v>
      </c>
      <c r="E201">
        <v>0.2</v>
      </c>
      <c r="F201">
        <v>14.2</v>
      </c>
      <c r="G201">
        <v>0.4</v>
      </c>
      <c r="H201">
        <v>0</v>
      </c>
      <c r="I201">
        <v>318.2</v>
      </c>
      <c r="J201">
        <v>3.7</v>
      </c>
      <c r="K201">
        <v>0.99</v>
      </c>
      <c r="L201">
        <v>0</v>
      </c>
      <c r="M201">
        <v>70.930000000000007</v>
      </c>
      <c r="N201">
        <v>263.2</v>
      </c>
      <c r="O201">
        <v>2.1</v>
      </c>
      <c r="P201">
        <v>0.91</v>
      </c>
      <c r="Q201">
        <v>0</v>
      </c>
      <c r="R201">
        <v>85.37</v>
      </c>
      <c r="S201">
        <v>43</v>
      </c>
      <c r="T201" t="s">
        <v>336</v>
      </c>
    </row>
    <row r="202" spans="1:20" x14ac:dyDescent="0.2">
      <c r="A202" t="s">
        <v>548</v>
      </c>
      <c r="B202">
        <v>0.16500000000000001</v>
      </c>
      <c r="C202" s="1">
        <v>187.697</v>
      </c>
      <c r="D202" s="1">
        <v>10.554</v>
      </c>
      <c r="E202">
        <v>21</v>
      </c>
      <c r="F202">
        <v>762.7</v>
      </c>
      <c r="G202">
        <v>213.9</v>
      </c>
      <c r="H202">
        <v>25.1</v>
      </c>
      <c r="I202">
        <v>249.9</v>
      </c>
      <c r="J202">
        <v>14.9</v>
      </c>
      <c r="K202">
        <v>1.67</v>
      </c>
      <c r="L202">
        <v>0.14000000000000001</v>
      </c>
      <c r="M202">
        <v>0.44</v>
      </c>
      <c r="N202">
        <v>233.6</v>
      </c>
      <c r="O202">
        <v>14.9</v>
      </c>
      <c r="P202">
        <v>0.66</v>
      </c>
      <c r="Q202">
        <v>0.09</v>
      </c>
      <c r="R202">
        <v>1.48</v>
      </c>
      <c r="S202">
        <v>28</v>
      </c>
      <c r="T202" t="s">
        <v>336</v>
      </c>
    </row>
    <row r="203" spans="1:20" x14ac:dyDescent="0.2">
      <c r="A203" t="s">
        <v>180</v>
      </c>
      <c r="B203">
        <v>0.22900000000000001</v>
      </c>
      <c r="C203" s="1">
        <v>188.60079999999999</v>
      </c>
      <c r="D203" s="1">
        <v>9.7875999999999994</v>
      </c>
      <c r="E203">
        <v>45.4</v>
      </c>
      <c r="F203">
        <v>861.9</v>
      </c>
      <c r="G203">
        <v>243.4</v>
      </c>
      <c r="H203">
        <v>55.6</v>
      </c>
      <c r="I203">
        <v>287.60000000000002</v>
      </c>
      <c r="J203">
        <v>27.4</v>
      </c>
      <c r="K203">
        <v>1.17</v>
      </c>
      <c r="L203">
        <v>0.37</v>
      </c>
      <c r="M203">
        <v>0.21</v>
      </c>
      <c r="N203">
        <v>286.89999999999998</v>
      </c>
      <c r="O203">
        <v>27.7</v>
      </c>
      <c r="P203">
        <v>0.4</v>
      </c>
      <c r="Q203">
        <v>0.16</v>
      </c>
      <c r="R203">
        <v>0.42</v>
      </c>
      <c r="S203">
        <v>18</v>
      </c>
      <c r="T203" t="s">
        <v>336</v>
      </c>
    </row>
    <row r="204" spans="1:20" x14ac:dyDescent="0.2">
      <c r="A204" t="s">
        <v>549</v>
      </c>
      <c r="B204">
        <v>1.1000000000000001E-3</v>
      </c>
      <c r="C204" s="1">
        <v>188.91569999999999</v>
      </c>
      <c r="D204" s="1">
        <v>12.556699999999999</v>
      </c>
      <c r="E204">
        <v>0.1</v>
      </c>
      <c r="F204">
        <v>1</v>
      </c>
      <c r="G204">
        <v>1.4</v>
      </c>
      <c r="H204">
        <v>0</v>
      </c>
      <c r="I204">
        <v>6703.2</v>
      </c>
      <c r="J204">
        <v>3279.9</v>
      </c>
      <c r="K204">
        <v>1.6</v>
      </c>
      <c r="L204">
        <v>0.06</v>
      </c>
      <c r="M204">
        <v>9.5399999999999991</v>
      </c>
      <c r="N204">
        <v>12.9</v>
      </c>
      <c r="O204">
        <v>1.2</v>
      </c>
      <c r="P204">
        <v>0.31</v>
      </c>
      <c r="Q204">
        <v>0.05</v>
      </c>
      <c r="R204">
        <v>39.08</v>
      </c>
      <c r="S204">
        <v>9</v>
      </c>
      <c r="T204" t="s">
        <v>336</v>
      </c>
    </row>
    <row r="205" spans="1:20" x14ac:dyDescent="0.2">
      <c r="A205" t="s">
        <v>181</v>
      </c>
      <c r="B205">
        <v>7.2999999999999995E-2</v>
      </c>
      <c r="C205" s="1">
        <v>189.1027</v>
      </c>
      <c r="D205" s="1">
        <v>16.5398</v>
      </c>
      <c r="E205">
        <v>13.7</v>
      </c>
      <c r="F205">
        <v>322.39999999999998</v>
      </c>
      <c r="G205">
        <v>109</v>
      </c>
      <c r="H205">
        <v>54.8</v>
      </c>
      <c r="I205">
        <v>178</v>
      </c>
      <c r="J205">
        <v>9.6999999999999993</v>
      </c>
      <c r="K205">
        <v>0.67</v>
      </c>
      <c r="L205">
        <v>0.76</v>
      </c>
      <c r="M205">
        <v>0.34</v>
      </c>
      <c r="N205">
        <v>183.5</v>
      </c>
      <c r="O205">
        <v>7.4</v>
      </c>
      <c r="P205">
        <v>0.26</v>
      </c>
      <c r="Q205">
        <v>0.2</v>
      </c>
      <c r="R205">
        <v>0.38</v>
      </c>
      <c r="S205">
        <v>22</v>
      </c>
      <c r="T205" t="s">
        <v>336</v>
      </c>
    </row>
    <row r="206" spans="1:20" x14ac:dyDescent="0.2">
      <c r="A206" t="s">
        <v>551</v>
      </c>
      <c r="B206">
        <v>0.27900000000000003</v>
      </c>
      <c r="C206" s="1">
        <v>189.24359999999999</v>
      </c>
      <c r="D206" s="1">
        <v>63.186799999999998</v>
      </c>
      <c r="E206">
        <v>21</v>
      </c>
      <c r="F206">
        <v>965.9</v>
      </c>
      <c r="G206">
        <v>76.8</v>
      </c>
      <c r="H206">
        <v>27.9</v>
      </c>
      <c r="I206">
        <v>241</v>
      </c>
      <c r="J206">
        <v>11.6</v>
      </c>
      <c r="K206">
        <v>0.81</v>
      </c>
      <c r="L206">
        <v>0.12</v>
      </c>
      <c r="M206">
        <v>0.83</v>
      </c>
      <c r="N206">
        <v>253.7</v>
      </c>
      <c r="O206">
        <v>10.6</v>
      </c>
      <c r="P206">
        <v>0.61</v>
      </c>
      <c r="Q206">
        <v>0.05</v>
      </c>
      <c r="R206">
        <v>0.97</v>
      </c>
      <c r="S206">
        <v>30</v>
      </c>
      <c r="T206" t="s">
        <v>336</v>
      </c>
    </row>
    <row r="207" spans="1:20" x14ac:dyDescent="0.2">
      <c r="A207" t="s">
        <v>553</v>
      </c>
      <c r="B207">
        <v>3.0999999999999999E-3</v>
      </c>
      <c r="C207" s="1">
        <v>190.70769999999999</v>
      </c>
      <c r="D207" s="1">
        <v>2.6877</v>
      </c>
      <c r="E207">
        <v>0.2</v>
      </c>
      <c r="F207">
        <v>6.8</v>
      </c>
      <c r="G207">
        <v>0.6</v>
      </c>
      <c r="H207">
        <v>0.1</v>
      </c>
      <c r="I207">
        <v>210</v>
      </c>
      <c r="J207">
        <v>19.5</v>
      </c>
      <c r="K207">
        <v>0.97</v>
      </c>
      <c r="L207">
        <v>0.03</v>
      </c>
      <c r="M207">
        <v>8.3000000000000007</v>
      </c>
      <c r="N207">
        <v>142.9</v>
      </c>
      <c r="O207">
        <v>5.5</v>
      </c>
      <c r="P207">
        <v>0.84</v>
      </c>
      <c r="Q207">
        <v>0.01</v>
      </c>
      <c r="R207">
        <v>9.18</v>
      </c>
      <c r="S207">
        <v>22</v>
      </c>
      <c r="T207" t="s">
        <v>336</v>
      </c>
    </row>
    <row r="208" spans="1:20" x14ac:dyDescent="0.2">
      <c r="A208" t="s">
        <v>554</v>
      </c>
      <c r="B208">
        <v>1.14E-2</v>
      </c>
      <c r="C208" s="1">
        <v>192.20529999999999</v>
      </c>
      <c r="D208" s="1">
        <v>-41.311</v>
      </c>
      <c r="E208">
        <v>0.6</v>
      </c>
      <c r="F208">
        <v>25.9</v>
      </c>
      <c r="G208">
        <v>1.7</v>
      </c>
      <c r="H208">
        <v>0</v>
      </c>
      <c r="I208">
        <v>439.3</v>
      </c>
      <c r="J208">
        <v>6.3</v>
      </c>
      <c r="K208">
        <v>1.39</v>
      </c>
      <c r="L208">
        <v>0.01</v>
      </c>
      <c r="M208">
        <v>149.46</v>
      </c>
      <c r="N208">
        <v>280.10000000000002</v>
      </c>
      <c r="O208">
        <v>2.6</v>
      </c>
      <c r="P208">
        <v>1.1399999999999999</v>
      </c>
      <c r="Q208">
        <v>0</v>
      </c>
      <c r="R208">
        <v>220.26</v>
      </c>
      <c r="S208">
        <v>23</v>
      </c>
      <c r="T208" t="s">
        <v>336</v>
      </c>
    </row>
    <row r="209" spans="1:20" x14ac:dyDescent="0.2">
      <c r="A209" t="s">
        <v>557</v>
      </c>
      <c r="B209">
        <v>1.47E-2</v>
      </c>
      <c r="C209" s="1">
        <v>193.2739</v>
      </c>
      <c r="D209" s="1">
        <v>-9.2042999999999999</v>
      </c>
      <c r="E209">
        <v>0.7</v>
      </c>
      <c r="F209">
        <v>22.9</v>
      </c>
      <c r="G209">
        <v>2.4</v>
      </c>
      <c r="H209">
        <v>0.1</v>
      </c>
      <c r="I209">
        <v>153.6</v>
      </c>
      <c r="J209">
        <v>6.7</v>
      </c>
      <c r="K209">
        <v>1.1000000000000001</v>
      </c>
      <c r="L209">
        <v>0.02</v>
      </c>
      <c r="M209">
        <v>16.09</v>
      </c>
      <c r="N209">
        <v>79.5</v>
      </c>
      <c r="O209">
        <v>1.7</v>
      </c>
      <c r="P209">
        <v>0.74</v>
      </c>
      <c r="Q209">
        <v>0.01</v>
      </c>
      <c r="R209">
        <v>37.659999999999997</v>
      </c>
      <c r="S209">
        <v>16</v>
      </c>
      <c r="T209" t="s">
        <v>336</v>
      </c>
    </row>
    <row r="210" spans="1:20" x14ac:dyDescent="0.2">
      <c r="A210" t="s">
        <v>182</v>
      </c>
      <c r="B210">
        <v>5.2999999999999999E-2</v>
      </c>
      <c r="C210" s="1">
        <v>193.5924</v>
      </c>
      <c r="D210" s="1">
        <v>-29.013000000000002</v>
      </c>
      <c r="E210">
        <v>5.0999999999999996</v>
      </c>
      <c r="F210">
        <v>394.9</v>
      </c>
      <c r="G210">
        <v>12</v>
      </c>
      <c r="H210">
        <v>2.9</v>
      </c>
      <c r="I210">
        <v>226</v>
      </c>
      <c r="J210">
        <v>6.8</v>
      </c>
      <c r="K210">
        <v>1.04</v>
      </c>
      <c r="L210">
        <v>0.04</v>
      </c>
      <c r="M210">
        <v>0.73</v>
      </c>
      <c r="N210">
        <v>235</v>
      </c>
      <c r="O210">
        <v>6.4</v>
      </c>
      <c r="P210">
        <v>0.91</v>
      </c>
      <c r="Q210">
        <v>0.02</v>
      </c>
      <c r="R210">
        <v>1.22</v>
      </c>
      <c r="S210">
        <v>32</v>
      </c>
      <c r="T210" t="s">
        <v>336</v>
      </c>
    </row>
    <row r="211" spans="1:20" x14ac:dyDescent="0.2">
      <c r="A211" t="s">
        <v>559</v>
      </c>
      <c r="B211">
        <v>1.54E-2</v>
      </c>
      <c r="C211" s="1">
        <v>193.65039999999999</v>
      </c>
      <c r="D211" s="1">
        <v>-12.560700000000001</v>
      </c>
      <c r="E211">
        <v>0.8</v>
      </c>
      <c r="F211">
        <v>41</v>
      </c>
      <c r="G211">
        <v>3.3</v>
      </c>
      <c r="H211">
        <v>0.7</v>
      </c>
      <c r="I211">
        <v>341.9</v>
      </c>
      <c r="J211">
        <v>45.7</v>
      </c>
      <c r="K211">
        <v>1.28</v>
      </c>
      <c r="L211">
        <v>0.06</v>
      </c>
      <c r="M211">
        <v>2.34</v>
      </c>
      <c r="N211">
        <v>249.9</v>
      </c>
      <c r="O211">
        <v>30.5</v>
      </c>
      <c r="P211">
        <v>1.06</v>
      </c>
      <c r="Q211">
        <v>0.06</v>
      </c>
      <c r="R211">
        <v>3.59</v>
      </c>
      <c r="S211">
        <v>15</v>
      </c>
      <c r="T211" t="s">
        <v>336</v>
      </c>
    </row>
    <row r="212" spans="1:20" x14ac:dyDescent="0.2">
      <c r="A212" t="s">
        <v>560</v>
      </c>
      <c r="B212">
        <v>4.7E-2</v>
      </c>
      <c r="C212" s="1">
        <v>194.3015</v>
      </c>
      <c r="D212" s="1">
        <v>-17.409199999999998</v>
      </c>
      <c r="E212">
        <v>4.5999999999999996</v>
      </c>
      <c r="F212">
        <v>198</v>
      </c>
      <c r="G212">
        <v>3.9</v>
      </c>
      <c r="H212">
        <v>4.7</v>
      </c>
      <c r="I212">
        <v>225.4</v>
      </c>
      <c r="J212">
        <v>4.5999999999999996</v>
      </c>
      <c r="K212">
        <v>0.83</v>
      </c>
      <c r="L212">
        <v>0.06</v>
      </c>
      <c r="M212">
        <v>1.21</v>
      </c>
      <c r="N212">
        <v>225.6</v>
      </c>
      <c r="O212">
        <v>4.5999999999999996</v>
      </c>
      <c r="P212">
        <v>0.79</v>
      </c>
      <c r="Q212">
        <v>0.02</v>
      </c>
      <c r="R212">
        <v>1.19</v>
      </c>
      <c r="S212">
        <v>43</v>
      </c>
      <c r="T212" t="s">
        <v>336</v>
      </c>
    </row>
    <row r="213" spans="1:20" x14ac:dyDescent="0.2">
      <c r="A213" t="s">
        <v>183</v>
      </c>
      <c r="B213">
        <v>5.5E-2</v>
      </c>
      <c r="C213" s="1">
        <v>194.34180000000001</v>
      </c>
      <c r="D213" s="1">
        <v>-30.363399999999999</v>
      </c>
      <c r="E213">
        <v>13.2</v>
      </c>
      <c r="F213">
        <v>131.9</v>
      </c>
      <c r="G213">
        <v>94</v>
      </c>
      <c r="H213">
        <v>49.3</v>
      </c>
      <c r="I213">
        <v>266.5</v>
      </c>
      <c r="J213">
        <v>16.8</v>
      </c>
      <c r="K213">
        <v>0.95</v>
      </c>
      <c r="L213">
        <v>0.59</v>
      </c>
      <c r="M213">
        <v>0.21</v>
      </c>
      <c r="N213">
        <v>261.8</v>
      </c>
      <c r="O213">
        <v>16.3</v>
      </c>
      <c r="P213">
        <v>0.44</v>
      </c>
      <c r="Q213">
        <v>0.19</v>
      </c>
      <c r="R213">
        <v>0.28999999999999998</v>
      </c>
      <c r="S213">
        <v>11</v>
      </c>
      <c r="T213" t="s">
        <v>336</v>
      </c>
    </row>
    <row r="214" spans="1:20" x14ac:dyDescent="0.2">
      <c r="A214" t="s">
        <v>562</v>
      </c>
      <c r="B214">
        <v>2.46E-2</v>
      </c>
      <c r="C214" s="1">
        <v>194.35169999999999</v>
      </c>
      <c r="D214" s="1">
        <v>27.497699999999998</v>
      </c>
      <c r="E214">
        <v>2.4</v>
      </c>
      <c r="F214">
        <v>39.1</v>
      </c>
      <c r="G214">
        <v>-1</v>
      </c>
      <c r="H214">
        <v>5.8</v>
      </c>
      <c r="I214">
        <v>1029</v>
      </c>
      <c r="J214">
        <v>447.3</v>
      </c>
      <c r="K214">
        <v>1.25</v>
      </c>
      <c r="L214">
        <v>0.2</v>
      </c>
      <c r="M214">
        <v>0.24</v>
      </c>
      <c r="N214">
        <v>1100</v>
      </c>
      <c r="O214">
        <v>258.5</v>
      </c>
      <c r="P214">
        <v>1.29</v>
      </c>
      <c r="Q214">
        <v>7.0000000000000007E-2</v>
      </c>
      <c r="R214">
        <v>0.2</v>
      </c>
      <c r="S214">
        <v>7</v>
      </c>
      <c r="T214" t="s">
        <v>336</v>
      </c>
    </row>
    <row r="215" spans="1:20" x14ac:dyDescent="0.2">
      <c r="A215" t="s">
        <v>185</v>
      </c>
      <c r="B215">
        <v>8.5000000000000006E-2</v>
      </c>
      <c r="C215" s="1">
        <v>194.84270000000001</v>
      </c>
      <c r="D215" s="1">
        <v>-4.1966000000000001</v>
      </c>
      <c r="E215">
        <v>7.9</v>
      </c>
      <c r="F215">
        <v>685.4</v>
      </c>
      <c r="G215">
        <v>101.9</v>
      </c>
      <c r="H215">
        <v>9.4</v>
      </c>
      <c r="I215">
        <v>191</v>
      </c>
      <c r="J215">
        <v>5.5</v>
      </c>
      <c r="K215">
        <v>1.25</v>
      </c>
      <c r="L215">
        <v>0.06</v>
      </c>
      <c r="M215">
        <v>0.46</v>
      </c>
      <c r="N215">
        <v>209.8</v>
      </c>
      <c r="O215">
        <v>5.4</v>
      </c>
      <c r="P215">
        <v>0.73</v>
      </c>
      <c r="Q215">
        <v>0.03</v>
      </c>
      <c r="R215">
        <v>1.49</v>
      </c>
      <c r="S215">
        <v>60</v>
      </c>
      <c r="T215" t="s">
        <v>336</v>
      </c>
    </row>
    <row r="216" spans="1:20" x14ac:dyDescent="0.2">
      <c r="A216" t="s">
        <v>186</v>
      </c>
      <c r="B216">
        <v>0.33</v>
      </c>
      <c r="C216" s="1">
        <v>194.8877</v>
      </c>
      <c r="D216" s="1">
        <v>60.070599999999999</v>
      </c>
      <c r="E216">
        <v>47.2</v>
      </c>
      <c r="F216">
        <v>802.3</v>
      </c>
      <c r="G216">
        <v>421.1</v>
      </c>
      <c r="H216">
        <v>43.1</v>
      </c>
      <c r="I216">
        <v>424.2</v>
      </c>
      <c r="J216">
        <v>39.9</v>
      </c>
      <c r="K216">
        <v>2.59</v>
      </c>
      <c r="L216">
        <v>0.26</v>
      </c>
      <c r="M216">
        <v>0.64</v>
      </c>
      <c r="N216">
        <v>336.7</v>
      </c>
      <c r="O216">
        <v>38.200000000000003</v>
      </c>
      <c r="P216">
        <v>0.42</v>
      </c>
      <c r="Q216">
        <v>0.18</v>
      </c>
      <c r="R216">
        <v>1.1599999999999999</v>
      </c>
      <c r="S216">
        <v>23</v>
      </c>
      <c r="T216" t="s">
        <v>336</v>
      </c>
    </row>
    <row r="217" spans="1:20" x14ac:dyDescent="0.2">
      <c r="A217" t="s">
        <v>188</v>
      </c>
      <c r="B217">
        <v>0.128</v>
      </c>
      <c r="C217" s="1">
        <v>195.9271</v>
      </c>
      <c r="D217" s="1">
        <v>-24.245200000000001</v>
      </c>
      <c r="E217">
        <v>5.7</v>
      </c>
      <c r="F217">
        <v>299.60000000000002</v>
      </c>
      <c r="G217">
        <v>11.6</v>
      </c>
      <c r="H217">
        <v>0.9</v>
      </c>
      <c r="I217">
        <v>106.4</v>
      </c>
      <c r="J217">
        <v>2.4</v>
      </c>
      <c r="K217">
        <v>1.33</v>
      </c>
      <c r="L217">
        <v>0.03</v>
      </c>
      <c r="M217">
        <v>3.11</v>
      </c>
      <c r="N217">
        <v>105.8</v>
      </c>
      <c r="O217">
        <v>2.5</v>
      </c>
      <c r="P217">
        <v>0.96</v>
      </c>
      <c r="Q217">
        <v>0.02</v>
      </c>
      <c r="R217">
        <v>8.26</v>
      </c>
      <c r="S217">
        <v>27</v>
      </c>
      <c r="T217" t="s">
        <v>336</v>
      </c>
    </row>
    <row r="218" spans="1:20" x14ac:dyDescent="0.2">
      <c r="A218" t="s">
        <v>566</v>
      </c>
      <c r="B218">
        <v>6.3E-2</v>
      </c>
      <c r="C218" s="1">
        <v>195.9442</v>
      </c>
      <c r="D218" s="1">
        <v>19.270299999999999</v>
      </c>
      <c r="E218">
        <v>3</v>
      </c>
      <c r="F218">
        <v>209.6</v>
      </c>
      <c r="G218">
        <v>13.5</v>
      </c>
      <c r="H218">
        <v>1.4</v>
      </c>
      <c r="I218">
        <v>155.9</v>
      </c>
      <c r="J218">
        <v>4.9000000000000004</v>
      </c>
      <c r="K218">
        <v>1.22</v>
      </c>
      <c r="L218">
        <v>0.04</v>
      </c>
      <c r="M218">
        <v>0.7</v>
      </c>
      <c r="N218">
        <v>150.19999999999999</v>
      </c>
      <c r="O218">
        <v>5.0999999999999996</v>
      </c>
      <c r="P218">
        <v>0.87</v>
      </c>
      <c r="Q218">
        <v>0.03</v>
      </c>
      <c r="R218">
        <v>4.26</v>
      </c>
      <c r="S218">
        <v>20</v>
      </c>
      <c r="T218" t="s">
        <v>336</v>
      </c>
    </row>
    <row r="219" spans="1:20" x14ac:dyDescent="0.2">
      <c r="A219" t="s">
        <v>567</v>
      </c>
      <c r="B219">
        <v>1.03E-2</v>
      </c>
      <c r="C219" s="1">
        <v>196.07149999999999</v>
      </c>
      <c r="D219" s="1">
        <v>-30.5261</v>
      </c>
      <c r="E219">
        <v>1</v>
      </c>
      <c r="F219">
        <v>57.3</v>
      </c>
      <c r="G219">
        <v>-3.5</v>
      </c>
      <c r="H219">
        <v>3.3</v>
      </c>
      <c r="I219">
        <v>78.8</v>
      </c>
      <c r="J219">
        <v>9</v>
      </c>
      <c r="K219">
        <v>0.53</v>
      </c>
      <c r="L219">
        <v>0.2</v>
      </c>
      <c r="M219">
        <v>0.44</v>
      </c>
      <c r="N219">
        <v>87.6</v>
      </c>
      <c r="O219">
        <v>7.3</v>
      </c>
      <c r="P219">
        <v>0.66</v>
      </c>
      <c r="Q219">
        <v>0.05</v>
      </c>
      <c r="R219">
        <v>0.52</v>
      </c>
      <c r="S219">
        <v>19</v>
      </c>
      <c r="T219" t="s">
        <v>336</v>
      </c>
    </row>
    <row r="220" spans="1:20" x14ac:dyDescent="0.2">
      <c r="A220" t="s">
        <v>570</v>
      </c>
      <c r="B220">
        <v>0.49399999999999999</v>
      </c>
      <c r="C220" s="1">
        <v>197.7569</v>
      </c>
      <c r="D220" s="1">
        <v>-3.1772999999999998</v>
      </c>
      <c r="E220">
        <v>15.1</v>
      </c>
      <c r="F220">
        <v>558.9</v>
      </c>
      <c r="G220">
        <v>34.200000000000003</v>
      </c>
      <c r="H220">
        <v>4.0999999999999996</v>
      </c>
      <c r="I220">
        <v>114.9</v>
      </c>
      <c r="J220">
        <v>5.4</v>
      </c>
      <c r="K220">
        <v>1.38</v>
      </c>
      <c r="L220">
        <v>0.06</v>
      </c>
      <c r="M220">
        <v>0.33</v>
      </c>
      <c r="N220">
        <v>133.80000000000001</v>
      </c>
      <c r="O220">
        <v>4.3</v>
      </c>
      <c r="P220">
        <v>0.89</v>
      </c>
      <c r="Q220">
        <v>0.04</v>
      </c>
      <c r="R220">
        <v>3.52</v>
      </c>
      <c r="S220">
        <v>15</v>
      </c>
      <c r="T220" t="s">
        <v>336</v>
      </c>
    </row>
    <row r="221" spans="1:20" x14ac:dyDescent="0.2">
      <c r="A221" t="s">
        <v>190</v>
      </c>
      <c r="B221">
        <v>0.183</v>
      </c>
      <c r="C221" s="1">
        <v>197.87299999999999</v>
      </c>
      <c r="D221" s="1">
        <v>-1.3411999999999999</v>
      </c>
      <c r="E221">
        <v>7.6</v>
      </c>
      <c r="F221">
        <v>921</v>
      </c>
      <c r="G221">
        <v>55.5</v>
      </c>
      <c r="H221">
        <v>4.9000000000000004</v>
      </c>
      <c r="I221">
        <v>193.2</v>
      </c>
      <c r="J221">
        <v>3.6</v>
      </c>
      <c r="K221">
        <v>1.07</v>
      </c>
      <c r="L221">
        <v>0.03</v>
      </c>
      <c r="M221">
        <v>0.77</v>
      </c>
      <c r="N221">
        <v>209.8</v>
      </c>
      <c r="O221">
        <v>3.2</v>
      </c>
      <c r="P221">
        <v>0.83</v>
      </c>
      <c r="Q221">
        <v>0.02</v>
      </c>
      <c r="R221">
        <v>2.39</v>
      </c>
      <c r="S221">
        <v>61</v>
      </c>
      <c r="T221" t="s">
        <v>336</v>
      </c>
    </row>
    <row r="222" spans="1:20" x14ac:dyDescent="0.2">
      <c r="A222" t="s">
        <v>191</v>
      </c>
      <c r="B222">
        <v>0.29099999999999998</v>
      </c>
      <c r="C222" s="1">
        <v>198.76820000000001</v>
      </c>
      <c r="D222" s="1">
        <v>51.820099999999996</v>
      </c>
      <c r="E222">
        <v>21.6</v>
      </c>
      <c r="F222">
        <v>930.4</v>
      </c>
      <c r="G222">
        <v>165.9</v>
      </c>
      <c r="H222">
        <v>31</v>
      </c>
      <c r="I222">
        <v>261.39999999999998</v>
      </c>
      <c r="J222">
        <v>14.8</v>
      </c>
      <c r="K222">
        <v>1.19</v>
      </c>
      <c r="L222">
        <v>0.12</v>
      </c>
      <c r="M222">
        <v>0.2</v>
      </c>
      <c r="N222">
        <v>260.89999999999998</v>
      </c>
      <c r="O222">
        <v>15.7</v>
      </c>
      <c r="P222">
        <v>0.71</v>
      </c>
      <c r="Q222">
        <v>7.0000000000000007E-2</v>
      </c>
      <c r="R222">
        <v>0.79</v>
      </c>
      <c r="S222">
        <v>26</v>
      </c>
      <c r="T222" t="s">
        <v>336</v>
      </c>
    </row>
    <row r="223" spans="1:20" x14ac:dyDescent="0.2">
      <c r="A223" t="s">
        <v>574</v>
      </c>
      <c r="B223">
        <v>8.9999999999999993E-3</v>
      </c>
      <c r="C223" s="1">
        <v>198.84970000000001</v>
      </c>
      <c r="D223" s="1">
        <v>-16.385400000000001</v>
      </c>
      <c r="E223">
        <v>0.5</v>
      </c>
      <c r="F223">
        <v>21.4</v>
      </c>
      <c r="G223">
        <v>2</v>
      </c>
      <c r="H223">
        <v>0.2</v>
      </c>
      <c r="I223">
        <v>61.2</v>
      </c>
      <c r="J223">
        <v>2.4</v>
      </c>
      <c r="K223">
        <v>0.85</v>
      </c>
      <c r="L223">
        <v>0.03</v>
      </c>
      <c r="M223">
        <v>15.77</v>
      </c>
      <c r="N223">
        <v>43.6</v>
      </c>
      <c r="O223">
        <v>0.7</v>
      </c>
      <c r="P223">
        <v>0.61</v>
      </c>
      <c r="Q223">
        <v>0.01</v>
      </c>
      <c r="R223">
        <v>19.149999999999999</v>
      </c>
      <c r="S223">
        <v>24</v>
      </c>
      <c r="T223" t="s">
        <v>336</v>
      </c>
    </row>
    <row r="224" spans="1:20" x14ac:dyDescent="0.2">
      <c r="A224" t="s">
        <v>576</v>
      </c>
      <c r="B224">
        <v>3.6999999999999998E-2</v>
      </c>
      <c r="C224" s="1">
        <v>200.06100000000001</v>
      </c>
      <c r="D224" s="1">
        <v>33.143099999999997</v>
      </c>
      <c r="E224">
        <v>1.8</v>
      </c>
      <c r="F224">
        <v>121.4</v>
      </c>
      <c r="G224">
        <v>3.2</v>
      </c>
      <c r="H224">
        <v>0.4</v>
      </c>
      <c r="I224">
        <v>119.3</v>
      </c>
      <c r="J224">
        <v>4.4000000000000004</v>
      </c>
      <c r="K224">
        <v>1.03</v>
      </c>
      <c r="L224">
        <v>0.03</v>
      </c>
      <c r="M224">
        <v>3.28</v>
      </c>
      <c r="N224">
        <v>104.4</v>
      </c>
      <c r="O224">
        <v>3.6</v>
      </c>
      <c r="P224">
        <v>0.84</v>
      </c>
      <c r="Q224">
        <v>0.02</v>
      </c>
      <c r="R224">
        <v>5.3</v>
      </c>
      <c r="S224">
        <v>24</v>
      </c>
      <c r="T224" t="s">
        <v>336</v>
      </c>
    </row>
    <row r="225" spans="1:20" x14ac:dyDescent="0.2">
      <c r="A225" t="s">
        <v>577</v>
      </c>
      <c r="B225">
        <v>2.3E-2</v>
      </c>
      <c r="C225" s="1">
        <v>201.04159999999999</v>
      </c>
      <c r="D225" s="1">
        <v>13.9755</v>
      </c>
      <c r="E225">
        <v>1.1000000000000001</v>
      </c>
      <c r="F225">
        <v>58.4</v>
      </c>
      <c r="G225">
        <v>0</v>
      </c>
      <c r="H225">
        <v>0.5</v>
      </c>
      <c r="I225">
        <v>113.4</v>
      </c>
      <c r="J225">
        <v>5.2</v>
      </c>
      <c r="K225">
        <v>0.78</v>
      </c>
      <c r="L225">
        <v>0.04</v>
      </c>
      <c r="M225">
        <v>1.2</v>
      </c>
      <c r="N225">
        <v>113.6</v>
      </c>
      <c r="O225">
        <v>4</v>
      </c>
      <c r="P225">
        <v>0.78</v>
      </c>
      <c r="Q225">
        <v>0.02</v>
      </c>
      <c r="R225">
        <v>1.1000000000000001</v>
      </c>
      <c r="S225">
        <v>15</v>
      </c>
      <c r="T225" t="s">
        <v>336</v>
      </c>
    </row>
    <row r="226" spans="1:20" x14ac:dyDescent="0.2">
      <c r="A226" t="s">
        <v>192</v>
      </c>
      <c r="B226">
        <v>4.5999999999999999E-2</v>
      </c>
      <c r="C226" s="1">
        <v>201.72040000000001</v>
      </c>
      <c r="D226" s="1">
        <v>-27.170999999999999</v>
      </c>
      <c r="E226">
        <v>13.4</v>
      </c>
      <c r="F226">
        <v>390.2</v>
      </c>
      <c r="G226">
        <v>-845.7</v>
      </c>
      <c r="H226">
        <v>11417.4</v>
      </c>
      <c r="I226">
        <v>216.4</v>
      </c>
      <c r="J226">
        <v>10.5</v>
      </c>
      <c r="K226">
        <v>0.05</v>
      </c>
      <c r="L226">
        <v>10.63</v>
      </c>
      <c r="M226">
        <v>1</v>
      </c>
      <c r="N226">
        <v>214.7</v>
      </c>
      <c r="O226">
        <v>8.8000000000000007</v>
      </c>
      <c r="P226">
        <v>0.22</v>
      </c>
      <c r="Q226">
        <v>0.2</v>
      </c>
      <c r="R226">
        <v>0.98</v>
      </c>
      <c r="S226">
        <v>48</v>
      </c>
      <c r="T226" t="s">
        <v>336</v>
      </c>
    </row>
    <row r="227" spans="1:20" x14ac:dyDescent="0.2">
      <c r="A227" t="s">
        <v>579</v>
      </c>
      <c r="B227">
        <v>4.8000000000000001E-2</v>
      </c>
      <c r="C227" s="1">
        <v>201.98689999999999</v>
      </c>
      <c r="D227" s="1">
        <v>-31.4955</v>
      </c>
      <c r="E227">
        <v>2.2999999999999998</v>
      </c>
      <c r="F227">
        <v>109.1</v>
      </c>
      <c r="G227">
        <v>-55.3</v>
      </c>
      <c r="H227">
        <v>47</v>
      </c>
      <c r="I227">
        <v>218.9</v>
      </c>
      <c r="J227">
        <v>9.6999999999999993</v>
      </c>
      <c r="K227">
        <v>0.31</v>
      </c>
      <c r="L227">
        <v>0.33</v>
      </c>
      <c r="M227">
        <v>0.89</v>
      </c>
      <c r="N227">
        <v>231.2</v>
      </c>
      <c r="O227">
        <v>8.1</v>
      </c>
      <c r="P227">
        <v>0.51</v>
      </c>
      <c r="Q227">
        <v>0.05</v>
      </c>
      <c r="R227">
        <v>1.01</v>
      </c>
      <c r="S227">
        <v>24</v>
      </c>
      <c r="T227" t="s">
        <v>328</v>
      </c>
    </row>
    <row r="228" spans="1:20" x14ac:dyDescent="0.2">
      <c r="A228" t="s">
        <v>580</v>
      </c>
      <c r="B228">
        <v>2.29E-2</v>
      </c>
      <c r="C228" s="1">
        <v>202.35400000000001</v>
      </c>
      <c r="D228" s="1">
        <v>11.762600000000001</v>
      </c>
      <c r="E228">
        <v>6.8</v>
      </c>
      <c r="F228">
        <v>65</v>
      </c>
      <c r="G228">
        <v>34</v>
      </c>
      <c r="H228">
        <v>3.5</v>
      </c>
      <c r="I228">
        <v>547.70000000000005</v>
      </c>
      <c r="J228">
        <v>453.8</v>
      </c>
      <c r="K228">
        <v>6.24</v>
      </c>
      <c r="L228">
        <v>0.32</v>
      </c>
      <c r="M228">
        <v>1.21</v>
      </c>
      <c r="N228">
        <v>73.2</v>
      </c>
      <c r="O228">
        <v>6.9</v>
      </c>
      <c r="P228">
        <v>0.57999999999999996</v>
      </c>
      <c r="Q228">
        <v>0.22</v>
      </c>
      <c r="R228">
        <v>2.73</v>
      </c>
      <c r="S228">
        <v>13</v>
      </c>
      <c r="T228" t="s">
        <v>336</v>
      </c>
    </row>
    <row r="229" spans="1:20" x14ac:dyDescent="0.2">
      <c r="A229" t="s">
        <v>581</v>
      </c>
      <c r="B229">
        <v>0.05</v>
      </c>
      <c r="C229" s="1">
        <v>202.44900000000001</v>
      </c>
      <c r="D229" s="1">
        <v>-31.6069</v>
      </c>
      <c r="E229">
        <v>7.2</v>
      </c>
      <c r="F229">
        <v>335.3</v>
      </c>
      <c r="G229">
        <v>26.3</v>
      </c>
      <c r="H229">
        <v>23.5</v>
      </c>
      <c r="I229">
        <v>223.3</v>
      </c>
      <c r="J229">
        <v>7.6</v>
      </c>
      <c r="K229">
        <v>0.56999999999999995</v>
      </c>
      <c r="L229">
        <v>0.18</v>
      </c>
      <c r="M229">
        <v>0.96</v>
      </c>
      <c r="N229">
        <v>227.3</v>
      </c>
      <c r="O229">
        <v>6.2</v>
      </c>
      <c r="P229">
        <v>0.47</v>
      </c>
      <c r="Q229">
        <v>0.06</v>
      </c>
      <c r="R229">
        <v>0.96</v>
      </c>
      <c r="S229">
        <v>35</v>
      </c>
      <c r="T229" t="s">
        <v>328</v>
      </c>
    </row>
    <row r="230" spans="1:20" x14ac:dyDescent="0.2">
      <c r="A230" t="s">
        <v>193</v>
      </c>
      <c r="B230">
        <v>9.0999999999999998E-2</v>
      </c>
      <c r="C230" s="1">
        <v>202.53970000000001</v>
      </c>
      <c r="D230" s="1">
        <v>-2.0985999999999998</v>
      </c>
      <c r="E230">
        <v>29.3</v>
      </c>
      <c r="F230">
        <v>297.39999999999998</v>
      </c>
      <c r="G230">
        <v>-24.7</v>
      </c>
      <c r="H230">
        <v>18.8</v>
      </c>
      <c r="I230">
        <v>37.9</v>
      </c>
      <c r="J230">
        <v>4.9000000000000004</v>
      </c>
      <c r="K230">
        <v>0.73</v>
      </c>
      <c r="L230">
        <v>0.38</v>
      </c>
      <c r="M230">
        <v>0.21</v>
      </c>
      <c r="N230">
        <v>30.5</v>
      </c>
      <c r="O230">
        <v>3.7</v>
      </c>
      <c r="P230">
        <v>1.33</v>
      </c>
      <c r="Q230">
        <v>0.11</v>
      </c>
      <c r="R230">
        <v>0.99</v>
      </c>
      <c r="S230">
        <v>10</v>
      </c>
      <c r="T230" t="s">
        <v>336</v>
      </c>
    </row>
    <row r="231" spans="1:20" x14ac:dyDescent="0.2">
      <c r="A231" t="s">
        <v>194</v>
      </c>
      <c r="B231">
        <v>6.8000000000000005E-2</v>
      </c>
      <c r="C231" s="1">
        <v>202.7107</v>
      </c>
      <c r="D231" s="1">
        <v>-1.8617999999999999</v>
      </c>
      <c r="E231">
        <v>12.9</v>
      </c>
      <c r="F231">
        <v>382.3</v>
      </c>
      <c r="G231">
        <v>157.4</v>
      </c>
      <c r="H231">
        <v>22.7</v>
      </c>
      <c r="I231">
        <v>249</v>
      </c>
      <c r="J231">
        <v>10.7</v>
      </c>
      <c r="K231">
        <v>1.18</v>
      </c>
      <c r="L231">
        <v>0.19</v>
      </c>
      <c r="M231">
        <v>0.22</v>
      </c>
      <c r="N231">
        <v>272.89999999999998</v>
      </c>
      <c r="O231">
        <v>8.9</v>
      </c>
      <c r="P231">
        <v>0.46</v>
      </c>
      <c r="Q231">
        <v>0.09</v>
      </c>
      <c r="R231">
        <v>0.81</v>
      </c>
      <c r="S231">
        <v>25</v>
      </c>
      <c r="T231" t="s">
        <v>336</v>
      </c>
    </row>
    <row r="232" spans="1:20" x14ac:dyDescent="0.2">
      <c r="A232" t="s">
        <v>582</v>
      </c>
      <c r="B232">
        <v>8.4000000000000005E-2</v>
      </c>
      <c r="C232" s="1">
        <v>202.79560000000001</v>
      </c>
      <c r="D232" s="1">
        <v>-1.7282</v>
      </c>
      <c r="E232">
        <v>15.6</v>
      </c>
      <c r="F232">
        <v>498.8</v>
      </c>
      <c r="G232">
        <v>23.7</v>
      </c>
      <c r="H232">
        <v>28.8</v>
      </c>
      <c r="I232">
        <v>209.6</v>
      </c>
      <c r="J232">
        <v>11.7</v>
      </c>
      <c r="K232">
        <v>0.69</v>
      </c>
      <c r="L232">
        <v>0.18</v>
      </c>
      <c r="M232">
        <v>0.74</v>
      </c>
      <c r="N232">
        <v>215.5</v>
      </c>
      <c r="O232">
        <v>8.6999999999999993</v>
      </c>
      <c r="P232">
        <v>0.61</v>
      </c>
      <c r="Q232">
        <v>7.0000000000000007E-2</v>
      </c>
      <c r="R232">
        <v>0.73</v>
      </c>
      <c r="S232">
        <v>24</v>
      </c>
      <c r="T232" t="s">
        <v>336</v>
      </c>
    </row>
    <row r="233" spans="1:20" x14ac:dyDescent="0.2">
      <c r="A233" t="s">
        <v>196</v>
      </c>
      <c r="B233">
        <v>4.8000000000000001E-2</v>
      </c>
      <c r="C233" s="1">
        <v>202.88079999999999</v>
      </c>
      <c r="D233" s="1">
        <v>-31.8245</v>
      </c>
      <c r="E233">
        <v>16.2</v>
      </c>
      <c r="F233">
        <v>92.8</v>
      </c>
      <c r="G233">
        <v>-41.4</v>
      </c>
      <c r="H233">
        <v>42.3</v>
      </c>
      <c r="I233">
        <v>283.89999999999998</v>
      </c>
      <c r="J233">
        <v>40.1</v>
      </c>
      <c r="K233">
        <v>1.1000000000000001</v>
      </c>
      <c r="L233">
        <v>0.36</v>
      </c>
      <c r="M233">
        <v>0.53</v>
      </c>
      <c r="N233">
        <v>302.5</v>
      </c>
      <c r="O233">
        <v>34.5</v>
      </c>
      <c r="P233">
        <v>1.49</v>
      </c>
      <c r="Q233">
        <v>0.14000000000000001</v>
      </c>
      <c r="R233">
        <v>0.76</v>
      </c>
      <c r="S233">
        <v>6</v>
      </c>
      <c r="T233" t="s">
        <v>336</v>
      </c>
    </row>
    <row r="234" spans="1:20" x14ac:dyDescent="0.2">
      <c r="A234" t="s">
        <v>583</v>
      </c>
      <c r="B234">
        <v>4.8899999999999999E-2</v>
      </c>
      <c r="C234" s="1">
        <v>203.1071</v>
      </c>
      <c r="D234" s="1">
        <v>-33.136000000000003</v>
      </c>
      <c r="E234">
        <v>9.4</v>
      </c>
      <c r="F234">
        <v>115.7</v>
      </c>
      <c r="G234">
        <v>-1033.7</v>
      </c>
      <c r="H234">
        <v>6437.6</v>
      </c>
      <c r="I234">
        <v>230.3</v>
      </c>
      <c r="J234">
        <v>11.1</v>
      </c>
      <c r="K234">
        <v>0.06</v>
      </c>
      <c r="L234">
        <v>5.48</v>
      </c>
      <c r="M234">
        <v>0.5</v>
      </c>
      <c r="N234">
        <v>237.1</v>
      </c>
      <c r="O234">
        <v>10.1</v>
      </c>
      <c r="P234">
        <v>0.49</v>
      </c>
      <c r="Q234">
        <v>0.1</v>
      </c>
      <c r="R234">
        <v>0.61</v>
      </c>
      <c r="S234">
        <v>18</v>
      </c>
      <c r="T234" t="s">
        <v>336</v>
      </c>
    </row>
    <row r="235" spans="1:20" x14ac:dyDescent="0.2">
      <c r="A235" t="s">
        <v>584</v>
      </c>
      <c r="B235">
        <v>0.27900000000000003</v>
      </c>
      <c r="C235" s="1">
        <v>203.20169999999999</v>
      </c>
      <c r="D235" s="1">
        <v>50.542400000000001</v>
      </c>
      <c r="E235">
        <v>10.5</v>
      </c>
      <c r="F235">
        <v>598.4</v>
      </c>
      <c r="G235">
        <v>104.1</v>
      </c>
      <c r="H235">
        <v>41</v>
      </c>
      <c r="I235">
        <v>321.7</v>
      </c>
      <c r="J235">
        <v>13</v>
      </c>
      <c r="K235">
        <v>0.72</v>
      </c>
      <c r="L235">
        <v>0.15</v>
      </c>
      <c r="M235">
        <v>0.71</v>
      </c>
      <c r="N235">
        <v>331.8</v>
      </c>
      <c r="O235">
        <v>12.2</v>
      </c>
      <c r="P235">
        <v>0.52</v>
      </c>
      <c r="Q235">
        <v>0.06</v>
      </c>
      <c r="R235">
        <v>0.85</v>
      </c>
      <c r="S235">
        <v>29</v>
      </c>
      <c r="T235" t="s">
        <v>336</v>
      </c>
    </row>
    <row r="236" spans="1:20" x14ac:dyDescent="0.2">
      <c r="A236" t="s">
        <v>197</v>
      </c>
      <c r="B236">
        <v>4.9000000000000002E-2</v>
      </c>
      <c r="C236" s="1">
        <v>203.40549999999999</v>
      </c>
      <c r="D236" s="1">
        <v>-31.671600000000002</v>
      </c>
      <c r="E236">
        <v>7.1</v>
      </c>
      <c r="F236">
        <v>364.5</v>
      </c>
      <c r="G236">
        <v>74</v>
      </c>
      <c r="H236">
        <v>13.6</v>
      </c>
      <c r="I236">
        <v>221.4</v>
      </c>
      <c r="J236">
        <v>6.9</v>
      </c>
      <c r="K236">
        <v>0.93</v>
      </c>
      <c r="L236">
        <v>0.11</v>
      </c>
      <c r="M236">
        <v>0.48</v>
      </c>
      <c r="N236">
        <v>238</v>
      </c>
      <c r="O236">
        <v>5.2</v>
      </c>
      <c r="P236">
        <v>0.57999999999999996</v>
      </c>
      <c r="Q236">
        <v>0.05</v>
      </c>
      <c r="R236">
        <v>0.71</v>
      </c>
      <c r="S236">
        <v>68</v>
      </c>
      <c r="T236" t="s">
        <v>336</v>
      </c>
    </row>
    <row r="237" spans="1:20" x14ac:dyDescent="0.2">
      <c r="A237" t="s">
        <v>198</v>
      </c>
      <c r="B237">
        <v>0.223</v>
      </c>
      <c r="C237" s="1">
        <v>203.83330000000001</v>
      </c>
      <c r="D237" s="1">
        <v>41.000500000000002</v>
      </c>
      <c r="E237">
        <v>26.7</v>
      </c>
      <c r="F237">
        <v>569</v>
      </c>
      <c r="G237">
        <v>184.6</v>
      </c>
      <c r="H237">
        <v>22.2</v>
      </c>
      <c r="I237">
        <v>219.3</v>
      </c>
      <c r="J237">
        <v>12.3</v>
      </c>
      <c r="K237">
        <v>1.91</v>
      </c>
      <c r="L237">
        <v>0.14000000000000001</v>
      </c>
      <c r="M237">
        <v>0.53</v>
      </c>
      <c r="N237">
        <v>202</v>
      </c>
      <c r="O237">
        <v>12.1</v>
      </c>
      <c r="P237">
        <v>0.81</v>
      </c>
      <c r="Q237">
        <v>0.08</v>
      </c>
      <c r="R237">
        <v>1.7</v>
      </c>
      <c r="S237">
        <v>27</v>
      </c>
      <c r="T237" t="s">
        <v>336</v>
      </c>
    </row>
    <row r="238" spans="1:20" x14ac:dyDescent="0.2">
      <c r="A238" t="s">
        <v>586</v>
      </c>
      <c r="B238">
        <v>7.0000000000000007E-2</v>
      </c>
      <c r="C238" s="1">
        <v>204.0343</v>
      </c>
      <c r="D238" s="1">
        <v>59.205500000000001</v>
      </c>
      <c r="E238">
        <v>16.5</v>
      </c>
      <c r="F238">
        <v>435.6</v>
      </c>
      <c r="G238">
        <v>286.3</v>
      </c>
      <c r="H238">
        <v>24.8</v>
      </c>
      <c r="I238">
        <v>307.7</v>
      </c>
      <c r="J238">
        <v>14.7</v>
      </c>
      <c r="K238">
        <v>2.06</v>
      </c>
      <c r="L238">
        <v>0.23</v>
      </c>
      <c r="M238">
        <v>0.32</v>
      </c>
      <c r="N238">
        <v>313.8</v>
      </c>
      <c r="O238">
        <v>14.4</v>
      </c>
      <c r="P238">
        <v>0.41</v>
      </c>
      <c r="Q238">
        <v>0.13</v>
      </c>
      <c r="R238">
        <v>1.1000000000000001</v>
      </c>
      <c r="S238">
        <v>26</v>
      </c>
      <c r="T238" t="s">
        <v>336</v>
      </c>
    </row>
    <row r="239" spans="1:20" x14ac:dyDescent="0.2">
      <c r="A239" t="s">
        <v>588</v>
      </c>
      <c r="B239">
        <v>7.1999999999999995E-2</v>
      </c>
      <c r="C239" s="1">
        <v>205.45169999999999</v>
      </c>
      <c r="D239" s="1">
        <v>26.370899999999999</v>
      </c>
      <c r="E239">
        <v>3.4</v>
      </c>
      <c r="F239">
        <v>105</v>
      </c>
      <c r="G239">
        <v>56.5</v>
      </c>
      <c r="H239">
        <v>5.9</v>
      </c>
      <c r="I239">
        <v>255</v>
      </c>
      <c r="J239">
        <v>25.6</v>
      </c>
      <c r="K239">
        <v>2.06</v>
      </c>
      <c r="L239">
        <v>0.16</v>
      </c>
      <c r="M239">
        <v>0.38</v>
      </c>
      <c r="N239">
        <v>164.8</v>
      </c>
      <c r="O239">
        <v>13.3</v>
      </c>
      <c r="P239">
        <v>0.61</v>
      </c>
      <c r="Q239">
        <v>0.12</v>
      </c>
      <c r="R239">
        <v>2.65</v>
      </c>
      <c r="S239">
        <v>16</v>
      </c>
      <c r="T239" t="s">
        <v>336</v>
      </c>
    </row>
    <row r="240" spans="1:20" x14ac:dyDescent="0.2">
      <c r="A240" t="s">
        <v>590</v>
      </c>
      <c r="B240">
        <v>3.9100000000000003E-2</v>
      </c>
      <c r="C240" s="1">
        <v>206.86850000000001</v>
      </c>
      <c r="D240" s="1">
        <v>-32.864600000000003</v>
      </c>
      <c r="E240">
        <v>1.9</v>
      </c>
      <c r="F240">
        <v>185.3</v>
      </c>
      <c r="G240">
        <v>31.2</v>
      </c>
      <c r="H240">
        <v>23.9</v>
      </c>
      <c r="I240">
        <v>246.4</v>
      </c>
      <c r="J240">
        <v>3.9</v>
      </c>
      <c r="K240">
        <v>0.47</v>
      </c>
      <c r="L240">
        <v>0.17</v>
      </c>
      <c r="M240">
        <v>1.53</v>
      </c>
      <c r="N240">
        <v>247.1</v>
      </c>
      <c r="O240">
        <v>3.8</v>
      </c>
      <c r="P240">
        <v>0.38</v>
      </c>
      <c r="Q240">
        <v>0.05</v>
      </c>
      <c r="R240">
        <v>1.53</v>
      </c>
      <c r="S240">
        <v>49</v>
      </c>
      <c r="T240" t="s">
        <v>336</v>
      </c>
    </row>
    <row r="241" spans="1:20" x14ac:dyDescent="0.2">
      <c r="A241" t="s">
        <v>199</v>
      </c>
      <c r="B241">
        <v>0.45100000000000001</v>
      </c>
      <c r="C241" s="1">
        <v>206.8776</v>
      </c>
      <c r="D241" s="1">
        <v>-11.7524</v>
      </c>
      <c r="E241">
        <v>14.4</v>
      </c>
      <c r="F241">
        <v>444.9</v>
      </c>
      <c r="G241">
        <v>7.5</v>
      </c>
      <c r="H241">
        <v>2.7</v>
      </c>
      <c r="I241">
        <v>176.7</v>
      </c>
      <c r="J241">
        <v>4.3</v>
      </c>
      <c r="K241">
        <v>1.1100000000000001</v>
      </c>
      <c r="L241">
        <v>0.04</v>
      </c>
      <c r="M241">
        <v>1.1599999999999999</v>
      </c>
      <c r="N241">
        <v>182.6</v>
      </c>
      <c r="O241">
        <v>3.6</v>
      </c>
      <c r="P241">
        <v>1.02</v>
      </c>
      <c r="Q241">
        <v>0.02</v>
      </c>
      <c r="R241">
        <v>1.56</v>
      </c>
      <c r="S241">
        <v>16</v>
      </c>
      <c r="T241" t="s">
        <v>336</v>
      </c>
    </row>
    <row r="242" spans="1:20" x14ac:dyDescent="0.2">
      <c r="A242" t="s">
        <v>592</v>
      </c>
      <c r="B242">
        <v>6.25E-2</v>
      </c>
      <c r="C242" s="1">
        <v>207.22</v>
      </c>
      <c r="D242" s="1">
        <v>26.5899</v>
      </c>
      <c r="E242">
        <v>3</v>
      </c>
      <c r="F242">
        <v>264.5</v>
      </c>
      <c r="G242">
        <v>14.7</v>
      </c>
      <c r="H242">
        <v>0.9</v>
      </c>
      <c r="I242">
        <v>138.30000000000001</v>
      </c>
      <c r="J242">
        <v>1.1000000000000001</v>
      </c>
      <c r="K242">
        <v>1.1299999999999999</v>
      </c>
      <c r="L242">
        <v>0.02</v>
      </c>
      <c r="M242">
        <v>2.5099999999999998</v>
      </c>
      <c r="N242">
        <v>140.9</v>
      </c>
      <c r="O242">
        <v>1.1000000000000001</v>
      </c>
      <c r="P242">
        <v>0.88</v>
      </c>
      <c r="Q242">
        <v>0.01</v>
      </c>
      <c r="R242">
        <v>7.06</v>
      </c>
      <c r="S242">
        <v>45</v>
      </c>
      <c r="T242" t="s">
        <v>336</v>
      </c>
    </row>
    <row r="243" spans="1:20" x14ac:dyDescent="0.2">
      <c r="A243" t="s">
        <v>760</v>
      </c>
      <c r="B243">
        <v>0.09</v>
      </c>
      <c r="C243" s="1">
        <v>207.59129999999999</v>
      </c>
      <c r="D243" s="1">
        <v>9.6698000000000004</v>
      </c>
      <c r="E243">
        <v>4.0999999999999996</v>
      </c>
      <c r="F243">
        <v>265.39999999999998</v>
      </c>
      <c r="G243">
        <v>7.2</v>
      </c>
      <c r="H243">
        <v>0.8</v>
      </c>
      <c r="I243">
        <v>146.30000000000001</v>
      </c>
      <c r="J243">
        <v>3.2</v>
      </c>
      <c r="K243">
        <v>1.1599999999999999</v>
      </c>
      <c r="L243">
        <v>0.03</v>
      </c>
      <c r="M243">
        <v>0.86</v>
      </c>
      <c r="N243">
        <v>148.5</v>
      </c>
      <c r="O243">
        <v>3.3</v>
      </c>
      <c r="P243">
        <v>0.94</v>
      </c>
      <c r="Q243">
        <v>0.02</v>
      </c>
      <c r="R243">
        <v>3.94</v>
      </c>
      <c r="S243">
        <v>25</v>
      </c>
      <c r="T243" t="s">
        <v>336</v>
      </c>
    </row>
    <row r="244" spans="1:20" x14ac:dyDescent="0.2">
      <c r="A244" t="s">
        <v>598</v>
      </c>
      <c r="B244">
        <v>0.44700000000000001</v>
      </c>
      <c r="C244" s="1">
        <v>209.79259999999999</v>
      </c>
      <c r="D244" s="1">
        <v>-19.490300000000001</v>
      </c>
      <c r="E244">
        <v>14.3</v>
      </c>
      <c r="F244">
        <v>485.4</v>
      </c>
      <c r="G244">
        <v>19.3</v>
      </c>
      <c r="H244">
        <v>3.8</v>
      </c>
      <c r="I244">
        <v>112.2</v>
      </c>
      <c r="J244">
        <v>7.2</v>
      </c>
      <c r="K244">
        <v>1.34</v>
      </c>
      <c r="L244">
        <v>0.08</v>
      </c>
      <c r="M244">
        <v>0.26</v>
      </c>
      <c r="N244">
        <v>125.1</v>
      </c>
      <c r="O244">
        <v>6.2</v>
      </c>
      <c r="P244">
        <v>0.95</v>
      </c>
      <c r="Q244">
        <v>0.05</v>
      </c>
      <c r="R244">
        <v>2.2200000000000002</v>
      </c>
      <c r="S244">
        <v>10</v>
      </c>
      <c r="T244" t="s">
        <v>336</v>
      </c>
    </row>
    <row r="245" spans="1:20" x14ac:dyDescent="0.2">
      <c r="A245" t="s">
        <v>202</v>
      </c>
      <c r="B245">
        <v>6.0999999999999999E-2</v>
      </c>
      <c r="C245" s="1">
        <v>209.81559999999999</v>
      </c>
      <c r="D245" s="1">
        <v>27.975300000000001</v>
      </c>
      <c r="E245">
        <v>8.6999999999999993</v>
      </c>
      <c r="F245">
        <v>412.6</v>
      </c>
      <c r="G245">
        <v>81.099999999999994</v>
      </c>
      <c r="H245">
        <v>13.5</v>
      </c>
      <c r="I245">
        <v>186.6</v>
      </c>
      <c r="J245">
        <v>7.9</v>
      </c>
      <c r="K245">
        <v>1.2</v>
      </c>
      <c r="L245">
        <v>0.12</v>
      </c>
      <c r="M245">
        <v>0.44</v>
      </c>
      <c r="N245">
        <v>206.1</v>
      </c>
      <c r="O245">
        <v>6.4</v>
      </c>
      <c r="P245">
        <v>0.69</v>
      </c>
      <c r="Q245">
        <v>0.06</v>
      </c>
      <c r="R245">
        <v>1.1100000000000001</v>
      </c>
      <c r="S245">
        <v>27</v>
      </c>
      <c r="T245" t="s">
        <v>336</v>
      </c>
    </row>
    <row r="246" spans="1:20" x14ac:dyDescent="0.2">
      <c r="A246" t="s">
        <v>599</v>
      </c>
      <c r="B246">
        <v>0.32200000000000001</v>
      </c>
      <c r="C246" s="1">
        <v>209.96090000000001</v>
      </c>
      <c r="D246" s="1">
        <v>62.518000000000001</v>
      </c>
      <c r="E246">
        <v>11.6</v>
      </c>
      <c r="F246">
        <v>742.7</v>
      </c>
      <c r="G246">
        <v>7.6</v>
      </c>
      <c r="H246">
        <v>6.9</v>
      </c>
      <c r="I246">
        <v>197</v>
      </c>
      <c r="J246">
        <v>8.5</v>
      </c>
      <c r="K246">
        <v>0.9</v>
      </c>
      <c r="L246">
        <v>0.06</v>
      </c>
      <c r="M246">
        <v>0.95</v>
      </c>
      <c r="N246">
        <v>203.2</v>
      </c>
      <c r="O246">
        <v>5.9</v>
      </c>
      <c r="P246">
        <v>0.85</v>
      </c>
      <c r="Q246">
        <v>0.03</v>
      </c>
      <c r="R246">
        <v>0.96</v>
      </c>
      <c r="S246">
        <v>24</v>
      </c>
      <c r="T246" t="s">
        <v>336</v>
      </c>
    </row>
    <row r="247" spans="1:20" x14ac:dyDescent="0.2">
      <c r="A247" t="s">
        <v>203</v>
      </c>
      <c r="B247">
        <v>0.253</v>
      </c>
      <c r="C247" s="1">
        <v>210.25810000000001</v>
      </c>
      <c r="D247" s="1">
        <v>2.8788999999999998</v>
      </c>
      <c r="E247">
        <v>9.8000000000000007</v>
      </c>
      <c r="F247">
        <v>596.4</v>
      </c>
      <c r="G247">
        <v>11.8</v>
      </c>
      <c r="H247">
        <v>1.3</v>
      </c>
      <c r="I247">
        <v>117.9</v>
      </c>
      <c r="J247">
        <v>3.5</v>
      </c>
      <c r="K247">
        <v>1.34</v>
      </c>
      <c r="L247">
        <v>0.03</v>
      </c>
      <c r="M247">
        <v>1.57</v>
      </c>
      <c r="N247">
        <v>132.6</v>
      </c>
      <c r="O247">
        <v>2.8</v>
      </c>
      <c r="P247">
        <v>1.1000000000000001</v>
      </c>
      <c r="Q247">
        <v>0.02</v>
      </c>
      <c r="R247">
        <v>3.85</v>
      </c>
      <c r="S247">
        <v>31</v>
      </c>
      <c r="T247" t="s">
        <v>336</v>
      </c>
    </row>
    <row r="248" spans="1:20" x14ac:dyDescent="0.2">
      <c r="A248" t="s">
        <v>601</v>
      </c>
      <c r="B248">
        <v>1.38E-2</v>
      </c>
      <c r="C248" s="1">
        <v>210.9117</v>
      </c>
      <c r="D248" s="1">
        <v>-33.978099999999998</v>
      </c>
      <c r="E248">
        <v>0.7</v>
      </c>
      <c r="F248">
        <v>53.5</v>
      </c>
      <c r="G248">
        <v>-3.3</v>
      </c>
      <c r="H248">
        <v>1.3</v>
      </c>
      <c r="I248">
        <v>406.8</v>
      </c>
      <c r="J248">
        <v>31.8</v>
      </c>
      <c r="K248">
        <v>0.82</v>
      </c>
      <c r="L248">
        <v>0.06</v>
      </c>
      <c r="M248">
        <v>0.96</v>
      </c>
      <c r="N248">
        <v>477.4</v>
      </c>
      <c r="O248">
        <v>26.9</v>
      </c>
      <c r="P248">
        <v>0.97</v>
      </c>
      <c r="Q248">
        <v>0.02</v>
      </c>
      <c r="R248">
        <v>2.17</v>
      </c>
      <c r="S248">
        <v>9</v>
      </c>
      <c r="T248" t="s">
        <v>336</v>
      </c>
    </row>
    <row r="249" spans="1:20" x14ac:dyDescent="0.2">
      <c r="A249" t="s">
        <v>602</v>
      </c>
      <c r="B249">
        <v>1.38E-2</v>
      </c>
      <c r="C249" s="1">
        <v>210.9119</v>
      </c>
      <c r="D249" s="1">
        <v>-33.978299999999997</v>
      </c>
      <c r="E249">
        <v>0.7</v>
      </c>
      <c r="F249">
        <v>58.4</v>
      </c>
      <c r="G249">
        <v>-5.4</v>
      </c>
      <c r="H249">
        <v>1.8</v>
      </c>
      <c r="I249">
        <v>352.7</v>
      </c>
      <c r="J249">
        <v>46.5</v>
      </c>
      <c r="K249">
        <v>0.74</v>
      </c>
      <c r="L249">
        <v>0.08</v>
      </c>
      <c r="M249">
        <v>0.44</v>
      </c>
      <c r="N249">
        <v>470.2</v>
      </c>
      <c r="O249">
        <v>44.8</v>
      </c>
      <c r="P249">
        <v>0.95</v>
      </c>
      <c r="Q249">
        <v>0.02</v>
      </c>
      <c r="R249">
        <v>2.09</v>
      </c>
      <c r="S249">
        <v>12</v>
      </c>
      <c r="T249" t="s">
        <v>336</v>
      </c>
    </row>
    <row r="250" spans="1:20" x14ac:dyDescent="0.2">
      <c r="A250" t="s">
        <v>603</v>
      </c>
      <c r="B250">
        <v>2.3E-2</v>
      </c>
      <c r="C250" s="1">
        <v>211.8741</v>
      </c>
      <c r="D250" s="1">
        <v>-27.0183</v>
      </c>
      <c r="E250">
        <v>1.1000000000000001</v>
      </c>
      <c r="F250">
        <v>85.9</v>
      </c>
      <c r="G250">
        <v>6</v>
      </c>
      <c r="H250">
        <v>0.2</v>
      </c>
      <c r="I250">
        <v>121.2</v>
      </c>
      <c r="J250">
        <v>2.2000000000000002</v>
      </c>
      <c r="K250">
        <v>1.06</v>
      </c>
      <c r="L250">
        <v>0.02</v>
      </c>
      <c r="M250">
        <v>3.2</v>
      </c>
      <c r="N250">
        <v>96</v>
      </c>
      <c r="O250">
        <v>1.3</v>
      </c>
      <c r="P250">
        <v>0.75</v>
      </c>
      <c r="Q250">
        <v>0.01</v>
      </c>
      <c r="R250">
        <v>13.84</v>
      </c>
      <c r="S250">
        <v>38</v>
      </c>
      <c r="T250" t="s">
        <v>328</v>
      </c>
    </row>
    <row r="251" spans="1:20" x14ac:dyDescent="0.2">
      <c r="A251" t="s">
        <v>204</v>
      </c>
      <c r="B251">
        <v>0.14099999999999999</v>
      </c>
      <c r="C251" s="1">
        <v>213.77850000000001</v>
      </c>
      <c r="D251" s="1">
        <v>-0.49199999999999999</v>
      </c>
      <c r="E251">
        <v>18.399999999999999</v>
      </c>
      <c r="F251">
        <v>141.19999999999999</v>
      </c>
      <c r="G251">
        <v>-30.7</v>
      </c>
      <c r="H251">
        <v>16.3</v>
      </c>
      <c r="I251">
        <v>277.5</v>
      </c>
      <c r="J251">
        <v>16</v>
      </c>
      <c r="K251">
        <v>1.21</v>
      </c>
      <c r="L251">
        <v>0.17</v>
      </c>
      <c r="M251">
        <v>0.63</v>
      </c>
      <c r="N251">
        <v>272.5</v>
      </c>
      <c r="O251">
        <v>15.6</v>
      </c>
      <c r="P251">
        <v>1.77</v>
      </c>
      <c r="Q251">
        <v>0.06</v>
      </c>
      <c r="R251">
        <v>1.89</v>
      </c>
      <c r="S251">
        <v>9</v>
      </c>
      <c r="T251" t="s">
        <v>336</v>
      </c>
    </row>
    <row r="252" spans="1:20" x14ac:dyDescent="0.2">
      <c r="A252" t="s">
        <v>205</v>
      </c>
      <c r="B252">
        <v>1.03</v>
      </c>
      <c r="C252" s="1">
        <v>213.7954</v>
      </c>
      <c r="D252" s="1">
        <v>36.202199999999998</v>
      </c>
      <c r="E252">
        <v>20.2</v>
      </c>
      <c r="F252">
        <v>324</v>
      </c>
      <c r="G252">
        <v>-26.1</v>
      </c>
      <c r="H252">
        <v>97.6</v>
      </c>
      <c r="I252">
        <v>153.30000000000001</v>
      </c>
      <c r="J252">
        <v>10.3</v>
      </c>
      <c r="K252">
        <v>0.41</v>
      </c>
      <c r="L252">
        <v>0.68</v>
      </c>
      <c r="M252">
        <v>0.1</v>
      </c>
      <c r="N252">
        <v>150.69999999999999</v>
      </c>
      <c r="O252">
        <v>6.9</v>
      </c>
      <c r="P252">
        <v>0.5</v>
      </c>
      <c r="Q252">
        <v>0.09</v>
      </c>
      <c r="R252">
        <v>0.11</v>
      </c>
      <c r="S252">
        <v>8</v>
      </c>
      <c r="T252" t="s">
        <v>336</v>
      </c>
    </row>
    <row r="253" spans="1:20" x14ac:dyDescent="0.2">
      <c r="A253" t="s">
        <v>206</v>
      </c>
      <c r="B253">
        <v>0.38600000000000001</v>
      </c>
      <c r="C253" s="1">
        <v>214.11609999999999</v>
      </c>
      <c r="D253" s="1">
        <v>44.779200000000003</v>
      </c>
      <c r="E253">
        <v>26.1</v>
      </c>
      <c r="F253">
        <v>444.2</v>
      </c>
      <c r="G253">
        <v>14</v>
      </c>
      <c r="H253">
        <v>17</v>
      </c>
      <c r="I253">
        <v>118.6</v>
      </c>
      <c r="J253">
        <v>10.1</v>
      </c>
      <c r="K253">
        <v>0.93</v>
      </c>
      <c r="L253">
        <v>0.19</v>
      </c>
      <c r="M253">
        <v>0.05</v>
      </c>
      <c r="N253">
        <v>123.9</v>
      </c>
      <c r="O253">
        <v>6.8</v>
      </c>
      <c r="P253">
        <v>0.81</v>
      </c>
      <c r="Q253">
        <v>7.0000000000000007E-2</v>
      </c>
      <c r="R253">
        <v>0.17</v>
      </c>
      <c r="S253">
        <v>6</v>
      </c>
      <c r="T253" t="s">
        <v>336</v>
      </c>
    </row>
    <row r="254" spans="1:20" x14ac:dyDescent="0.2">
      <c r="A254" t="s">
        <v>207</v>
      </c>
      <c r="B254">
        <v>0.54300000000000004</v>
      </c>
      <c r="C254" s="1">
        <v>215.9495</v>
      </c>
      <c r="D254" s="1">
        <v>24.078499999999998</v>
      </c>
      <c r="E254">
        <v>15.9</v>
      </c>
      <c r="F254">
        <v>333.5</v>
      </c>
      <c r="G254">
        <v>3.6</v>
      </c>
      <c r="H254">
        <v>3.4</v>
      </c>
      <c r="I254">
        <v>132.1</v>
      </c>
      <c r="J254">
        <v>4.5999999999999996</v>
      </c>
      <c r="K254">
        <v>1.06</v>
      </c>
      <c r="L254">
        <v>0.06</v>
      </c>
      <c r="M254">
        <v>0.67</v>
      </c>
      <c r="N254">
        <v>135.80000000000001</v>
      </c>
      <c r="O254">
        <v>3.6</v>
      </c>
      <c r="P254">
        <v>1</v>
      </c>
      <c r="Q254">
        <v>0.02</v>
      </c>
      <c r="R254">
        <v>0.72</v>
      </c>
      <c r="S254">
        <v>11</v>
      </c>
      <c r="T254" t="s">
        <v>336</v>
      </c>
    </row>
    <row r="255" spans="1:20" x14ac:dyDescent="0.2">
      <c r="A255" t="s">
        <v>208</v>
      </c>
      <c r="B255">
        <v>0.17100000000000001</v>
      </c>
      <c r="C255" s="1">
        <v>216.51320000000001</v>
      </c>
      <c r="D255" s="1">
        <v>37.823799999999999</v>
      </c>
      <c r="E255">
        <v>7.2</v>
      </c>
      <c r="F255">
        <v>915</v>
      </c>
      <c r="G255">
        <v>93.6</v>
      </c>
      <c r="H255">
        <v>17.8</v>
      </c>
      <c r="I255">
        <v>227.9</v>
      </c>
      <c r="J255">
        <v>8.3000000000000007</v>
      </c>
      <c r="K255">
        <v>0.86</v>
      </c>
      <c r="L255">
        <v>0.1</v>
      </c>
      <c r="M255">
        <v>0.53</v>
      </c>
      <c r="N255">
        <v>245.5</v>
      </c>
      <c r="O255">
        <v>7.6</v>
      </c>
      <c r="P255">
        <v>0.56999999999999995</v>
      </c>
      <c r="Q255">
        <v>0.04</v>
      </c>
      <c r="R255">
        <v>0.8</v>
      </c>
      <c r="S255">
        <v>49</v>
      </c>
      <c r="T255" t="s">
        <v>336</v>
      </c>
    </row>
    <row r="256" spans="1:20" x14ac:dyDescent="0.2">
      <c r="A256" t="s">
        <v>209</v>
      </c>
      <c r="B256">
        <v>0.498</v>
      </c>
      <c r="C256" s="1">
        <v>216.81720000000001</v>
      </c>
      <c r="D256" s="1">
        <v>44.1252</v>
      </c>
      <c r="E256">
        <v>15.2</v>
      </c>
      <c r="F256">
        <v>622.1</v>
      </c>
      <c r="G256">
        <v>7.4</v>
      </c>
      <c r="H256">
        <v>2.8</v>
      </c>
      <c r="I256">
        <v>130.69999999999999</v>
      </c>
      <c r="J256">
        <v>5.3</v>
      </c>
      <c r="K256">
        <v>1.22</v>
      </c>
      <c r="L256">
        <v>0.04</v>
      </c>
      <c r="M256">
        <v>2.1</v>
      </c>
      <c r="N256">
        <v>138.30000000000001</v>
      </c>
      <c r="O256">
        <v>4.2</v>
      </c>
      <c r="P256">
        <v>1.1200000000000001</v>
      </c>
      <c r="Q256">
        <v>0.03</v>
      </c>
      <c r="R256">
        <v>2.4500000000000002</v>
      </c>
      <c r="S256">
        <v>14</v>
      </c>
      <c r="T256" t="s">
        <v>336</v>
      </c>
    </row>
    <row r="257" spans="1:20" x14ac:dyDescent="0.2">
      <c r="A257" t="s">
        <v>210</v>
      </c>
      <c r="B257">
        <v>0.318</v>
      </c>
      <c r="C257" s="1">
        <v>216.9144</v>
      </c>
      <c r="D257" s="1">
        <v>-25.3508</v>
      </c>
      <c r="E257">
        <v>11.5</v>
      </c>
      <c r="F257">
        <v>207.1</v>
      </c>
      <c r="G257">
        <v>9</v>
      </c>
      <c r="H257">
        <v>3.8</v>
      </c>
      <c r="I257">
        <v>156.9</v>
      </c>
      <c r="J257">
        <v>5.9</v>
      </c>
      <c r="K257">
        <v>1.18</v>
      </c>
      <c r="L257">
        <v>0.09</v>
      </c>
      <c r="M257">
        <v>0.12</v>
      </c>
      <c r="N257">
        <v>158.1</v>
      </c>
      <c r="O257">
        <v>6.1</v>
      </c>
      <c r="P257">
        <v>0.99</v>
      </c>
      <c r="Q257">
        <v>0.04</v>
      </c>
      <c r="R257">
        <v>0.64</v>
      </c>
      <c r="S257">
        <v>9</v>
      </c>
      <c r="T257" t="s">
        <v>336</v>
      </c>
    </row>
    <row r="258" spans="1:20" x14ac:dyDescent="0.2">
      <c r="A258" t="s">
        <v>211</v>
      </c>
      <c r="B258">
        <v>0.13100000000000001</v>
      </c>
      <c r="C258" s="1">
        <v>218.15819999999999</v>
      </c>
      <c r="D258" s="1">
        <v>31.647099999999998</v>
      </c>
      <c r="E258">
        <v>5.8</v>
      </c>
      <c r="F258">
        <v>357.5</v>
      </c>
      <c r="G258">
        <v>5.4</v>
      </c>
      <c r="H258">
        <v>2.2000000000000002</v>
      </c>
      <c r="I258">
        <v>176</v>
      </c>
      <c r="J258">
        <v>3.8</v>
      </c>
      <c r="K258">
        <v>0.92</v>
      </c>
      <c r="L258">
        <v>0.04</v>
      </c>
      <c r="M258">
        <v>0.96</v>
      </c>
      <c r="N258">
        <v>180.6</v>
      </c>
      <c r="O258">
        <v>3.2</v>
      </c>
      <c r="P258">
        <v>0.86</v>
      </c>
      <c r="Q258">
        <v>0.02</v>
      </c>
      <c r="R258">
        <v>1.1499999999999999</v>
      </c>
      <c r="S258">
        <v>27</v>
      </c>
      <c r="T258" t="s">
        <v>336</v>
      </c>
    </row>
    <row r="259" spans="1:20" x14ac:dyDescent="0.2">
      <c r="A259" t="s">
        <v>212</v>
      </c>
      <c r="B259">
        <v>0.224</v>
      </c>
      <c r="C259" s="1">
        <v>219.5915</v>
      </c>
      <c r="D259" s="1">
        <v>3.6701999999999999</v>
      </c>
      <c r="E259">
        <v>17.8</v>
      </c>
      <c r="F259">
        <v>999.2</v>
      </c>
      <c r="G259">
        <v>-199.3</v>
      </c>
      <c r="H259">
        <v>378.9</v>
      </c>
      <c r="I259">
        <v>299.3</v>
      </c>
      <c r="J259">
        <v>14.6</v>
      </c>
      <c r="K259">
        <v>0.2</v>
      </c>
      <c r="L259">
        <v>0.71</v>
      </c>
      <c r="M259">
        <v>0.51</v>
      </c>
      <c r="N259">
        <v>294.2</v>
      </c>
      <c r="O259">
        <v>12.8</v>
      </c>
      <c r="P259">
        <v>0.31</v>
      </c>
      <c r="Q259">
        <v>0.1</v>
      </c>
      <c r="R259">
        <v>0.52</v>
      </c>
      <c r="S259">
        <v>33</v>
      </c>
      <c r="T259" t="s">
        <v>336</v>
      </c>
    </row>
    <row r="260" spans="1:20" x14ac:dyDescent="0.2">
      <c r="A260" t="s">
        <v>611</v>
      </c>
      <c r="B260">
        <v>2.7E-2</v>
      </c>
      <c r="C260" s="1">
        <v>220.16489999999999</v>
      </c>
      <c r="D260" s="1">
        <v>3.4710000000000001</v>
      </c>
      <c r="E260">
        <v>5.4</v>
      </c>
      <c r="F260">
        <v>58.9</v>
      </c>
      <c r="G260">
        <v>-436.1</v>
      </c>
      <c r="H260">
        <v>8291.7999999999993</v>
      </c>
      <c r="I260">
        <v>250.5</v>
      </c>
      <c r="J260">
        <v>47.1</v>
      </c>
      <c r="K260">
        <v>0.06</v>
      </c>
      <c r="L260">
        <v>13.52</v>
      </c>
      <c r="M260">
        <v>0.26</v>
      </c>
      <c r="N260">
        <v>259.7</v>
      </c>
      <c r="O260">
        <v>25</v>
      </c>
      <c r="P260">
        <v>0.22</v>
      </c>
      <c r="Q260">
        <v>0.3</v>
      </c>
      <c r="R260">
        <v>0.3</v>
      </c>
      <c r="S260">
        <v>10</v>
      </c>
      <c r="T260" t="s">
        <v>336</v>
      </c>
    </row>
    <row r="261" spans="1:20" x14ac:dyDescent="0.2">
      <c r="A261" t="s">
        <v>612</v>
      </c>
      <c r="B261">
        <v>5.8999999999999997E-2</v>
      </c>
      <c r="C261" s="1">
        <v>223.63140000000001</v>
      </c>
      <c r="D261" s="1">
        <v>18.644500000000001</v>
      </c>
      <c r="E261">
        <v>2.8</v>
      </c>
      <c r="F261">
        <v>149.30000000000001</v>
      </c>
      <c r="G261">
        <v>0.9</v>
      </c>
      <c r="H261">
        <v>0.3</v>
      </c>
      <c r="I261">
        <v>130.19999999999999</v>
      </c>
      <c r="J261">
        <v>3.2</v>
      </c>
      <c r="K261">
        <v>1.04</v>
      </c>
      <c r="L261">
        <v>0.02</v>
      </c>
      <c r="M261">
        <v>1.55</v>
      </c>
      <c r="N261">
        <v>125.7</v>
      </c>
      <c r="O261">
        <v>2.8</v>
      </c>
      <c r="P261">
        <v>0.98</v>
      </c>
      <c r="Q261">
        <v>0.01</v>
      </c>
      <c r="R261">
        <v>1.9</v>
      </c>
      <c r="S261">
        <v>27</v>
      </c>
      <c r="T261" t="s">
        <v>336</v>
      </c>
    </row>
    <row r="262" spans="1:20" x14ac:dyDescent="0.2">
      <c r="A262" t="s">
        <v>213</v>
      </c>
      <c r="B262">
        <v>0.25800000000000001</v>
      </c>
      <c r="C262" s="1">
        <v>224.31290000000001</v>
      </c>
      <c r="D262" s="1">
        <v>22.342500000000001</v>
      </c>
      <c r="E262">
        <v>9.9</v>
      </c>
      <c r="F262">
        <v>486</v>
      </c>
      <c r="G262">
        <v>14.9</v>
      </c>
      <c r="H262">
        <v>1.3</v>
      </c>
      <c r="I262">
        <v>95</v>
      </c>
      <c r="J262">
        <v>2.2999999999999998</v>
      </c>
      <c r="K262">
        <v>1.24</v>
      </c>
      <c r="L262">
        <v>0.03</v>
      </c>
      <c r="M262">
        <v>1.25</v>
      </c>
      <c r="N262">
        <v>104.4</v>
      </c>
      <c r="O262">
        <v>2</v>
      </c>
      <c r="P262">
        <v>0.92</v>
      </c>
      <c r="Q262">
        <v>0.02</v>
      </c>
      <c r="R262">
        <v>5.15</v>
      </c>
      <c r="S262">
        <v>25</v>
      </c>
      <c r="T262" t="s">
        <v>336</v>
      </c>
    </row>
    <row r="263" spans="1:20" x14ac:dyDescent="0.2">
      <c r="A263" t="s">
        <v>214</v>
      </c>
      <c r="B263">
        <v>0.23599999999999999</v>
      </c>
      <c r="C263" s="1">
        <v>224.8706</v>
      </c>
      <c r="D263" s="1">
        <v>-18.179300000000001</v>
      </c>
      <c r="E263">
        <v>9.3000000000000007</v>
      </c>
      <c r="F263">
        <v>436.3</v>
      </c>
      <c r="G263">
        <v>16.100000000000001</v>
      </c>
      <c r="H263">
        <v>1.5</v>
      </c>
      <c r="I263">
        <v>111.8</v>
      </c>
      <c r="J263">
        <v>2.8</v>
      </c>
      <c r="K263">
        <v>1.26</v>
      </c>
      <c r="L263">
        <v>0.03</v>
      </c>
      <c r="M263">
        <v>1.42</v>
      </c>
      <c r="N263">
        <v>124.4</v>
      </c>
      <c r="O263">
        <v>2.2999999999999998</v>
      </c>
      <c r="P263">
        <v>0.99</v>
      </c>
      <c r="Q263">
        <v>0.02</v>
      </c>
      <c r="R263">
        <v>5.39</v>
      </c>
      <c r="S263">
        <v>24</v>
      </c>
      <c r="T263" t="s">
        <v>336</v>
      </c>
    </row>
    <row r="264" spans="1:20" x14ac:dyDescent="0.2">
      <c r="A264" t="s">
        <v>613</v>
      </c>
      <c r="B264">
        <v>0.153</v>
      </c>
      <c r="C264" s="1">
        <v>225.08160000000001</v>
      </c>
      <c r="D264" s="1">
        <v>21.369900000000001</v>
      </c>
      <c r="E264">
        <v>6.6</v>
      </c>
      <c r="F264">
        <v>769.1</v>
      </c>
      <c r="G264">
        <v>15.8</v>
      </c>
      <c r="H264">
        <v>2</v>
      </c>
      <c r="I264">
        <v>169.8</v>
      </c>
      <c r="J264">
        <v>3.3</v>
      </c>
      <c r="K264">
        <v>1.06</v>
      </c>
      <c r="L264">
        <v>0.02</v>
      </c>
      <c r="M264">
        <v>0.53</v>
      </c>
      <c r="N264">
        <v>182.2</v>
      </c>
      <c r="O264">
        <v>2.7</v>
      </c>
      <c r="P264">
        <v>0.92</v>
      </c>
      <c r="Q264">
        <v>0.02</v>
      </c>
      <c r="R264">
        <v>1.85</v>
      </c>
      <c r="S264">
        <v>39</v>
      </c>
      <c r="T264" t="s">
        <v>336</v>
      </c>
    </row>
    <row r="265" spans="1:20" x14ac:dyDescent="0.2">
      <c r="A265" t="s">
        <v>216</v>
      </c>
      <c r="B265">
        <v>0.215</v>
      </c>
      <c r="C265" s="1">
        <v>226.03110000000001</v>
      </c>
      <c r="D265" s="1">
        <v>-2.8045</v>
      </c>
      <c r="E265">
        <v>8.6</v>
      </c>
      <c r="F265">
        <v>1132.4000000000001</v>
      </c>
      <c r="G265">
        <v>9</v>
      </c>
      <c r="H265">
        <v>0.5</v>
      </c>
      <c r="I265">
        <v>90.6</v>
      </c>
      <c r="J265">
        <v>1.7</v>
      </c>
      <c r="K265">
        <v>1.31</v>
      </c>
      <c r="L265">
        <v>0.01</v>
      </c>
      <c r="M265">
        <v>1.67</v>
      </c>
      <c r="N265">
        <v>103.1</v>
      </c>
      <c r="O265">
        <v>1.5</v>
      </c>
      <c r="P265">
        <v>1.1100000000000001</v>
      </c>
      <c r="Q265">
        <v>0.01</v>
      </c>
      <c r="R265">
        <v>6.81</v>
      </c>
      <c r="S265">
        <v>52</v>
      </c>
      <c r="T265" t="s">
        <v>336</v>
      </c>
    </row>
    <row r="266" spans="1:20" x14ac:dyDescent="0.2">
      <c r="A266" t="s">
        <v>615</v>
      </c>
      <c r="B266">
        <v>5.7000000000000002E-3</v>
      </c>
      <c r="C266" s="1">
        <v>226.6217</v>
      </c>
      <c r="D266" s="1">
        <v>1.6060000000000001</v>
      </c>
      <c r="E266">
        <v>0.3</v>
      </c>
      <c r="F266">
        <v>9.6</v>
      </c>
      <c r="G266">
        <v>1.6</v>
      </c>
      <c r="H266">
        <v>0.2</v>
      </c>
      <c r="I266">
        <v>218.1</v>
      </c>
      <c r="J266">
        <v>37.1</v>
      </c>
      <c r="K266">
        <v>1.1100000000000001</v>
      </c>
      <c r="L266">
        <v>0.06</v>
      </c>
      <c r="M266">
        <v>3.16</v>
      </c>
      <c r="N266">
        <v>98.4</v>
      </c>
      <c r="O266">
        <v>6.4</v>
      </c>
      <c r="P266">
        <v>0.78</v>
      </c>
      <c r="Q266">
        <v>0.02</v>
      </c>
      <c r="R266">
        <v>5.15</v>
      </c>
      <c r="S266">
        <v>17</v>
      </c>
      <c r="T266" t="s">
        <v>336</v>
      </c>
    </row>
    <row r="267" spans="1:20" x14ac:dyDescent="0.2">
      <c r="A267" t="s">
        <v>617</v>
      </c>
      <c r="B267">
        <v>7.22E-2</v>
      </c>
      <c r="C267" s="1">
        <v>227.7337</v>
      </c>
      <c r="D267" s="1">
        <v>5.7447999999999997</v>
      </c>
      <c r="E267">
        <v>3.4</v>
      </c>
      <c r="F267">
        <v>342.9</v>
      </c>
      <c r="G267">
        <v>7.1</v>
      </c>
      <c r="H267">
        <v>0.7</v>
      </c>
      <c r="I267">
        <v>181.4</v>
      </c>
      <c r="J267">
        <v>1.3</v>
      </c>
      <c r="K267">
        <v>0.88</v>
      </c>
      <c r="L267">
        <v>0.01</v>
      </c>
      <c r="M267">
        <v>2.82</v>
      </c>
      <c r="N267">
        <v>181.8</v>
      </c>
      <c r="O267">
        <v>1.3</v>
      </c>
      <c r="P267">
        <v>0.78</v>
      </c>
      <c r="Q267">
        <v>0.01</v>
      </c>
      <c r="R267">
        <v>4.4400000000000004</v>
      </c>
      <c r="S267">
        <v>51</v>
      </c>
      <c r="T267" t="s">
        <v>336</v>
      </c>
    </row>
    <row r="268" spans="1:20" x14ac:dyDescent="0.2">
      <c r="A268" t="s">
        <v>218</v>
      </c>
      <c r="B268">
        <v>0.223</v>
      </c>
      <c r="C268" s="1">
        <v>228.7621</v>
      </c>
      <c r="D268" s="1">
        <v>-15.3895</v>
      </c>
      <c r="E268">
        <v>26.7</v>
      </c>
      <c r="F268">
        <v>1146.9000000000001</v>
      </c>
      <c r="G268">
        <v>-688.5</v>
      </c>
      <c r="H268">
        <v>254.6</v>
      </c>
      <c r="I268">
        <v>278.3</v>
      </c>
      <c r="J268">
        <v>18</v>
      </c>
      <c r="K268">
        <v>0.26</v>
      </c>
      <c r="L268">
        <v>0.26</v>
      </c>
      <c r="M268">
        <v>1.1200000000000001</v>
      </c>
      <c r="N268">
        <v>106.1</v>
      </c>
      <c r="O268">
        <v>6.4</v>
      </c>
      <c r="P268">
        <v>1.1399999999999999</v>
      </c>
      <c r="Q268">
        <v>0.03</v>
      </c>
      <c r="R268">
        <v>4.88</v>
      </c>
      <c r="S268">
        <v>55</v>
      </c>
      <c r="T268" t="s">
        <v>336</v>
      </c>
    </row>
    <row r="269" spans="1:20" x14ac:dyDescent="0.2">
      <c r="A269" t="s">
        <v>619</v>
      </c>
      <c r="B269">
        <v>3.5499999999999997E-2</v>
      </c>
      <c r="C269" s="1">
        <v>229.18129999999999</v>
      </c>
      <c r="D269" s="1">
        <v>7.0221999999999998</v>
      </c>
      <c r="E269">
        <v>1.7</v>
      </c>
      <c r="F269">
        <v>67.900000000000006</v>
      </c>
      <c r="G269">
        <v>-3.7</v>
      </c>
      <c r="H269">
        <v>1</v>
      </c>
      <c r="I269">
        <v>159.9</v>
      </c>
      <c r="J269">
        <v>2.5</v>
      </c>
      <c r="K269">
        <v>0.99</v>
      </c>
      <c r="L269">
        <v>0.03</v>
      </c>
      <c r="M269">
        <v>5.19</v>
      </c>
      <c r="N269">
        <v>168.2</v>
      </c>
      <c r="O269">
        <v>1.5</v>
      </c>
      <c r="P269">
        <v>1.0900000000000001</v>
      </c>
      <c r="Q269">
        <v>0.01</v>
      </c>
      <c r="R269">
        <v>5.87</v>
      </c>
      <c r="S269">
        <v>17</v>
      </c>
      <c r="T269" t="s">
        <v>336</v>
      </c>
    </row>
    <row r="270" spans="1:20" x14ac:dyDescent="0.2">
      <c r="A270" t="s">
        <v>621</v>
      </c>
      <c r="B270">
        <v>7.8E-2</v>
      </c>
      <c r="C270" s="1">
        <v>230.2929</v>
      </c>
      <c r="D270" s="1">
        <v>30.611499999999999</v>
      </c>
      <c r="E270">
        <v>18.2</v>
      </c>
      <c r="F270">
        <v>754.2</v>
      </c>
      <c r="G270">
        <v>179.7</v>
      </c>
      <c r="H270">
        <v>30.6</v>
      </c>
      <c r="I270">
        <v>256.10000000000002</v>
      </c>
      <c r="J270">
        <v>12.9</v>
      </c>
      <c r="K270">
        <v>1.0900000000000001</v>
      </c>
      <c r="L270">
        <v>0.12</v>
      </c>
      <c r="M270">
        <v>0.55000000000000004</v>
      </c>
      <c r="N270">
        <v>228.1</v>
      </c>
      <c r="O270">
        <v>10.9</v>
      </c>
      <c r="P270">
        <v>0.63</v>
      </c>
      <c r="Q270">
        <v>0.05</v>
      </c>
      <c r="R270">
        <v>0.8</v>
      </c>
      <c r="S270">
        <v>69</v>
      </c>
      <c r="T270" t="s">
        <v>336</v>
      </c>
    </row>
    <row r="271" spans="1:20" x14ac:dyDescent="0.2">
      <c r="A271" t="s">
        <v>219</v>
      </c>
      <c r="B271">
        <v>4.4999999999999998E-2</v>
      </c>
      <c r="C271" s="1">
        <v>230.46600000000001</v>
      </c>
      <c r="D271" s="1">
        <v>7.7081</v>
      </c>
      <c r="E271">
        <v>2.2000000000000002</v>
      </c>
      <c r="F271">
        <v>216.2</v>
      </c>
      <c r="G271">
        <v>21.4</v>
      </c>
      <c r="H271">
        <v>2</v>
      </c>
      <c r="I271">
        <v>136.1</v>
      </c>
      <c r="J271">
        <v>1.8</v>
      </c>
      <c r="K271">
        <v>0.96</v>
      </c>
      <c r="L271">
        <v>0.04</v>
      </c>
      <c r="M271">
        <v>1.0900000000000001</v>
      </c>
      <c r="N271">
        <v>135.6</v>
      </c>
      <c r="O271">
        <v>1.8</v>
      </c>
      <c r="P271">
        <v>0.68</v>
      </c>
      <c r="Q271">
        <v>0.02</v>
      </c>
      <c r="R271">
        <v>2.57</v>
      </c>
      <c r="S271">
        <v>50</v>
      </c>
      <c r="T271" t="s">
        <v>336</v>
      </c>
    </row>
    <row r="272" spans="1:20" x14ac:dyDescent="0.2">
      <c r="A272" t="s">
        <v>622</v>
      </c>
      <c r="B272">
        <v>3.49E-2</v>
      </c>
      <c r="C272" s="1">
        <v>230.77170000000001</v>
      </c>
      <c r="D272" s="1">
        <v>8.6095000000000006</v>
      </c>
      <c r="E272">
        <v>1.7</v>
      </c>
      <c r="F272">
        <v>138.80000000000001</v>
      </c>
      <c r="G272">
        <v>45.9</v>
      </c>
      <c r="H272">
        <v>7.3</v>
      </c>
      <c r="I272">
        <v>224.4</v>
      </c>
      <c r="J272">
        <v>4.4000000000000004</v>
      </c>
      <c r="K272">
        <v>1.04</v>
      </c>
      <c r="L272">
        <v>0.1</v>
      </c>
      <c r="M272">
        <v>1.49</v>
      </c>
      <c r="N272">
        <v>221.2</v>
      </c>
      <c r="O272">
        <v>4.3</v>
      </c>
      <c r="P272">
        <v>0.66</v>
      </c>
      <c r="Q272">
        <v>0.04</v>
      </c>
      <c r="R272">
        <v>2.02</v>
      </c>
      <c r="S272">
        <v>41</v>
      </c>
      <c r="T272" t="s">
        <v>336</v>
      </c>
    </row>
    <row r="273" spans="1:20" x14ac:dyDescent="0.2">
      <c r="A273" t="s">
        <v>220</v>
      </c>
      <c r="B273">
        <v>0.11600000000000001</v>
      </c>
      <c r="C273" s="1">
        <v>231.03559999999999</v>
      </c>
      <c r="D273" s="1">
        <v>29.881799999999998</v>
      </c>
      <c r="E273">
        <v>15.6</v>
      </c>
      <c r="F273">
        <v>716.4</v>
      </c>
      <c r="G273">
        <v>291.8</v>
      </c>
      <c r="H273">
        <v>46.8</v>
      </c>
      <c r="I273">
        <v>358.4</v>
      </c>
      <c r="J273">
        <v>18.5</v>
      </c>
      <c r="K273">
        <v>1.1599999999999999</v>
      </c>
      <c r="L273">
        <v>0.21</v>
      </c>
      <c r="M273">
        <v>0.75</v>
      </c>
      <c r="N273">
        <v>327.7</v>
      </c>
      <c r="O273">
        <v>15.8</v>
      </c>
      <c r="P273">
        <v>0.49</v>
      </c>
      <c r="Q273">
        <v>0.08</v>
      </c>
      <c r="R273">
        <v>0.97</v>
      </c>
      <c r="S273">
        <v>65</v>
      </c>
      <c r="T273" t="s">
        <v>336</v>
      </c>
    </row>
    <row r="274" spans="1:20" x14ac:dyDescent="0.2">
      <c r="A274" t="s">
        <v>221</v>
      </c>
      <c r="B274">
        <v>0.10299999999999999</v>
      </c>
      <c r="C274" s="1">
        <v>231.05350000000001</v>
      </c>
      <c r="D274" s="1">
        <v>-31.906400000000001</v>
      </c>
      <c r="E274">
        <v>4.7</v>
      </c>
      <c r="F274">
        <v>191.8</v>
      </c>
      <c r="G274">
        <v>8.1</v>
      </c>
      <c r="H274">
        <v>0.5</v>
      </c>
      <c r="I274">
        <v>141.69999999999999</v>
      </c>
      <c r="J274">
        <v>4.3</v>
      </c>
      <c r="K274">
        <v>1.56</v>
      </c>
      <c r="L274">
        <v>0.03</v>
      </c>
      <c r="M274">
        <v>0.92</v>
      </c>
      <c r="N274">
        <v>124.5</v>
      </c>
      <c r="O274">
        <v>4.3</v>
      </c>
      <c r="P274">
        <v>1.0900000000000001</v>
      </c>
      <c r="Q274">
        <v>0.02</v>
      </c>
      <c r="R274">
        <v>9.73</v>
      </c>
      <c r="S274">
        <v>21</v>
      </c>
      <c r="T274" t="s">
        <v>336</v>
      </c>
    </row>
    <row r="275" spans="1:20" x14ac:dyDescent="0.2">
      <c r="A275" t="s">
        <v>222</v>
      </c>
      <c r="B275">
        <v>0.34499999999999997</v>
      </c>
      <c r="C275" s="1">
        <v>233.2242</v>
      </c>
      <c r="D275" s="1">
        <v>30.349699999999999</v>
      </c>
      <c r="E275">
        <v>12.2</v>
      </c>
      <c r="F275">
        <v>279.5</v>
      </c>
      <c r="G275">
        <v>15.5</v>
      </c>
      <c r="H275">
        <v>0.9</v>
      </c>
      <c r="I275">
        <v>101.3</v>
      </c>
      <c r="J275">
        <v>2.2999999999999998</v>
      </c>
      <c r="K275">
        <v>1.53</v>
      </c>
      <c r="L275">
        <v>0.03</v>
      </c>
      <c r="M275">
        <v>0.55000000000000004</v>
      </c>
      <c r="N275">
        <v>95.5</v>
      </c>
      <c r="O275">
        <v>2.4</v>
      </c>
      <c r="P275">
        <v>0.9</v>
      </c>
      <c r="Q275">
        <v>0.03</v>
      </c>
      <c r="R275">
        <v>14.78</v>
      </c>
      <c r="S275">
        <v>12</v>
      </c>
      <c r="T275" t="s">
        <v>336</v>
      </c>
    </row>
    <row r="276" spans="1:20" x14ac:dyDescent="0.2">
      <c r="A276" t="s">
        <v>223</v>
      </c>
      <c r="B276">
        <v>6.7000000000000004E-2</v>
      </c>
      <c r="C276" s="1">
        <v>233.30680000000001</v>
      </c>
      <c r="D276" s="1">
        <v>31.150200000000002</v>
      </c>
      <c r="E276">
        <v>34.9</v>
      </c>
      <c r="F276">
        <v>209.2</v>
      </c>
      <c r="G276">
        <v>69.900000000000006</v>
      </c>
      <c r="H276">
        <v>242.1</v>
      </c>
      <c r="I276">
        <v>205.1</v>
      </c>
      <c r="J276">
        <v>30.2</v>
      </c>
      <c r="K276">
        <v>0.68</v>
      </c>
      <c r="L276">
        <v>1.97</v>
      </c>
      <c r="M276">
        <v>0.8</v>
      </c>
      <c r="N276">
        <v>209.1</v>
      </c>
      <c r="O276">
        <v>20.8</v>
      </c>
      <c r="P276">
        <v>0.44</v>
      </c>
      <c r="Q276">
        <v>0.39</v>
      </c>
      <c r="R276">
        <v>0.55000000000000004</v>
      </c>
      <c r="S276">
        <v>5</v>
      </c>
      <c r="T276" t="s">
        <v>336</v>
      </c>
    </row>
    <row r="277" spans="1:20" x14ac:dyDescent="0.2">
      <c r="A277" t="s">
        <v>224</v>
      </c>
      <c r="B277">
        <v>4.1000000000000002E-2</v>
      </c>
      <c r="C277" s="1">
        <v>234.9126</v>
      </c>
      <c r="D277" s="1">
        <v>21.782699999999998</v>
      </c>
      <c r="E277">
        <v>2</v>
      </c>
      <c r="F277">
        <v>363.8</v>
      </c>
      <c r="G277">
        <v>-7.3</v>
      </c>
      <c r="H277">
        <v>4.5</v>
      </c>
      <c r="I277">
        <v>215.2</v>
      </c>
      <c r="J277">
        <v>3.9</v>
      </c>
      <c r="K277">
        <v>0.55000000000000004</v>
      </c>
      <c r="L277">
        <v>0.05</v>
      </c>
      <c r="M277">
        <v>1.21</v>
      </c>
      <c r="N277">
        <v>212.1</v>
      </c>
      <c r="O277">
        <v>3.6</v>
      </c>
      <c r="P277">
        <v>0.6</v>
      </c>
      <c r="Q277">
        <v>0.02</v>
      </c>
      <c r="R277">
        <v>1.23</v>
      </c>
      <c r="S277">
        <v>87</v>
      </c>
      <c r="T277" t="s">
        <v>336</v>
      </c>
    </row>
    <row r="278" spans="1:20" x14ac:dyDescent="0.2">
      <c r="A278" t="s">
        <v>225</v>
      </c>
      <c r="B278">
        <v>0.22900000000000001</v>
      </c>
      <c r="C278" s="1">
        <v>234.92439999999999</v>
      </c>
      <c r="D278" s="1">
        <v>34.416200000000003</v>
      </c>
      <c r="E278">
        <v>27.2</v>
      </c>
      <c r="F278">
        <v>916.4</v>
      </c>
      <c r="G278">
        <v>198.2</v>
      </c>
      <c r="H278">
        <v>32.1</v>
      </c>
      <c r="I278">
        <v>294.7</v>
      </c>
      <c r="J278">
        <v>14</v>
      </c>
      <c r="K278">
        <v>1.18</v>
      </c>
      <c r="L278">
        <v>0.13</v>
      </c>
      <c r="M278">
        <v>0.56000000000000005</v>
      </c>
      <c r="N278">
        <v>292.8</v>
      </c>
      <c r="O278">
        <v>14.6</v>
      </c>
      <c r="P278">
        <v>0.65</v>
      </c>
      <c r="Q278">
        <v>0.06</v>
      </c>
      <c r="R278">
        <v>1.1000000000000001</v>
      </c>
      <c r="S278">
        <v>33</v>
      </c>
      <c r="T278" t="s">
        <v>336</v>
      </c>
    </row>
    <row r="279" spans="1:20" x14ac:dyDescent="0.2">
      <c r="A279" t="s">
        <v>226</v>
      </c>
      <c r="B279">
        <v>0.153</v>
      </c>
      <c r="C279" s="1">
        <v>235.03399999999999</v>
      </c>
      <c r="D279" s="1">
        <v>-3.3037999999999998</v>
      </c>
      <c r="E279">
        <v>6.6</v>
      </c>
      <c r="F279">
        <v>519.29999999999995</v>
      </c>
      <c r="G279">
        <v>202</v>
      </c>
      <c r="H279">
        <v>23.5</v>
      </c>
      <c r="I279">
        <v>277.60000000000002</v>
      </c>
      <c r="J279">
        <v>10.1</v>
      </c>
      <c r="K279">
        <v>1.21</v>
      </c>
      <c r="L279">
        <v>0.17</v>
      </c>
      <c r="M279">
        <v>1.1000000000000001</v>
      </c>
      <c r="N279">
        <v>298.8</v>
      </c>
      <c r="O279">
        <v>10</v>
      </c>
      <c r="P279">
        <v>0.45</v>
      </c>
      <c r="Q279">
        <v>0.08</v>
      </c>
      <c r="R279">
        <v>1.52</v>
      </c>
      <c r="S279">
        <v>39</v>
      </c>
      <c r="T279" t="s">
        <v>336</v>
      </c>
    </row>
    <row r="280" spans="1:20" x14ac:dyDescent="0.2">
      <c r="A280" t="s">
        <v>227</v>
      </c>
      <c r="B280">
        <v>0.246</v>
      </c>
      <c r="C280" s="1">
        <v>235.31059999999999</v>
      </c>
      <c r="D280" s="1">
        <v>66.265900000000002</v>
      </c>
      <c r="E280">
        <v>38.299999999999997</v>
      </c>
      <c r="F280">
        <v>574.5</v>
      </c>
      <c r="G280">
        <v>185.9</v>
      </c>
      <c r="H280">
        <v>19.7</v>
      </c>
      <c r="I280">
        <v>201</v>
      </c>
      <c r="J280">
        <v>13.1</v>
      </c>
      <c r="K280">
        <v>1.91</v>
      </c>
      <c r="L280">
        <v>0.22</v>
      </c>
      <c r="M280">
        <v>0.42</v>
      </c>
      <c r="N280">
        <v>208</v>
      </c>
      <c r="O280">
        <v>13</v>
      </c>
      <c r="P280">
        <v>0.43</v>
      </c>
      <c r="Q280">
        <v>0.14000000000000001</v>
      </c>
      <c r="R280">
        <v>1.61</v>
      </c>
      <c r="S280">
        <v>14</v>
      </c>
      <c r="T280" t="s">
        <v>336</v>
      </c>
    </row>
    <row r="281" spans="1:20" x14ac:dyDescent="0.2">
      <c r="A281" t="s">
        <v>626</v>
      </c>
      <c r="B281">
        <v>6.6000000000000003E-2</v>
      </c>
      <c r="C281" s="1">
        <v>236.2458</v>
      </c>
      <c r="D281" s="1">
        <v>36.109099999999998</v>
      </c>
      <c r="E281">
        <v>9.4</v>
      </c>
      <c r="F281">
        <v>287.60000000000002</v>
      </c>
      <c r="G281">
        <v>93</v>
      </c>
      <c r="H281">
        <v>24.5</v>
      </c>
      <c r="I281">
        <v>286.3</v>
      </c>
      <c r="J281">
        <v>10.9</v>
      </c>
      <c r="K281">
        <v>0.84</v>
      </c>
      <c r="L281">
        <v>0.18</v>
      </c>
      <c r="M281">
        <v>0.5</v>
      </c>
      <c r="N281">
        <v>301.3</v>
      </c>
      <c r="O281">
        <v>8.6</v>
      </c>
      <c r="P281">
        <v>0.5</v>
      </c>
      <c r="Q281">
        <v>7.0000000000000007E-2</v>
      </c>
      <c r="R281">
        <v>0.69</v>
      </c>
      <c r="S281">
        <v>35</v>
      </c>
      <c r="T281" t="s">
        <v>336</v>
      </c>
    </row>
    <row r="282" spans="1:20" x14ac:dyDescent="0.2">
      <c r="A282" t="s">
        <v>228</v>
      </c>
      <c r="B282">
        <v>0.23430000000000001</v>
      </c>
      <c r="C282" s="1">
        <v>239.05119999999999</v>
      </c>
      <c r="D282" s="1">
        <v>66.351600000000005</v>
      </c>
      <c r="E282">
        <v>9.1999999999999993</v>
      </c>
      <c r="F282">
        <v>581.6</v>
      </c>
      <c r="G282">
        <v>72.900000000000006</v>
      </c>
      <c r="H282">
        <v>6.1</v>
      </c>
      <c r="I282">
        <v>159.80000000000001</v>
      </c>
      <c r="J282">
        <v>3.8</v>
      </c>
      <c r="K282">
        <v>1.36</v>
      </c>
      <c r="L282">
        <v>0.05</v>
      </c>
      <c r="M282">
        <v>1.33</v>
      </c>
      <c r="N282">
        <v>175.8</v>
      </c>
      <c r="O282">
        <v>3.4</v>
      </c>
      <c r="P282">
        <v>0.86</v>
      </c>
      <c r="Q282">
        <v>0.03</v>
      </c>
      <c r="R282">
        <v>4.32</v>
      </c>
      <c r="S282">
        <v>32</v>
      </c>
      <c r="T282" t="s">
        <v>336</v>
      </c>
    </row>
    <row r="283" spans="1:20" x14ac:dyDescent="0.2">
      <c r="A283" t="s">
        <v>229</v>
      </c>
      <c r="B283">
        <v>9.0999999999999998E-2</v>
      </c>
      <c r="C283" s="1">
        <v>239.5847</v>
      </c>
      <c r="D283" s="1">
        <v>27.231000000000002</v>
      </c>
      <c r="E283">
        <v>4.2</v>
      </c>
      <c r="F283">
        <v>423</v>
      </c>
      <c r="G283">
        <v>38.4</v>
      </c>
      <c r="H283">
        <v>5.7</v>
      </c>
      <c r="I283">
        <v>170.3</v>
      </c>
      <c r="J283">
        <v>2.7</v>
      </c>
      <c r="K283">
        <v>0.87</v>
      </c>
      <c r="L283">
        <v>0.05</v>
      </c>
      <c r="M283">
        <v>1.04</v>
      </c>
      <c r="N283">
        <v>178.5</v>
      </c>
      <c r="O283">
        <v>2.1</v>
      </c>
      <c r="P283">
        <v>0.65</v>
      </c>
      <c r="Q283">
        <v>0.02</v>
      </c>
      <c r="R283">
        <v>1.61</v>
      </c>
      <c r="S283">
        <v>51</v>
      </c>
      <c r="T283" t="s">
        <v>336</v>
      </c>
    </row>
    <row r="284" spans="1:20" x14ac:dyDescent="0.2">
      <c r="A284" t="s">
        <v>230</v>
      </c>
      <c r="B284">
        <v>9.7000000000000003E-2</v>
      </c>
      <c r="C284" s="1">
        <v>239.59129999999999</v>
      </c>
      <c r="D284" s="1">
        <v>-14.165800000000001</v>
      </c>
      <c r="E284">
        <v>4.4000000000000004</v>
      </c>
      <c r="F284">
        <v>394.7</v>
      </c>
      <c r="G284">
        <v>19.600000000000001</v>
      </c>
      <c r="H284">
        <v>1.8</v>
      </c>
      <c r="I284">
        <v>123.2</v>
      </c>
      <c r="J284">
        <v>2.6</v>
      </c>
      <c r="K284">
        <v>1.1299999999999999</v>
      </c>
      <c r="L284">
        <v>0.03</v>
      </c>
      <c r="M284">
        <v>1.07</v>
      </c>
      <c r="N284">
        <v>135.9</v>
      </c>
      <c r="O284">
        <v>2.1</v>
      </c>
      <c r="P284">
        <v>0.89</v>
      </c>
      <c r="Q284">
        <v>0.02</v>
      </c>
      <c r="R284">
        <v>3.23</v>
      </c>
      <c r="S284">
        <v>44</v>
      </c>
      <c r="T284" t="s">
        <v>336</v>
      </c>
    </row>
    <row r="285" spans="1:20" x14ac:dyDescent="0.2">
      <c r="A285" t="s">
        <v>629</v>
      </c>
      <c r="B285">
        <v>3.5000000000000003E-2</v>
      </c>
      <c r="C285" s="1">
        <v>240.5694</v>
      </c>
      <c r="D285" s="1">
        <v>15.976800000000001</v>
      </c>
      <c r="E285">
        <v>8.6</v>
      </c>
      <c r="F285">
        <v>290.39999999999998</v>
      </c>
      <c r="G285">
        <v>170.3</v>
      </c>
      <c r="H285">
        <v>23.4</v>
      </c>
      <c r="I285">
        <v>251.1</v>
      </c>
      <c r="J285">
        <v>8.3000000000000007</v>
      </c>
      <c r="K285">
        <v>1.25</v>
      </c>
      <c r="L285">
        <v>0.22</v>
      </c>
      <c r="M285">
        <v>0.8</v>
      </c>
      <c r="N285">
        <v>268.60000000000002</v>
      </c>
      <c r="O285">
        <v>7.1</v>
      </c>
      <c r="P285">
        <v>0.44</v>
      </c>
      <c r="Q285">
        <v>0.09</v>
      </c>
      <c r="R285">
        <v>1.01</v>
      </c>
      <c r="S285">
        <v>66</v>
      </c>
      <c r="T285" t="s">
        <v>336</v>
      </c>
    </row>
    <row r="286" spans="1:20" x14ac:dyDescent="0.2">
      <c r="A286" t="s">
        <v>231</v>
      </c>
      <c r="B286">
        <v>3.6999999999999998E-2</v>
      </c>
      <c r="C286" s="1">
        <v>241.14940000000001</v>
      </c>
      <c r="D286" s="1">
        <v>17.721499999999999</v>
      </c>
      <c r="E286">
        <v>3.6</v>
      </c>
      <c r="F286">
        <v>261</v>
      </c>
      <c r="G286">
        <v>9.4</v>
      </c>
      <c r="H286">
        <v>2.9</v>
      </c>
      <c r="I286">
        <v>156.4</v>
      </c>
      <c r="J286">
        <v>4.3</v>
      </c>
      <c r="K286">
        <v>0.85</v>
      </c>
      <c r="L286">
        <v>7.0000000000000007E-2</v>
      </c>
      <c r="M286">
        <v>0.86</v>
      </c>
      <c r="N286">
        <v>156.1</v>
      </c>
      <c r="O286">
        <v>4.4000000000000004</v>
      </c>
      <c r="P286">
        <v>0.71</v>
      </c>
      <c r="Q286">
        <v>0.03</v>
      </c>
      <c r="R286">
        <v>1.01</v>
      </c>
      <c r="S286">
        <v>45</v>
      </c>
      <c r="T286" t="s">
        <v>336</v>
      </c>
    </row>
    <row r="287" spans="1:20" x14ac:dyDescent="0.2">
      <c r="A287" t="s">
        <v>630</v>
      </c>
      <c r="B287">
        <v>3.1800000000000002E-2</v>
      </c>
      <c r="C287" s="1">
        <v>241.2354</v>
      </c>
      <c r="D287" s="1">
        <v>23.934000000000001</v>
      </c>
      <c r="E287">
        <v>1.6</v>
      </c>
      <c r="F287">
        <v>136.30000000000001</v>
      </c>
      <c r="G287">
        <v>27.6</v>
      </c>
      <c r="H287">
        <v>4.7</v>
      </c>
      <c r="I287">
        <v>138.9</v>
      </c>
      <c r="J287">
        <v>3.7</v>
      </c>
      <c r="K287">
        <v>0.74</v>
      </c>
      <c r="L287">
        <v>0.11</v>
      </c>
      <c r="M287">
        <v>0.28000000000000003</v>
      </c>
      <c r="N287">
        <v>133.9</v>
      </c>
      <c r="O287">
        <v>3.4</v>
      </c>
      <c r="P287">
        <v>0.44</v>
      </c>
      <c r="Q287">
        <v>0.05</v>
      </c>
      <c r="R287">
        <v>0.71</v>
      </c>
      <c r="S287">
        <v>44</v>
      </c>
      <c r="T287" t="s">
        <v>336</v>
      </c>
    </row>
    <row r="288" spans="1:20" x14ac:dyDescent="0.2">
      <c r="A288" t="s">
        <v>233</v>
      </c>
      <c r="B288">
        <v>0.20300000000000001</v>
      </c>
      <c r="C288" s="1">
        <v>243.94120000000001</v>
      </c>
      <c r="D288" s="1">
        <v>-6.1490999999999998</v>
      </c>
      <c r="E288">
        <v>8.3000000000000007</v>
      </c>
      <c r="F288">
        <v>586.9</v>
      </c>
      <c r="G288">
        <v>239</v>
      </c>
      <c r="H288">
        <v>22.3</v>
      </c>
      <c r="I288">
        <v>279.5</v>
      </c>
      <c r="J288">
        <v>11.6</v>
      </c>
      <c r="K288">
        <v>1.73</v>
      </c>
      <c r="L288">
        <v>0.13</v>
      </c>
      <c r="M288">
        <v>0.76</v>
      </c>
      <c r="N288">
        <v>260.39999999999998</v>
      </c>
      <c r="O288">
        <v>11.2</v>
      </c>
      <c r="P288">
        <v>0.67</v>
      </c>
      <c r="Q288">
        <v>0.06</v>
      </c>
      <c r="R288">
        <v>2.0499999999999998</v>
      </c>
      <c r="S288">
        <v>36</v>
      </c>
      <c r="T288" t="s">
        <v>336</v>
      </c>
    </row>
    <row r="289" spans="1:20" x14ac:dyDescent="0.2">
      <c r="A289" t="s">
        <v>234</v>
      </c>
      <c r="B289">
        <v>0.46500000000000002</v>
      </c>
      <c r="C289" s="1">
        <v>245.3537</v>
      </c>
      <c r="D289" s="1">
        <v>38.168900000000001</v>
      </c>
      <c r="E289">
        <v>14.6</v>
      </c>
      <c r="F289">
        <v>686.5</v>
      </c>
      <c r="G289">
        <v>6</v>
      </c>
      <c r="H289">
        <v>4.3</v>
      </c>
      <c r="I289">
        <v>162.1</v>
      </c>
      <c r="J289">
        <v>6.4</v>
      </c>
      <c r="K289">
        <v>1.04</v>
      </c>
      <c r="L289">
        <v>0.05</v>
      </c>
      <c r="M289">
        <v>0.35</v>
      </c>
      <c r="N289">
        <v>167.9</v>
      </c>
      <c r="O289">
        <v>4.5999999999999996</v>
      </c>
      <c r="P289">
        <v>0.98</v>
      </c>
      <c r="Q289">
        <v>0.02</v>
      </c>
      <c r="R289">
        <v>0.42</v>
      </c>
      <c r="S289">
        <v>21</v>
      </c>
      <c r="T289" t="s">
        <v>336</v>
      </c>
    </row>
    <row r="290" spans="1:20" x14ac:dyDescent="0.2">
      <c r="A290" t="s">
        <v>235</v>
      </c>
      <c r="B290">
        <v>0.184</v>
      </c>
      <c r="C290" s="1">
        <v>246.05850000000001</v>
      </c>
      <c r="D290" s="1">
        <v>41.24</v>
      </c>
      <c r="E290">
        <v>22.9</v>
      </c>
      <c r="F290">
        <v>626.9</v>
      </c>
      <c r="G290">
        <v>106.9</v>
      </c>
      <c r="H290">
        <v>23.6</v>
      </c>
      <c r="I290">
        <v>211.1</v>
      </c>
      <c r="J290">
        <v>12.4</v>
      </c>
      <c r="K290">
        <v>1.23</v>
      </c>
      <c r="L290">
        <v>0.14000000000000001</v>
      </c>
      <c r="M290">
        <v>7.0000000000000007E-2</v>
      </c>
      <c r="N290">
        <v>228.5</v>
      </c>
      <c r="O290">
        <v>12.1</v>
      </c>
      <c r="P290">
        <v>0.72</v>
      </c>
      <c r="Q290">
        <v>0.08</v>
      </c>
      <c r="R290">
        <v>0.65</v>
      </c>
      <c r="S290">
        <v>20</v>
      </c>
      <c r="T290" t="s">
        <v>336</v>
      </c>
    </row>
    <row r="291" spans="1:20" x14ac:dyDescent="0.2">
      <c r="A291" t="s">
        <v>236</v>
      </c>
      <c r="B291">
        <v>0.152</v>
      </c>
      <c r="C291" s="1">
        <v>248.19560000000001</v>
      </c>
      <c r="D291" s="1">
        <v>5.5754999999999999</v>
      </c>
      <c r="E291">
        <v>6.5</v>
      </c>
      <c r="F291">
        <v>490.3</v>
      </c>
      <c r="G291">
        <v>6.6</v>
      </c>
      <c r="H291">
        <v>0.4</v>
      </c>
      <c r="I291">
        <v>129.19999999999999</v>
      </c>
      <c r="J291">
        <v>2.1</v>
      </c>
      <c r="K291">
        <v>1.31</v>
      </c>
      <c r="L291">
        <v>0.01</v>
      </c>
      <c r="M291">
        <v>6.68</v>
      </c>
      <c r="N291">
        <v>136.9</v>
      </c>
      <c r="O291">
        <v>2.1</v>
      </c>
      <c r="P291">
        <v>1.1100000000000001</v>
      </c>
      <c r="Q291">
        <v>0.01</v>
      </c>
      <c r="R291">
        <v>13.69</v>
      </c>
      <c r="S291">
        <v>38</v>
      </c>
      <c r="T291" t="s">
        <v>336</v>
      </c>
    </row>
    <row r="292" spans="1:20" x14ac:dyDescent="0.2">
      <c r="A292" t="s">
        <v>633</v>
      </c>
      <c r="B292">
        <v>0.17599999999999999</v>
      </c>
      <c r="C292" s="1">
        <v>248.9614</v>
      </c>
      <c r="D292" s="1">
        <v>66.210099999999997</v>
      </c>
      <c r="E292">
        <v>14.8</v>
      </c>
      <c r="F292">
        <v>966.2</v>
      </c>
      <c r="G292">
        <v>202.2</v>
      </c>
      <c r="H292">
        <v>15.3</v>
      </c>
      <c r="I292">
        <v>241.8</v>
      </c>
      <c r="J292">
        <v>9.4</v>
      </c>
      <c r="K292">
        <v>1.52</v>
      </c>
      <c r="L292">
        <v>7.0000000000000007E-2</v>
      </c>
      <c r="M292">
        <v>0.7</v>
      </c>
      <c r="N292">
        <v>205.3</v>
      </c>
      <c r="O292">
        <v>8.8000000000000007</v>
      </c>
      <c r="P292">
        <v>0.75</v>
      </c>
      <c r="Q292">
        <v>0.04</v>
      </c>
      <c r="R292">
        <v>2.37</v>
      </c>
      <c r="S292">
        <v>56</v>
      </c>
      <c r="T292" t="s">
        <v>336</v>
      </c>
    </row>
    <row r="293" spans="1:20" x14ac:dyDescent="0.2">
      <c r="A293" t="s">
        <v>237</v>
      </c>
      <c r="B293">
        <v>0.22600000000000001</v>
      </c>
      <c r="C293" s="1">
        <v>250.0829</v>
      </c>
      <c r="D293" s="1">
        <v>46.7119</v>
      </c>
      <c r="E293">
        <v>9</v>
      </c>
      <c r="F293">
        <v>583.79999999999995</v>
      </c>
      <c r="G293">
        <v>264.3</v>
      </c>
      <c r="H293">
        <v>20.9</v>
      </c>
      <c r="I293">
        <v>309.10000000000002</v>
      </c>
      <c r="J293">
        <v>10.1</v>
      </c>
      <c r="K293">
        <v>1.52</v>
      </c>
      <c r="L293">
        <v>0.13</v>
      </c>
      <c r="M293">
        <v>0.44</v>
      </c>
      <c r="N293">
        <v>303.60000000000002</v>
      </c>
      <c r="O293">
        <v>10.1</v>
      </c>
      <c r="P293">
        <v>0.51</v>
      </c>
      <c r="Q293">
        <v>0.06</v>
      </c>
      <c r="R293">
        <v>1.78</v>
      </c>
      <c r="S293">
        <v>33</v>
      </c>
      <c r="T293" t="s">
        <v>336</v>
      </c>
    </row>
    <row r="294" spans="1:20" x14ac:dyDescent="0.2">
      <c r="A294" t="s">
        <v>239</v>
      </c>
      <c r="B294">
        <v>0.155</v>
      </c>
      <c r="C294" s="1">
        <v>252.7842</v>
      </c>
      <c r="D294" s="1">
        <v>4.9924999999999997</v>
      </c>
      <c r="E294">
        <v>6.6</v>
      </c>
      <c r="F294">
        <v>206</v>
      </c>
      <c r="G294">
        <v>-17.100000000000001</v>
      </c>
      <c r="H294">
        <v>4.5999999999999996</v>
      </c>
      <c r="I294">
        <v>147.9</v>
      </c>
      <c r="J294">
        <v>3.1</v>
      </c>
      <c r="K294">
        <v>0.64</v>
      </c>
      <c r="L294">
        <v>7.0000000000000007E-2</v>
      </c>
      <c r="M294">
        <v>2.1</v>
      </c>
      <c r="N294">
        <v>145.69999999999999</v>
      </c>
      <c r="O294">
        <v>3</v>
      </c>
      <c r="P294">
        <v>0.88</v>
      </c>
      <c r="Q294">
        <v>0.02</v>
      </c>
      <c r="R294">
        <v>4.0199999999999996</v>
      </c>
      <c r="S294">
        <v>16</v>
      </c>
      <c r="T294" t="s">
        <v>336</v>
      </c>
    </row>
    <row r="295" spans="1:20" x14ac:dyDescent="0.2">
      <c r="A295" t="s">
        <v>240</v>
      </c>
      <c r="B295">
        <v>3.5000000000000003E-2</v>
      </c>
      <c r="C295" s="1">
        <v>254.49209999999999</v>
      </c>
      <c r="D295" s="1">
        <v>27.854299999999999</v>
      </c>
      <c r="E295">
        <v>1.7</v>
      </c>
      <c r="F295">
        <v>99.7</v>
      </c>
      <c r="G295">
        <v>-2.2000000000000002</v>
      </c>
      <c r="H295">
        <v>2.2000000000000002</v>
      </c>
      <c r="I295">
        <v>214.5</v>
      </c>
      <c r="J295">
        <v>14.8</v>
      </c>
      <c r="K295">
        <v>0.73</v>
      </c>
      <c r="L295">
        <v>7.0000000000000007E-2</v>
      </c>
      <c r="M295">
        <v>0.79</v>
      </c>
      <c r="N295">
        <v>224.2</v>
      </c>
      <c r="O295">
        <v>12.1</v>
      </c>
      <c r="P295">
        <v>0.79</v>
      </c>
      <c r="Q295">
        <v>0.03</v>
      </c>
      <c r="R295">
        <v>0.82</v>
      </c>
      <c r="S295">
        <v>16</v>
      </c>
      <c r="T295" t="s">
        <v>336</v>
      </c>
    </row>
    <row r="296" spans="1:20" x14ac:dyDescent="0.2">
      <c r="A296" t="s">
        <v>638</v>
      </c>
      <c r="B296">
        <v>9.7000000000000003E-2</v>
      </c>
      <c r="C296" s="1">
        <v>255.67779999999999</v>
      </c>
      <c r="D296" s="1">
        <v>34.0608</v>
      </c>
      <c r="E296">
        <v>4.4000000000000004</v>
      </c>
      <c r="F296">
        <v>376.9</v>
      </c>
      <c r="G296">
        <v>53.4</v>
      </c>
      <c r="H296">
        <v>3.5</v>
      </c>
      <c r="I296">
        <v>154.6</v>
      </c>
      <c r="J296">
        <v>2.8</v>
      </c>
      <c r="K296">
        <v>1.1200000000000001</v>
      </c>
      <c r="L296">
        <v>0.05</v>
      </c>
      <c r="M296">
        <v>0.85</v>
      </c>
      <c r="N296">
        <v>169</v>
      </c>
      <c r="O296">
        <v>2.2999999999999998</v>
      </c>
      <c r="P296">
        <v>0.63</v>
      </c>
      <c r="Q296">
        <v>0.03</v>
      </c>
      <c r="R296">
        <v>3.59</v>
      </c>
      <c r="S296">
        <v>43</v>
      </c>
      <c r="T296" t="s">
        <v>336</v>
      </c>
    </row>
    <row r="297" spans="1:20" x14ac:dyDescent="0.2">
      <c r="A297" t="s">
        <v>639</v>
      </c>
      <c r="B297">
        <v>5.8000000000000003E-2</v>
      </c>
      <c r="C297" s="1">
        <v>255.80959999999999</v>
      </c>
      <c r="D297" s="1">
        <v>78.649000000000001</v>
      </c>
      <c r="E297">
        <v>8.3000000000000007</v>
      </c>
      <c r="F297">
        <v>302.2</v>
      </c>
      <c r="G297">
        <v>299.5</v>
      </c>
      <c r="H297">
        <v>23.8</v>
      </c>
      <c r="I297">
        <v>307.60000000000002</v>
      </c>
      <c r="J297">
        <v>10.8</v>
      </c>
      <c r="K297">
        <v>2.15</v>
      </c>
      <c r="L297">
        <v>0.76</v>
      </c>
      <c r="M297">
        <v>0.69</v>
      </c>
      <c r="N297">
        <v>304.3</v>
      </c>
      <c r="O297">
        <v>10</v>
      </c>
      <c r="P297">
        <v>0.17</v>
      </c>
      <c r="Q297">
        <v>0.25</v>
      </c>
      <c r="R297">
        <v>0.72</v>
      </c>
      <c r="S297">
        <v>52</v>
      </c>
      <c r="T297" t="s">
        <v>336</v>
      </c>
    </row>
    <row r="298" spans="1:20" x14ac:dyDescent="0.2">
      <c r="A298" t="s">
        <v>641</v>
      </c>
      <c r="B298">
        <v>2.8000000000000001E-2</v>
      </c>
      <c r="C298" s="1">
        <v>258.1155</v>
      </c>
      <c r="D298" s="1">
        <v>-23.368500000000001</v>
      </c>
      <c r="E298">
        <v>1.4</v>
      </c>
      <c r="F298">
        <v>59.6</v>
      </c>
      <c r="G298">
        <v>-6.9</v>
      </c>
      <c r="H298">
        <v>1.3</v>
      </c>
      <c r="I298">
        <v>326.3</v>
      </c>
      <c r="J298">
        <v>10.6</v>
      </c>
      <c r="K298">
        <v>0.74</v>
      </c>
      <c r="L298">
        <v>0.03</v>
      </c>
      <c r="M298">
        <v>1.19</v>
      </c>
      <c r="N298">
        <v>379.7</v>
      </c>
      <c r="O298">
        <v>8.5</v>
      </c>
      <c r="P298">
        <v>0.9</v>
      </c>
      <c r="Q298">
        <v>0.01</v>
      </c>
      <c r="R298">
        <v>3.28</v>
      </c>
      <c r="S298">
        <v>22</v>
      </c>
      <c r="T298" t="s">
        <v>328</v>
      </c>
    </row>
    <row r="299" spans="1:20" x14ac:dyDescent="0.2">
      <c r="A299" t="s">
        <v>642</v>
      </c>
      <c r="B299">
        <v>8.1000000000000003E-2</v>
      </c>
      <c r="C299" s="1">
        <v>258.17250000000001</v>
      </c>
      <c r="D299" s="1">
        <v>64.072800000000001</v>
      </c>
      <c r="E299">
        <v>11.3</v>
      </c>
      <c r="F299">
        <v>678.7</v>
      </c>
      <c r="G299">
        <v>318.89999999999998</v>
      </c>
      <c r="H299">
        <v>58.7</v>
      </c>
      <c r="I299">
        <v>394.8</v>
      </c>
      <c r="J299">
        <v>17.8</v>
      </c>
      <c r="K299">
        <v>0.89</v>
      </c>
      <c r="L299">
        <v>0.31</v>
      </c>
      <c r="M299">
        <v>0.74</v>
      </c>
      <c r="N299">
        <v>382.5</v>
      </c>
      <c r="O299">
        <v>16.5</v>
      </c>
      <c r="P299">
        <v>0.31</v>
      </c>
      <c r="Q299">
        <v>0.11</v>
      </c>
      <c r="R299">
        <v>0.83</v>
      </c>
      <c r="S299">
        <v>85</v>
      </c>
      <c r="T299" t="s">
        <v>336</v>
      </c>
    </row>
    <row r="300" spans="1:20" x14ac:dyDescent="0.2">
      <c r="A300" t="s">
        <v>644</v>
      </c>
      <c r="B300">
        <v>0.16400000000000001</v>
      </c>
      <c r="C300" s="1">
        <v>260.0317</v>
      </c>
      <c r="D300" s="1">
        <v>27.670500000000001</v>
      </c>
      <c r="E300">
        <v>20.9</v>
      </c>
      <c r="F300">
        <v>814.6</v>
      </c>
      <c r="G300">
        <v>112.8</v>
      </c>
      <c r="H300">
        <v>15.7</v>
      </c>
      <c r="I300">
        <v>165.6</v>
      </c>
      <c r="J300">
        <v>8</v>
      </c>
      <c r="K300">
        <v>1.58</v>
      </c>
      <c r="L300">
        <v>0.1</v>
      </c>
      <c r="M300">
        <v>0.21</v>
      </c>
      <c r="N300">
        <v>165.5</v>
      </c>
      <c r="O300">
        <v>8.6</v>
      </c>
      <c r="P300">
        <v>0.88</v>
      </c>
      <c r="Q300">
        <v>7.0000000000000007E-2</v>
      </c>
      <c r="R300">
        <v>1.55</v>
      </c>
      <c r="S300">
        <v>22</v>
      </c>
      <c r="T300" t="s">
        <v>336</v>
      </c>
    </row>
    <row r="301" spans="1:20" x14ac:dyDescent="0.2">
      <c r="A301" t="s">
        <v>242</v>
      </c>
      <c r="B301">
        <v>0.16400000000000001</v>
      </c>
      <c r="C301" s="1">
        <v>260.04160000000002</v>
      </c>
      <c r="D301" s="1">
        <v>26.6251</v>
      </c>
      <c r="E301">
        <v>7</v>
      </c>
      <c r="F301">
        <v>842.5</v>
      </c>
      <c r="G301">
        <v>18.8</v>
      </c>
      <c r="H301">
        <v>1.5</v>
      </c>
      <c r="I301">
        <v>127</v>
      </c>
      <c r="J301">
        <v>3.1</v>
      </c>
      <c r="K301">
        <v>1.3</v>
      </c>
      <c r="L301">
        <v>0.02</v>
      </c>
      <c r="M301">
        <v>0.78</v>
      </c>
      <c r="N301">
        <v>144.1</v>
      </c>
      <c r="O301">
        <v>2.5</v>
      </c>
      <c r="P301">
        <v>1.03</v>
      </c>
      <c r="Q301">
        <v>0.02</v>
      </c>
      <c r="R301">
        <v>3.25</v>
      </c>
      <c r="S301">
        <v>52</v>
      </c>
      <c r="T301" t="s">
        <v>336</v>
      </c>
    </row>
    <row r="302" spans="1:20" x14ac:dyDescent="0.2">
      <c r="A302" t="s">
        <v>243</v>
      </c>
      <c r="B302">
        <v>0.39100000000000001</v>
      </c>
      <c r="C302" s="1">
        <v>260.07010000000002</v>
      </c>
      <c r="D302" s="1">
        <v>35.607300000000002</v>
      </c>
      <c r="E302">
        <v>13.2</v>
      </c>
      <c r="F302">
        <v>750.8</v>
      </c>
      <c r="G302">
        <v>20.2</v>
      </c>
      <c r="H302">
        <v>2.8</v>
      </c>
      <c r="I302">
        <v>134.19999999999999</v>
      </c>
      <c r="J302">
        <v>5.4</v>
      </c>
      <c r="K302">
        <v>1.24</v>
      </c>
      <c r="L302">
        <v>0.04</v>
      </c>
      <c r="M302">
        <v>0.6</v>
      </c>
      <c r="N302">
        <v>153</v>
      </c>
      <c r="O302">
        <v>4.0999999999999996</v>
      </c>
      <c r="P302">
        <v>0.97</v>
      </c>
      <c r="Q302">
        <v>0.03</v>
      </c>
      <c r="R302">
        <v>2.42</v>
      </c>
      <c r="S302">
        <v>22</v>
      </c>
      <c r="T302" t="s">
        <v>336</v>
      </c>
    </row>
    <row r="303" spans="1:20" x14ac:dyDescent="0.2">
      <c r="A303" t="s">
        <v>244</v>
      </c>
      <c r="B303">
        <v>0.224</v>
      </c>
      <c r="C303" s="1">
        <v>260.61329999999998</v>
      </c>
      <c r="D303" s="1">
        <v>32.132800000000003</v>
      </c>
      <c r="E303">
        <v>8.9</v>
      </c>
      <c r="F303">
        <v>1043.8</v>
      </c>
      <c r="G303">
        <v>31</v>
      </c>
      <c r="H303">
        <v>10.9</v>
      </c>
      <c r="I303">
        <v>188</v>
      </c>
      <c r="J303">
        <v>6.5</v>
      </c>
      <c r="K303">
        <v>0.78</v>
      </c>
      <c r="L303">
        <v>0.06</v>
      </c>
      <c r="M303">
        <v>0.92</v>
      </c>
      <c r="N303">
        <v>195.6</v>
      </c>
      <c r="O303">
        <v>5.7</v>
      </c>
      <c r="P303">
        <v>0.68</v>
      </c>
      <c r="Q303">
        <v>0.03</v>
      </c>
      <c r="R303">
        <v>1.08</v>
      </c>
      <c r="S303">
        <v>40</v>
      </c>
      <c r="T303" t="s">
        <v>336</v>
      </c>
    </row>
    <row r="304" spans="1:20" x14ac:dyDescent="0.2">
      <c r="A304" t="s">
        <v>647</v>
      </c>
      <c r="B304">
        <v>0.16900000000000001</v>
      </c>
      <c r="C304" s="1">
        <v>261.04950000000002</v>
      </c>
      <c r="D304" s="1">
        <v>85.886300000000006</v>
      </c>
      <c r="E304">
        <v>21.4</v>
      </c>
      <c r="F304">
        <v>699.3</v>
      </c>
      <c r="G304">
        <v>35.799999999999997</v>
      </c>
      <c r="H304">
        <v>77.400000000000006</v>
      </c>
      <c r="I304">
        <v>283.89999999999998</v>
      </c>
      <c r="J304">
        <v>22.4</v>
      </c>
      <c r="K304">
        <v>0.64</v>
      </c>
      <c r="L304">
        <v>0.28999999999999998</v>
      </c>
      <c r="M304">
        <v>0.49</v>
      </c>
      <c r="N304">
        <v>289.8</v>
      </c>
      <c r="O304">
        <v>17.100000000000001</v>
      </c>
      <c r="P304">
        <v>0.56000000000000005</v>
      </c>
      <c r="Q304">
        <v>0.09</v>
      </c>
      <c r="R304">
        <v>0.47</v>
      </c>
      <c r="S304">
        <v>20</v>
      </c>
      <c r="T304" t="s">
        <v>336</v>
      </c>
    </row>
    <row r="305" spans="1:20" x14ac:dyDescent="0.2">
      <c r="A305" t="s">
        <v>649</v>
      </c>
      <c r="B305">
        <v>0.14099999999999999</v>
      </c>
      <c r="C305" s="1">
        <v>263.76929999999999</v>
      </c>
      <c r="D305" s="1">
        <v>64.101699999999994</v>
      </c>
      <c r="E305">
        <v>12.3</v>
      </c>
      <c r="F305">
        <v>417.4</v>
      </c>
      <c r="G305">
        <v>3.8</v>
      </c>
      <c r="H305">
        <v>7.7</v>
      </c>
      <c r="I305">
        <v>164</v>
      </c>
      <c r="J305">
        <v>5.5</v>
      </c>
      <c r="K305">
        <v>0.84</v>
      </c>
      <c r="L305">
        <v>0.08</v>
      </c>
      <c r="M305">
        <v>0.53</v>
      </c>
      <c r="N305">
        <v>165.5</v>
      </c>
      <c r="O305">
        <v>4.5</v>
      </c>
      <c r="P305">
        <v>0.82</v>
      </c>
      <c r="Q305">
        <v>0.04</v>
      </c>
      <c r="R305">
        <v>0.52</v>
      </c>
      <c r="S305">
        <v>18</v>
      </c>
      <c r="T305" t="s">
        <v>336</v>
      </c>
    </row>
    <row r="306" spans="1:20" x14ac:dyDescent="0.2">
      <c r="A306" t="s">
        <v>650</v>
      </c>
      <c r="B306">
        <v>7.5999999999999998E-2</v>
      </c>
      <c r="C306" s="1">
        <v>266.0598</v>
      </c>
      <c r="D306" s="1">
        <v>32.991100000000003</v>
      </c>
      <c r="E306">
        <v>3.6</v>
      </c>
      <c r="F306">
        <v>288.2</v>
      </c>
      <c r="G306">
        <v>10.8</v>
      </c>
      <c r="H306">
        <v>1.1000000000000001</v>
      </c>
      <c r="I306">
        <v>123.2</v>
      </c>
      <c r="J306">
        <v>2</v>
      </c>
      <c r="K306">
        <v>1.1200000000000001</v>
      </c>
      <c r="L306">
        <v>0.03</v>
      </c>
      <c r="M306">
        <v>3.86</v>
      </c>
      <c r="N306">
        <v>126.1</v>
      </c>
      <c r="O306">
        <v>2</v>
      </c>
      <c r="P306">
        <v>0.9</v>
      </c>
      <c r="Q306">
        <v>0.02</v>
      </c>
      <c r="R306">
        <v>5.96</v>
      </c>
      <c r="S306">
        <v>41</v>
      </c>
      <c r="T306" t="s">
        <v>336</v>
      </c>
    </row>
    <row r="307" spans="1:20" x14ac:dyDescent="0.2">
      <c r="A307" t="s">
        <v>245</v>
      </c>
      <c r="B307">
        <v>0.157</v>
      </c>
      <c r="C307" s="1">
        <v>266.81130000000002</v>
      </c>
      <c r="D307" s="1">
        <v>45.196800000000003</v>
      </c>
      <c r="E307">
        <v>40.299999999999997</v>
      </c>
      <c r="F307">
        <v>752.2</v>
      </c>
      <c r="G307">
        <v>330.1</v>
      </c>
      <c r="H307">
        <v>32</v>
      </c>
      <c r="I307">
        <v>330.3</v>
      </c>
      <c r="J307">
        <v>31.7</v>
      </c>
      <c r="K307">
        <v>4.13</v>
      </c>
      <c r="L307">
        <v>0.3</v>
      </c>
      <c r="M307">
        <v>0.71</v>
      </c>
      <c r="N307">
        <v>417.6</v>
      </c>
      <c r="O307">
        <v>36.700000000000003</v>
      </c>
      <c r="P307">
        <v>-0.01</v>
      </c>
      <c r="Q307">
        <v>4.82</v>
      </c>
      <c r="R307">
        <v>1.9</v>
      </c>
      <c r="S307">
        <v>21</v>
      </c>
      <c r="T307" t="s">
        <v>336</v>
      </c>
    </row>
    <row r="308" spans="1:20" x14ac:dyDescent="0.2">
      <c r="A308" t="s">
        <v>246</v>
      </c>
      <c r="B308">
        <v>0.17100000000000001</v>
      </c>
      <c r="C308" s="1">
        <v>267.57040000000001</v>
      </c>
      <c r="D308" s="1">
        <v>35.082799999999999</v>
      </c>
      <c r="E308">
        <v>7.2</v>
      </c>
      <c r="F308">
        <v>698.9</v>
      </c>
      <c r="G308">
        <v>6</v>
      </c>
      <c r="H308">
        <v>1.3</v>
      </c>
      <c r="I308">
        <v>131</v>
      </c>
      <c r="J308">
        <v>4.5999999999999996</v>
      </c>
      <c r="K308">
        <v>1.1599999999999999</v>
      </c>
      <c r="L308">
        <v>0.03</v>
      </c>
      <c r="M308">
        <v>1.44</v>
      </c>
      <c r="N308">
        <v>140.4</v>
      </c>
      <c r="O308">
        <v>4</v>
      </c>
      <c r="P308">
        <v>1.03</v>
      </c>
      <c r="Q308">
        <v>0.02</v>
      </c>
      <c r="R308">
        <v>2.25</v>
      </c>
      <c r="S308">
        <v>24</v>
      </c>
      <c r="T308" t="s">
        <v>336</v>
      </c>
    </row>
    <row r="309" spans="1:20" x14ac:dyDescent="0.2">
      <c r="A309" t="s">
        <v>651</v>
      </c>
      <c r="B309">
        <v>1.3100000000000001E-2</v>
      </c>
      <c r="C309" s="1">
        <v>267.95310000000001</v>
      </c>
      <c r="D309" s="1">
        <v>23.071899999999999</v>
      </c>
      <c r="E309">
        <v>0.7</v>
      </c>
      <c r="F309">
        <v>31.7</v>
      </c>
      <c r="G309">
        <v>1</v>
      </c>
      <c r="H309">
        <v>0.1</v>
      </c>
      <c r="I309">
        <v>133.1</v>
      </c>
      <c r="J309">
        <v>11.8</v>
      </c>
      <c r="K309">
        <v>1.08</v>
      </c>
      <c r="L309">
        <v>0.04</v>
      </c>
      <c r="M309">
        <v>0.15</v>
      </c>
      <c r="N309">
        <v>84.2</v>
      </c>
      <c r="O309">
        <v>5.2</v>
      </c>
      <c r="P309">
        <v>0.83</v>
      </c>
      <c r="Q309">
        <v>0.02</v>
      </c>
      <c r="R309">
        <v>3.63</v>
      </c>
      <c r="S309">
        <v>14</v>
      </c>
      <c r="T309" t="s">
        <v>336</v>
      </c>
    </row>
    <row r="310" spans="1:20" x14ac:dyDescent="0.2">
      <c r="A310" t="s">
        <v>247</v>
      </c>
      <c r="B310">
        <v>0.152</v>
      </c>
      <c r="C310" s="1">
        <v>271.13099999999997</v>
      </c>
      <c r="D310" s="1">
        <v>10.0571</v>
      </c>
      <c r="E310">
        <v>13.1</v>
      </c>
      <c r="F310">
        <v>751.8</v>
      </c>
      <c r="G310">
        <v>55.8</v>
      </c>
      <c r="H310">
        <v>35.700000000000003</v>
      </c>
      <c r="I310">
        <v>262.39999999999998</v>
      </c>
      <c r="J310">
        <v>14.7</v>
      </c>
      <c r="K310">
        <v>0.7</v>
      </c>
      <c r="L310">
        <v>0.17</v>
      </c>
      <c r="M310">
        <v>0.34</v>
      </c>
      <c r="N310">
        <v>273</v>
      </c>
      <c r="O310">
        <v>12.6</v>
      </c>
      <c r="P310">
        <v>0.56000000000000005</v>
      </c>
      <c r="Q310">
        <v>7.0000000000000007E-2</v>
      </c>
      <c r="R310">
        <v>0.39</v>
      </c>
      <c r="S310">
        <v>29</v>
      </c>
      <c r="T310" t="s">
        <v>336</v>
      </c>
    </row>
    <row r="311" spans="1:20" x14ac:dyDescent="0.2">
      <c r="A311" t="s">
        <v>652</v>
      </c>
      <c r="B311">
        <v>0.17899999999999999</v>
      </c>
      <c r="C311" s="1">
        <v>274.99180000000001</v>
      </c>
      <c r="D311" s="1">
        <v>57.156100000000002</v>
      </c>
      <c r="E311">
        <v>37.4</v>
      </c>
      <c r="F311">
        <v>717.8</v>
      </c>
      <c r="G311">
        <v>245.4</v>
      </c>
      <c r="H311">
        <v>62.3</v>
      </c>
      <c r="I311">
        <v>311.7</v>
      </c>
      <c r="J311">
        <v>27.8</v>
      </c>
      <c r="K311">
        <v>1.07</v>
      </c>
      <c r="L311">
        <v>0.37</v>
      </c>
      <c r="M311">
        <v>0.49</v>
      </c>
      <c r="N311">
        <v>324</v>
      </c>
      <c r="O311">
        <v>28.6</v>
      </c>
      <c r="P311">
        <v>0.39</v>
      </c>
      <c r="Q311">
        <v>0.17</v>
      </c>
      <c r="R311">
        <v>0.6</v>
      </c>
      <c r="S311">
        <v>18</v>
      </c>
      <c r="T311" t="s">
        <v>336</v>
      </c>
    </row>
    <row r="312" spans="1:20" x14ac:dyDescent="0.2">
      <c r="A312" t="s">
        <v>248</v>
      </c>
      <c r="B312">
        <v>0.29699999999999999</v>
      </c>
      <c r="C312" s="1">
        <v>275.48759999999999</v>
      </c>
      <c r="D312" s="1">
        <v>64.343800000000002</v>
      </c>
      <c r="E312">
        <v>11</v>
      </c>
      <c r="F312">
        <v>493.9</v>
      </c>
      <c r="G312">
        <v>-37.200000000000003</v>
      </c>
      <c r="H312">
        <v>9.6999999999999993</v>
      </c>
      <c r="I312">
        <v>158.69999999999999</v>
      </c>
      <c r="J312">
        <v>4.7</v>
      </c>
      <c r="K312">
        <v>0.91</v>
      </c>
      <c r="L312">
        <v>0.06</v>
      </c>
      <c r="M312">
        <v>3.05</v>
      </c>
      <c r="N312">
        <v>137.30000000000001</v>
      </c>
      <c r="O312">
        <v>2.2999999999999998</v>
      </c>
      <c r="P312">
        <v>1.2</v>
      </c>
      <c r="Q312">
        <v>0.01</v>
      </c>
      <c r="R312">
        <v>4.16</v>
      </c>
      <c r="S312">
        <v>23</v>
      </c>
      <c r="T312" t="s">
        <v>336</v>
      </c>
    </row>
    <row r="313" spans="1:20" x14ac:dyDescent="0.2">
      <c r="A313" t="s">
        <v>250</v>
      </c>
      <c r="B313">
        <v>0.20300000000000001</v>
      </c>
      <c r="C313" s="1">
        <v>277.27350000000001</v>
      </c>
      <c r="D313" s="1">
        <v>69.235299999999995</v>
      </c>
      <c r="E313">
        <v>8.3000000000000007</v>
      </c>
      <c r="F313">
        <v>479.4</v>
      </c>
      <c r="G313">
        <v>19.100000000000001</v>
      </c>
      <c r="H313">
        <v>2.9</v>
      </c>
      <c r="I313">
        <v>137</v>
      </c>
      <c r="J313">
        <v>4.5</v>
      </c>
      <c r="K313">
        <v>1.21</v>
      </c>
      <c r="L313">
        <v>0.05</v>
      </c>
      <c r="M313">
        <v>0.7</v>
      </c>
      <c r="N313">
        <v>148.6</v>
      </c>
      <c r="O313">
        <v>3.8</v>
      </c>
      <c r="P313">
        <v>0.92</v>
      </c>
      <c r="Q313">
        <v>0.03</v>
      </c>
      <c r="R313">
        <v>2.27</v>
      </c>
      <c r="S313">
        <v>20</v>
      </c>
      <c r="T313" t="s">
        <v>336</v>
      </c>
    </row>
    <row r="314" spans="1:20" x14ac:dyDescent="0.2">
      <c r="A314" t="s">
        <v>251</v>
      </c>
      <c r="B314">
        <v>0.109</v>
      </c>
      <c r="C314" s="1">
        <v>283.03579999999999</v>
      </c>
      <c r="D314" s="1">
        <v>57.194899999999997</v>
      </c>
      <c r="E314">
        <v>9.8000000000000007</v>
      </c>
      <c r="F314">
        <v>236</v>
      </c>
      <c r="G314">
        <v>6.3</v>
      </c>
      <c r="H314">
        <v>11.2</v>
      </c>
      <c r="I314">
        <v>171.8</v>
      </c>
      <c r="J314">
        <v>6.4</v>
      </c>
      <c r="K314">
        <v>0.75</v>
      </c>
      <c r="L314">
        <v>0.15</v>
      </c>
      <c r="M314">
        <v>0.42</v>
      </c>
      <c r="N314">
        <v>172.3</v>
      </c>
      <c r="O314">
        <v>6.4</v>
      </c>
      <c r="P314">
        <v>0.7</v>
      </c>
      <c r="Q314">
        <v>0.05</v>
      </c>
      <c r="R314">
        <v>0.42</v>
      </c>
      <c r="S314">
        <v>18</v>
      </c>
      <c r="T314" t="s">
        <v>336</v>
      </c>
    </row>
    <row r="315" spans="1:20" x14ac:dyDescent="0.2">
      <c r="A315" t="s">
        <v>656</v>
      </c>
      <c r="B315">
        <v>9.2999999999999999E-2</v>
      </c>
      <c r="C315" s="1">
        <v>283.50940000000003</v>
      </c>
      <c r="D315" s="1">
        <v>68.3827</v>
      </c>
      <c r="E315">
        <v>12.8</v>
      </c>
      <c r="F315">
        <v>469.8</v>
      </c>
      <c r="G315">
        <v>-103.8</v>
      </c>
      <c r="H315">
        <v>103.2</v>
      </c>
      <c r="I315">
        <v>234</v>
      </c>
      <c r="J315">
        <v>9.1999999999999993</v>
      </c>
      <c r="K315">
        <v>0.31</v>
      </c>
      <c r="L315">
        <v>0.35</v>
      </c>
      <c r="M315">
        <v>0.89</v>
      </c>
      <c r="N315">
        <v>224.6</v>
      </c>
      <c r="O315">
        <v>6.8</v>
      </c>
      <c r="P315">
        <v>0.46</v>
      </c>
      <c r="Q315">
        <v>0.06</v>
      </c>
      <c r="R315">
        <v>0.99</v>
      </c>
      <c r="S315">
        <v>21</v>
      </c>
      <c r="T315" t="s">
        <v>336</v>
      </c>
    </row>
    <row r="316" spans="1:20" x14ac:dyDescent="0.2">
      <c r="A316" t="s">
        <v>657</v>
      </c>
      <c r="B316">
        <v>0.26400000000000001</v>
      </c>
      <c r="C316" s="1">
        <v>288.65640000000002</v>
      </c>
      <c r="D316" s="1">
        <v>-59.472200000000001</v>
      </c>
      <c r="E316">
        <v>20.2</v>
      </c>
      <c r="F316">
        <v>786.8</v>
      </c>
      <c r="G316">
        <v>-8.6</v>
      </c>
      <c r="H316">
        <v>7.4</v>
      </c>
      <c r="I316">
        <v>141.5</v>
      </c>
      <c r="J316">
        <v>5.4</v>
      </c>
      <c r="K316">
        <v>0.95</v>
      </c>
      <c r="L316">
        <v>0.05</v>
      </c>
      <c r="M316">
        <v>0.66</v>
      </c>
      <c r="N316">
        <v>138</v>
      </c>
      <c r="O316">
        <v>4.5</v>
      </c>
      <c r="P316">
        <v>1</v>
      </c>
      <c r="Q316">
        <v>0.03</v>
      </c>
      <c r="R316">
        <v>0.7</v>
      </c>
      <c r="S316">
        <v>26</v>
      </c>
      <c r="T316" t="s">
        <v>336</v>
      </c>
    </row>
    <row r="317" spans="1:20" x14ac:dyDescent="0.2">
      <c r="A317" t="s">
        <v>658</v>
      </c>
      <c r="B317">
        <v>5.6000000000000001E-2</v>
      </c>
      <c r="C317" s="1">
        <v>290.29450000000003</v>
      </c>
      <c r="D317" s="1">
        <v>43.951599999999999</v>
      </c>
      <c r="E317">
        <v>5.4</v>
      </c>
      <c r="F317">
        <v>517.79999999999995</v>
      </c>
      <c r="G317">
        <v>189.9</v>
      </c>
      <c r="H317">
        <v>18.5</v>
      </c>
      <c r="I317">
        <v>273.10000000000002</v>
      </c>
      <c r="J317">
        <v>7.9</v>
      </c>
      <c r="K317">
        <v>1.32</v>
      </c>
      <c r="L317">
        <v>0.09</v>
      </c>
      <c r="M317">
        <v>0.65</v>
      </c>
      <c r="N317">
        <v>276.39999999999998</v>
      </c>
      <c r="O317">
        <v>8.5</v>
      </c>
      <c r="P317">
        <v>0.63</v>
      </c>
      <c r="Q317">
        <v>0.05</v>
      </c>
      <c r="R317">
        <v>1.2</v>
      </c>
      <c r="S317">
        <v>95</v>
      </c>
      <c r="T317" t="s">
        <v>336</v>
      </c>
    </row>
    <row r="318" spans="1:20" x14ac:dyDescent="0.2">
      <c r="A318" t="s">
        <v>252</v>
      </c>
      <c r="B318">
        <v>0.35199999999999998</v>
      </c>
      <c r="C318" s="1">
        <v>292.95690000000002</v>
      </c>
      <c r="D318" s="1">
        <v>-26.575900000000001</v>
      </c>
      <c r="E318">
        <v>12.3</v>
      </c>
      <c r="F318">
        <v>381.8</v>
      </c>
      <c r="G318">
        <v>20.3</v>
      </c>
      <c r="H318">
        <v>1.7</v>
      </c>
      <c r="I318">
        <v>97.5</v>
      </c>
      <c r="J318">
        <v>3</v>
      </c>
      <c r="K318">
        <v>1.59</v>
      </c>
      <c r="L318">
        <v>0.04</v>
      </c>
      <c r="M318">
        <v>4.71</v>
      </c>
      <c r="N318">
        <v>113.1</v>
      </c>
      <c r="O318">
        <v>2.4</v>
      </c>
      <c r="P318">
        <v>1.1499999999999999</v>
      </c>
      <c r="Q318">
        <v>0.02</v>
      </c>
      <c r="R318">
        <v>12.71</v>
      </c>
      <c r="S318">
        <v>16</v>
      </c>
      <c r="T318" t="s">
        <v>336</v>
      </c>
    </row>
    <row r="319" spans="1:20" x14ac:dyDescent="0.2">
      <c r="A319" t="s">
        <v>660</v>
      </c>
      <c r="B319">
        <v>0.26</v>
      </c>
      <c r="C319" s="1">
        <v>294.57679999999999</v>
      </c>
      <c r="D319" s="1">
        <v>54.159700000000001</v>
      </c>
      <c r="E319">
        <v>20</v>
      </c>
      <c r="F319">
        <v>748.2</v>
      </c>
      <c r="G319">
        <v>51.7</v>
      </c>
      <c r="H319">
        <v>11.7</v>
      </c>
      <c r="I319">
        <v>141.69999999999999</v>
      </c>
      <c r="J319">
        <v>7.8</v>
      </c>
      <c r="K319">
        <v>1.23</v>
      </c>
      <c r="L319">
        <v>0.09</v>
      </c>
      <c r="M319">
        <v>0.24</v>
      </c>
      <c r="N319">
        <v>153.80000000000001</v>
      </c>
      <c r="O319">
        <v>7.5</v>
      </c>
      <c r="P319">
        <v>0.89</v>
      </c>
      <c r="Q319">
        <v>0.06</v>
      </c>
      <c r="R319">
        <v>0.94</v>
      </c>
      <c r="S319">
        <v>20</v>
      </c>
      <c r="T319" t="s">
        <v>336</v>
      </c>
    </row>
    <row r="320" spans="1:20" x14ac:dyDescent="0.2">
      <c r="A320" t="s">
        <v>661</v>
      </c>
      <c r="B320">
        <v>0.217</v>
      </c>
      <c r="C320" s="1">
        <v>296.81209999999999</v>
      </c>
      <c r="D320" s="1">
        <v>-76.395799999999994</v>
      </c>
      <c r="E320">
        <v>8.6999999999999993</v>
      </c>
      <c r="F320">
        <v>661.7</v>
      </c>
      <c r="G320">
        <v>3.6</v>
      </c>
      <c r="H320">
        <v>4.5999999999999996</v>
      </c>
      <c r="I320">
        <v>178.1</v>
      </c>
      <c r="J320">
        <v>6.8</v>
      </c>
      <c r="K320">
        <v>0.97</v>
      </c>
      <c r="L320">
        <v>0.05</v>
      </c>
      <c r="M320">
        <v>1.01</v>
      </c>
      <c r="N320">
        <v>181</v>
      </c>
      <c r="O320">
        <v>5.4</v>
      </c>
      <c r="P320">
        <v>0.94</v>
      </c>
      <c r="Q320">
        <v>0.03</v>
      </c>
      <c r="R320">
        <v>0.99</v>
      </c>
      <c r="S320">
        <v>25</v>
      </c>
      <c r="T320" t="s">
        <v>336</v>
      </c>
    </row>
    <row r="321" spans="1:20" x14ac:dyDescent="0.2">
      <c r="A321" t="s">
        <v>253</v>
      </c>
      <c r="B321">
        <v>0.109</v>
      </c>
      <c r="C321" s="1">
        <v>298.26409999999998</v>
      </c>
      <c r="D321" s="1">
        <v>-52.036900000000003</v>
      </c>
      <c r="E321">
        <v>19.7</v>
      </c>
      <c r="F321">
        <v>191.7</v>
      </c>
      <c r="G321">
        <v>-163.5</v>
      </c>
      <c r="H321">
        <v>194.8</v>
      </c>
      <c r="I321">
        <v>319.2</v>
      </c>
      <c r="J321">
        <v>20.7</v>
      </c>
      <c r="K321">
        <v>0.5</v>
      </c>
      <c r="L321">
        <v>0.57999999999999996</v>
      </c>
      <c r="M321">
        <v>0.47</v>
      </c>
      <c r="N321">
        <v>295.39999999999998</v>
      </c>
      <c r="O321">
        <v>16.600000000000001</v>
      </c>
      <c r="P321">
        <v>0.98</v>
      </c>
      <c r="Q321">
        <v>0.09</v>
      </c>
      <c r="R321">
        <v>0.89</v>
      </c>
      <c r="S321">
        <v>8</v>
      </c>
      <c r="T321" t="s">
        <v>336</v>
      </c>
    </row>
    <row r="322" spans="1:20" x14ac:dyDescent="0.2">
      <c r="A322" t="s">
        <v>255</v>
      </c>
      <c r="B322">
        <v>0.317</v>
      </c>
      <c r="C322" s="1">
        <v>300.87130000000002</v>
      </c>
      <c r="D322" s="1">
        <v>-23.3734</v>
      </c>
      <c r="E322">
        <v>11.5</v>
      </c>
      <c r="F322">
        <v>1182.5</v>
      </c>
      <c r="G322">
        <v>-99</v>
      </c>
      <c r="H322">
        <v>24.3</v>
      </c>
      <c r="I322">
        <v>174.6</v>
      </c>
      <c r="J322">
        <v>11.3</v>
      </c>
      <c r="K322">
        <v>0.45</v>
      </c>
      <c r="L322">
        <v>0.11</v>
      </c>
      <c r="M322">
        <v>1</v>
      </c>
      <c r="N322">
        <v>58.6</v>
      </c>
      <c r="O322">
        <v>1.9</v>
      </c>
      <c r="P322">
        <v>1.1399999999999999</v>
      </c>
      <c r="Q322">
        <v>0.01</v>
      </c>
      <c r="R322">
        <v>4.78</v>
      </c>
      <c r="S322">
        <v>45</v>
      </c>
      <c r="T322" t="s">
        <v>336</v>
      </c>
    </row>
    <row r="323" spans="1:20" x14ac:dyDescent="0.2">
      <c r="A323" t="s">
        <v>662</v>
      </c>
      <c r="B323">
        <v>9.4999999999999998E-3</v>
      </c>
      <c r="C323" s="1">
        <v>302.47539999999998</v>
      </c>
      <c r="D323" s="1">
        <v>-48.379899999999999</v>
      </c>
      <c r="E323">
        <v>0.5</v>
      </c>
      <c r="F323">
        <v>40.4</v>
      </c>
      <c r="G323">
        <v>-1.6</v>
      </c>
      <c r="H323">
        <v>0.8</v>
      </c>
      <c r="I323">
        <v>110.9</v>
      </c>
      <c r="J323">
        <v>5.6</v>
      </c>
      <c r="K323">
        <v>0.7</v>
      </c>
      <c r="L323">
        <v>0.06</v>
      </c>
      <c r="M323">
        <v>1.61</v>
      </c>
      <c r="N323">
        <v>121.2</v>
      </c>
      <c r="O323">
        <v>4</v>
      </c>
      <c r="P323">
        <v>0.79</v>
      </c>
      <c r="Q323">
        <v>0.02</v>
      </c>
      <c r="R323">
        <v>1.73</v>
      </c>
      <c r="S323">
        <v>28</v>
      </c>
      <c r="T323" t="s">
        <v>336</v>
      </c>
    </row>
    <row r="324" spans="1:20" x14ac:dyDescent="0.2">
      <c r="A324" t="s">
        <v>256</v>
      </c>
      <c r="B324">
        <v>0.27900000000000003</v>
      </c>
      <c r="C324" s="1">
        <v>302.86219999999997</v>
      </c>
      <c r="D324" s="1">
        <v>-57.419899999999998</v>
      </c>
      <c r="E324">
        <v>21</v>
      </c>
      <c r="F324">
        <v>399</v>
      </c>
      <c r="G324">
        <v>36</v>
      </c>
      <c r="H324">
        <v>7.9</v>
      </c>
      <c r="I324">
        <v>102.4</v>
      </c>
      <c r="J324">
        <v>5.4</v>
      </c>
      <c r="K324">
        <v>1.26</v>
      </c>
      <c r="L324">
        <v>0.13</v>
      </c>
      <c r="M324">
        <v>7.0000000000000007E-2</v>
      </c>
      <c r="N324">
        <v>111.7</v>
      </c>
      <c r="O324">
        <v>4.5</v>
      </c>
      <c r="P324">
        <v>0.76</v>
      </c>
      <c r="Q324">
        <v>0.08</v>
      </c>
      <c r="R324">
        <v>1.3</v>
      </c>
      <c r="S324">
        <v>10</v>
      </c>
      <c r="T324" t="s">
        <v>336</v>
      </c>
    </row>
    <row r="325" spans="1:20" x14ac:dyDescent="0.2">
      <c r="A325" t="s">
        <v>665</v>
      </c>
      <c r="B325">
        <v>0.161</v>
      </c>
      <c r="C325" s="1">
        <v>303.71530000000001</v>
      </c>
      <c r="D325" s="1">
        <v>-24.5062</v>
      </c>
      <c r="E325">
        <v>6.9</v>
      </c>
      <c r="F325">
        <v>411.4</v>
      </c>
      <c r="G325">
        <v>8.4</v>
      </c>
      <c r="H325">
        <v>0.6</v>
      </c>
      <c r="I325">
        <v>116</v>
      </c>
      <c r="J325">
        <v>2.2000000000000002</v>
      </c>
      <c r="K325">
        <v>1.34</v>
      </c>
      <c r="L325">
        <v>0.02</v>
      </c>
      <c r="M325">
        <v>1.71</v>
      </c>
      <c r="N325">
        <v>126.7</v>
      </c>
      <c r="O325">
        <v>2</v>
      </c>
      <c r="P325">
        <v>1.1000000000000001</v>
      </c>
      <c r="Q325">
        <v>0.01</v>
      </c>
      <c r="R325">
        <v>8.36</v>
      </c>
      <c r="S325">
        <v>28</v>
      </c>
      <c r="T325" t="s">
        <v>336</v>
      </c>
    </row>
    <row r="326" spans="1:20" x14ac:dyDescent="0.2">
      <c r="A326" t="s">
        <v>666</v>
      </c>
      <c r="B326">
        <v>0.23200000000000001</v>
      </c>
      <c r="C326" s="1">
        <v>305.83890000000002</v>
      </c>
      <c r="D326" s="1">
        <v>-55.596699999999998</v>
      </c>
      <c r="E326">
        <v>36.700000000000003</v>
      </c>
      <c r="F326">
        <v>843</v>
      </c>
      <c r="G326">
        <v>-259.89999999999998</v>
      </c>
      <c r="H326">
        <v>148.9</v>
      </c>
      <c r="I326">
        <v>156.6</v>
      </c>
      <c r="J326">
        <v>16.100000000000001</v>
      </c>
      <c r="K326">
        <v>0.44</v>
      </c>
      <c r="L326">
        <v>0.31</v>
      </c>
      <c r="M326">
        <v>0.38</v>
      </c>
      <c r="N326">
        <v>143.6</v>
      </c>
      <c r="O326">
        <v>14.1</v>
      </c>
      <c r="P326">
        <v>0.89</v>
      </c>
      <c r="Q326">
        <v>0.08</v>
      </c>
      <c r="R326">
        <v>0.95</v>
      </c>
      <c r="S326">
        <v>20</v>
      </c>
      <c r="T326" t="s">
        <v>336</v>
      </c>
    </row>
    <row r="327" spans="1:20" x14ac:dyDescent="0.2">
      <c r="A327" t="s">
        <v>259</v>
      </c>
      <c r="B327">
        <v>8.8999999999999996E-2</v>
      </c>
      <c r="C327" s="1">
        <v>308.68880000000001</v>
      </c>
      <c r="D327" s="1">
        <v>-35.811999999999998</v>
      </c>
      <c r="E327">
        <v>20.5</v>
      </c>
      <c r="F327">
        <v>599.4</v>
      </c>
      <c r="G327">
        <v>339.1</v>
      </c>
      <c r="H327">
        <v>53.6</v>
      </c>
      <c r="I327">
        <v>379.6</v>
      </c>
      <c r="J327">
        <v>27.5</v>
      </c>
      <c r="K327">
        <v>1.51</v>
      </c>
      <c r="L327">
        <v>0.3</v>
      </c>
      <c r="M327">
        <v>0.28000000000000003</v>
      </c>
      <c r="N327">
        <v>358.2</v>
      </c>
      <c r="O327">
        <v>25.5</v>
      </c>
      <c r="P327">
        <v>0.45</v>
      </c>
      <c r="Q327">
        <v>0.14000000000000001</v>
      </c>
      <c r="R327">
        <v>0.56000000000000005</v>
      </c>
      <c r="S327">
        <v>31</v>
      </c>
      <c r="T327" t="s">
        <v>336</v>
      </c>
    </row>
    <row r="328" spans="1:20" x14ac:dyDescent="0.2">
      <c r="A328" t="s">
        <v>668</v>
      </c>
      <c r="B328">
        <v>0.72299999999999998</v>
      </c>
      <c r="C328" s="1">
        <v>310.82310000000001</v>
      </c>
      <c r="D328" s="1">
        <v>-50.592300000000002</v>
      </c>
      <c r="E328">
        <v>18.100000000000001</v>
      </c>
      <c r="F328">
        <v>687.7</v>
      </c>
      <c r="G328">
        <v>16.2</v>
      </c>
      <c r="H328">
        <v>3.3</v>
      </c>
      <c r="I328">
        <v>98.3</v>
      </c>
      <c r="J328">
        <v>5.8</v>
      </c>
      <c r="K328">
        <v>1.25</v>
      </c>
      <c r="L328">
        <v>7.0000000000000007E-2</v>
      </c>
      <c r="M328">
        <v>0.06</v>
      </c>
      <c r="N328">
        <v>110.6</v>
      </c>
      <c r="O328">
        <v>4.5</v>
      </c>
      <c r="P328">
        <v>0.93</v>
      </c>
      <c r="Q328">
        <v>0.04</v>
      </c>
      <c r="R328">
        <v>1.55</v>
      </c>
      <c r="S328">
        <v>11</v>
      </c>
      <c r="T328" t="s">
        <v>336</v>
      </c>
    </row>
    <row r="329" spans="1:20" x14ac:dyDescent="0.2">
      <c r="A329" t="s">
        <v>260</v>
      </c>
      <c r="B329">
        <v>0.42299999999999999</v>
      </c>
      <c r="C329" s="1">
        <v>311.50209999999998</v>
      </c>
      <c r="D329" s="1">
        <v>-34.504800000000003</v>
      </c>
      <c r="E329">
        <v>13.8</v>
      </c>
      <c r="F329">
        <v>497.5</v>
      </c>
      <c r="G329">
        <v>5.5</v>
      </c>
      <c r="H329">
        <v>1.6</v>
      </c>
      <c r="I329">
        <v>106</v>
      </c>
      <c r="J329">
        <v>3.8</v>
      </c>
      <c r="K329">
        <v>1.22</v>
      </c>
      <c r="L329">
        <v>0.04</v>
      </c>
      <c r="M329">
        <v>0.51</v>
      </c>
      <c r="N329">
        <v>113.3</v>
      </c>
      <c r="O329">
        <v>2.7</v>
      </c>
      <c r="P329">
        <v>1.0900000000000001</v>
      </c>
      <c r="Q329">
        <v>0.02</v>
      </c>
      <c r="R329">
        <v>1.43</v>
      </c>
      <c r="S329">
        <v>12</v>
      </c>
      <c r="T329" t="s">
        <v>336</v>
      </c>
    </row>
    <row r="330" spans="1:20" x14ac:dyDescent="0.2">
      <c r="A330" t="s">
        <v>261</v>
      </c>
      <c r="B330">
        <v>0.32500000000000001</v>
      </c>
      <c r="C330" s="1">
        <v>312.48399999999998</v>
      </c>
      <c r="D330" s="1">
        <v>-32.280299999999997</v>
      </c>
      <c r="E330">
        <v>23.4</v>
      </c>
      <c r="F330">
        <v>840.8</v>
      </c>
      <c r="G330">
        <v>209.4</v>
      </c>
      <c r="H330">
        <v>39.299999999999997</v>
      </c>
      <c r="I330">
        <v>256.10000000000002</v>
      </c>
      <c r="J330">
        <v>22.6</v>
      </c>
      <c r="K330">
        <v>1.59</v>
      </c>
      <c r="L330">
        <v>0.15</v>
      </c>
      <c r="M330">
        <v>0.38</v>
      </c>
      <c r="N330">
        <v>200.8</v>
      </c>
      <c r="O330">
        <v>17.3</v>
      </c>
      <c r="P330">
        <v>0.87</v>
      </c>
      <c r="Q330">
        <v>0.08</v>
      </c>
      <c r="R330">
        <v>1.29</v>
      </c>
      <c r="S330">
        <v>18</v>
      </c>
      <c r="T330" t="s">
        <v>850</v>
      </c>
    </row>
    <row r="331" spans="1:20" x14ac:dyDescent="0.2">
      <c r="A331" t="s">
        <v>262</v>
      </c>
      <c r="B331">
        <v>0.16500000000000001</v>
      </c>
      <c r="C331" s="1">
        <v>316.07870000000003</v>
      </c>
      <c r="D331" s="1">
        <v>-41.3446</v>
      </c>
      <c r="E331">
        <v>21</v>
      </c>
      <c r="F331">
        <v>608.79999999999995</v>
      </c>
      <c r="G331">
        <v>-107.8</v>
      </c>
      <c r="H331">
        <v>69.599999999999994</v>
      </c>
      <c r="I331">
        <v>200</v>
      </c>
      <c r="J331">
        <v>13.2</v>
      </c>
      <c r="K331">
        <v>0.63</v>
      </c>
      <c r="L331">
        <v>0.2</v>
      </c>
      <c r="M331">
        <v>0.24</v>
      </c>
      <c r="N331">
        <v>188.6</v>
      </c>
      <c r="O331">
        <v>11.6</v>
      </c>
      <c r="P331">
        <v>0.88</v>
      </c>
      <c r="Q331">
        <v>0.06</v>
      </c>
      <c r="R331">
        <v>0.54</v>
      </c>
      <c r="S331">
        <v>17</v>
      </c>
      <c r="T331" t="s">
        <v>336</v>
      </c>
    </row>
    <row r="332" spans="1:20" x14ac:dyDescent="0.2">
      <c r="A332" t="s">
        <v>263</v>
      </c>
      <c r="B332">
        <v>4.9000000000000002E-2</v>
      </c>
      <c r="C332" s="1">
        <v>318.48219999999998</v>
      </c>
      <c r="D332" s="1">
        <v>2.5651999999999999</v>
      </c>
      <c r="E332">
        <v>11.8</v>
      </c>
      <c r="F332">
        <v>350.3</v>
      </c>
      <c r="G332">
        <v>198.8</v>
      </c>
      <c r="H332">
        <v>18.3</v>
      </c>
      <c r="I332">
        <v>240.3</v>
      </c>
      <c r="J332">
        <v>9.8000000000000007</v>
      </c>
      <c r="K332">
        <v>1.72</v>
      </c>
      <c r="L332">
        <v>0.22</v>
      </c>
      <c r="M332">
        <v>0.51</v>
      </c>
      <c r="N332">
        <v>268.8</v>
      </c>
      <c r="O332">
        <v>9.1</v>
      </c>
      <c r="P332">
        <v>0.38</v>
      </c>
      <c r="Q332">
        <v>0.12</v>
      </c>
      <c r="R332">
        <v>1.1100000000000001</v>
      </c>
      <c r="S332">
        <v>31</v>
      </c>
      <c r="T332" t="s">
        <v>336</v>
      </c>
    </row>
    <row r="333" spans="1:20" x14ac:dyDescent="0.2">
      <c r="A333" t="s">
        <v>264</v>
      </c>
      <c r="B333">
        <v>0.17649999999999999</v>
      </c>
      <c r="C333" s="1">
        <v>321.78969999999998</v>
      </c>
      <c r="D333" s="1">
        <v>-12.174799999999999</v>
      </c>
      <c r="E333">
        <v>51.7</v>
      </c>
      <c r="F333">
        <v>1108.9000000000001</v>
      </c>
      <c r="G333">
        <v>-661</v>
      </c>
      <c r="H333">
        <v>508.3</v>
      </c>
      <c r="I333">
        <v>236.6</v>
      </c>
      <c r="J333">
        <v>22.8</v>
      </c>
      <c r="K333">
        <v>0.28999999999999998</v>
      </c>
      <c r="L333">
        <v>0.49</v>
      </c>
      <c r="M333">
        <v>0.76</v>
      </c>
      <c r="N333">
        <v>195.3</v>
      </c>
      <c r="O333">
        <v>16.5</v>
      </c>
      <c r="P333">
        <v>0.81</v>
      </c>
      <c r="Q333">
        <v>0.06</v>
      </c>
      <c r="R333">
        <v>1.45</v>
      </c>
      <c r="S333">
        <v>21</v>
      </c>
      <c r="T333" t="s">
        <v>336</v>
      </c>
    </row>
    <row r="334" spans="1:20" x14ac:dyDescent="0.2">
      <c r="A334" t="s">
        <v>675</v>
      </c>
      <c r="B334">
        <v>0.23499999999999999</v>
      </c>
      <c r="C334" s="1">
        <v>322.42180000000002</v>
      </c>
      <c r="D334" s="1">
        <v>0.10390000000000001</v>
      </c>
      <c r="E334">
        <v>9.3000000000000007</v>
      </c>
      <c r="F334">
        <v>851.2</v>
      </c>
      <c r="G334">
        <v>12.8</v>
      </c>
      <c r="H334">
        <v>2.1</v>
      </c>
      <c r="I334">
        <v>146.19999999999999</v>
      </c>
      <c r="J334">
        <v>4.0999999999999996</v>
      </c>
      <c r="K334">
        <v>1.03</v>
      </c>
      <c r="L334">
        <v>0.03</v>
      </c>
      <c r="M334">
        <v>0.83</v>
      </c>
      <c r="N334">
        <v>159</v>
      </c>
      <c r="O334">
        <v>3.2</v>
      </c>
      <c r="P334">
        <v>0.88</v>
      </c>
      <c r="Q334">
        <v>0.02</v>
      </c>
      <c r="R334">
        <v>1.71</v>
      </c>
      <c r="S334">
        <v>35</v>
      </c>
      <c r="T334" t="s">
        <v>336</v>
      </c>
    </row>
    <row r="335" spans="1:20" x14ac:dyDescent="0.2">
      <c r="A335" t="s">
        <v>267</v>
      </c>
      <c r="B335">
        <v>0.313</v>
      </c>
      <c r="C335" s="1">
        <v>325.06330000000003</v>
      </c>
      <c r="D335" s="1">
        <v>-23.661100000000001</v>
      </c>
      <c r="E335">
        <v>11.4</v>
      </c>
      <c r="F335">
        <v>489.4</v>
      </c>
      <c r="G335">
        <v>13.1</v>
      </c>
      <c r="H335">
        <v>1.1000000000000001</v>
      </c>
      <c r="I335">
        <v>105.8</v>
      </c>
      <c r="J335">
        <v>2.7</v>
      </c>
      <c r="K335">
        <v>1.36</v>
      </c>
      <c r="L335">
        <v>0.03</v>
      </c>
      <c r="M335">
        <v>1.1499999999999999</v>
      </c>
      <c r="N335">
        <v>115.9</v>
      </c>
      <c r="O335">
        <v>2.4</v>
      </c>
      <c r="P335">
        <v>1.02</v>
      </c>
      <c r="Q335">
        <v>0.02</v>
      </c>
      <c r="R335">
        <v>6.2</v>
      </c>
      <c r="S335">
        <v>21</v>
      </c>
      <c r="T335" t="s">
        <v>336</v>
      </c>
    </row>
    <row r="336" spans="1:20" x14ac:dyDescent="0.2">
      <c r="A336" t="s">
        <v>268</v>
      </c>
      <c r="B336">
        <v>6.2E-2</v>
      </c>
      <c r="C336" s="1">
        <v>326.74619999999999</v>
      </c>
      <c r="D336" s="1">
        <v>-43.898699999999998</v>
      </c>
      <c r="E336">
        <v>5.9</v>
      </c>
      <c r="F336">
        <v>463.1</v>
      </c>
      <c r="G336">
        <v>10.8</v>
      </c>
      <c r="H336">
        <v>3.8</v>
      </c>
      <c r="I336">
        <v>146.9</v>
      </c>
      <c r="J336">
        <v>5.3</v>
      </c>
      <c r="K336">
        <v>0.88</v>
      </c>
      <c r="L336">
        <v>7.0000000000000007E-2</v>
      </c>
      <c r="M336">
        <v>0.52</v>
      </c>
      <c r="N336">
        <v>151.1</v>
      </c>
      <c r="O336">
        <v>4.8</v>
      </c>
      <c r="P336">
        <v>0.75</v>
      </c>
      <c r="Q336">
        <v>0.04</v>
      </c>
      <c r="R336">
        <v>0.72</v>
      </c>
      <c r="S336">
        <v>25</v>
      </c>
      <c r="T336" t="s">
        <v>336</v>
      </c>
    </row>
    <row r="337" spans="1:20" x14ac:dyDescent="0.2">
      <c r="A337" t="s">
        <v>269</v>
      </c>
      <c r="B337">
        <v>9.4E-2</v>
      </c>
      <c r="C337" s="1">
        <v>328.08879999999999</v>
      </c>
      <c r="D337" s="1">
        <v>-19.5474</v>
      </c>
      <c r="E337">
        <v>4.3</v>
      </c>
      <c r="F337">
        <v>202.7</v>
      </c>
      <c r="G337">
        <v>29.3</v>
      </c>
      <c r="H337">
        <v>3</v>
      </c>
      <c r="I337">
        <v>175</v>
      </c>
      <c r="J337">
        <v>5.8</v>
      </c>
      <c r="K337">
        <v>1.52</v>
      </c>
      <c r="L337">
        <v>7.0000000000000007E-2</v>
      </c>
      <c r="M337">
        <v>0.88</v>
      </c>
      <c r="N337">
        <v>176.1</v>
      </c>
      <c r="O337">
        <v>5.9</v>
      </c>
      <c r="P337">
        <v>0.93</v>
      </c>
      <c r="Q337">
        <v>0.04</v>
      </c>
      <c r="R337">
        <v>3.44</v>
      </c>
      <c r="S337">
        <v>24</v>
      </c>
      <c r="T337" t="s">
        <v>336</v>
      </c>
    </row>
    <row r="338" spans="1:20" x14ac:dyDescent="0.2">
      <c r="A338" t="s">
        <v>682</v>
      </c>
      <c r="B338">
        <v>0.22800000000000001</v>
      </c>
      <c r="C338" s="1">
        <v>328.40320000000003</v>
      </c>
      <c r="D338" s="1">
        <v>17.695399999999999</v>
      </c>
      <c r="E338">
        <v>9</v>
      </c>
      <c r="F338">
        <v>388.8</v>
      </c>
      <c r="G338">
        <v>10.1</v>
      </c>
      <c r="H338">
        <v>2.6</v>
      </c>
      <c r="I338">
        <v>167.5</v>
      </c>
      <c r="J338">
        <v>3.5</v>
      </c>
      <c r="K338">
        <v>0.96</v>
      </c>
      <c r="L338">
        <v>0.04</v>
      </c>
      <c r="M338">
        <v>1.1000000000000001</v>
      </c>
      <c r="N338">
        <v>173</v>
      </c>
      <c r="O338">
        <v>3.1</v>
      </c>
      <c r="P338">
        <v>0.84</v>
      </c>
      <c r="Q338">
        <v>0.02</v>
      </c>
      <c r="R338">
        <v>1.7</v>
      </c>
      <c r="S338">
        <v>22</v>
      </c>
      <c r="T338" t="s">
        <v>336</v>
      </c>
    </row>
    <row r="339" spans="1:20" x14ac:dyDescent="0.2">
      <c r="A339" t="s">
        <v>270</v>
      </c>
      <c r="B339">
        <v>0.29199999999999998</v>
      </c>
      <c r="C339" s="1">
        <v>328.96749999999997</v>
      </c>
      <c r="D339" s="1">
        <v>38.006799999999998</v>
      </c>
      <c r="E339">
        <v>10.8</v>
      </c>
      <c r="F339">
        <v>726.6</v>
      </c>
      <c r="G339">
        <v>38.5</v>
      </c>
      <c r="H339">
        <v>8.9</v>
      </c>
      <c r="I339">
        <v>220.7</v>
      </c>
      <c r="J339">
        <v>6.8</v>
      </c>
      <c r="K339">
        <v>0.81</v>
      </c>
      <c r="L339">
        <v>0.05</v>
      </c>
      <c r="M339">
        <v>0.84</v>
      </c>
      <c r="N339">
        <v>237.8</v>
      </c>
      <c r="O339">
        <v>5</v>
      </c>
      <c r="P339">
        <v>0.67</v>
      </c>
      <c r="Q339">
        <v>0.02</v>
      </c>
      <c r="R339">
        <v>1.24</v>
      </c>
      <c r="S339">
        <v>34</v>
      </c>
      <c r="T339" t="s">
        <v>336</v>
      </c>
    </row>
    <row r="340" spans="1:20" x14ac:dyDescent="0.2">
      <c r="A340" t="s">
        <v>271</v>
      </c>
      <c r="B340">
        <v>0.14799999999999999</v>
      </c>
      <c r="C340" s="1">
        <v>330.21839999999997</v>
      </c>
      <c r="D340" s="1">
        <v>20.968699999999998</v>
      </c>
      <c r="E340">
        <v>12.8</v>
      </c>
      <c r="F340">
        <v>703.3</v>
      </c>
      <c r="G340">
        <v>82.4</v>
      </c>
      <c r="H340">
        <v>9.1</v>
      </c>
      <c r="I340">
        <v>157.9</v>
      </c>
      <c r="J340">
        <v>6.7</v>
      </c>
      <c r="K340">
        <v>1.29</v>
      </c>
      <c r="L340">
        <v>0.08</v>
      </c>
      <c r="M340">
        <v>0.91</v>
      </c>
      <c r="N340">
        <v>184.2</v>
      </c>
      <c r="O340">
        <v>6.8</v>
      </c>
      <c r="P340">
        <v>0.68</v>
      </c>
      <c r="Q340">
        <v>0.06</v>
      </c>
      <c r="R340">
        <v>2.2000000000000002</v>
      </c>
      <c r="S340">
        <v>29</v>
      </c>
      <c r="T340" t="s">
        <v>336</v>
      </c>
    </row>
    <row r="341" spans="1:20" x14ac:dyDescent="0.2">
      <c r="A341" t="s">
        <v>684</v>
      </c>
      <c r="B341">
        <v>9.8000000000000004E-2</v>
      </c>
      <c r="C341" s="1">
        <v>330.47129999999999</v>
      </c>
      <c r="D341" s="1">
        <v>-59.945599999999999</v>
      </c>
      <c r="E341">
        <v>4.5</v>
      </c>
      <c r="F341">
        <v>496.7</v>
      </c>
      <c r="G341">
        <v>139</v>
      </c>
      <c r="H341">
        <v>11.8</v>
      </c>
      <c r="I341">
        <v>234</v>
      </c>
      <c r="J341">
        <v>6.2</v>
      </c>
      <c r="K341">
        <v>1.24</v>
      </c>
      <c r="L341">
        <v>0.08</v>
      </c>
      <c r="M341">
        <v>0.75</v>
      </c>
      <c r="N341">
        <v>258.7</v>
      </c>
      <c r="O341">
        <v>5.9</v>
      </c>
      <c r="P341">
        <v>0.57999999999999996</v>
      </c>
      <c r="Q341">
        <v>0.05</v>
      </c>
      <c r="R341">
        <v>1.76</v>
      </c>
      <c r="S341">
        <v>56</v>
      </c>
      <c r="T341" t="s">
        <v>336</v>
      </c>
    </row>
    <row r="342" spans="1:20" x14ac:dyDescent="0.2">
      <c r="A342" t="s">
        <v>272</v>
      </c>
      <c r="B342">
        <v>5.8000000000000003E-2</v>
      </c>
      <c r="C342" s="1">
        <v>331.41050000000001</v>
      </c>
      <c r="D342" s="1">
        <v>-5.5925000000000002</v>
      </c>
      <c r="E342">
        <v>2.8</v>
      </c>
      <c r="F342">
        <v>238.4</v>
      </c>
      <c r="G342">
        <v>6.2</v>
      </c>
      <c r="H342">
        <v>0.8</v>
      </c>
      <c r="I342">
        <v>131.5</v>
      </c>
      <c r="J342">
        <v>3.8</v>
      </c>
      <c r="K342">
        <v>1.07</v>
      </c>
      <c r="L342">
        <v>0.03</v>
      </c>
      <c r="M342">
        <v>0.62</v>
      </c>
      <c r="N342">
        <v>128</v>
      </c>
      <c r="O342">
        <v>3.9</v>
      </c>
      <c r="P342">
        <v>0.87</v>
      </c>
      <c r="Q342">
        <v>0.02</v>
      </c>
      <c r="R342">
        <v>2.76</v>
      </c>
      <c r="S342">
        <v>22</v>
      </c>
      <c r="T342" t="s">
        <v>336</v>
      </c>
    </row>
    <row r="343" spans="1:20" x14ac:dyDescent="0.2">
      <c r="A343" t="s">
        <v>761</v>
      </c>
      <c r="B343">
        <v>0.27</v>
      </c>
      <c r="C343" s="1">
        <v>332.94159999999999</v>
      </c>
      <c r="D343" s="1">
        <v>-3.83</v>
      </c>
      <c r="E343">
        <v>10.3</v>
      </c>
      <c r="F343">
        <v>912.6</v>
      </c>
      <c r="G343">
        <v>149.19999999999999</v>
      </c>
      <c r="H343">
        <v>17.7</v>
      </c>
      <c r="I343">
        <v>210.4</v>
      </c>
      <c r="J343">
        <v>11.6</v>
      </c>
      <c r="K343">
        <v>1.73</v>
      </c>
      <c r="L343">
        <v>0.09</v>
      </c>
      <c r="M343">
        <v>0.16</v>
      </c>
      <c r="N343">
        <v>225.8</v>
      </c>
      <c r="O343">
        <v>13.1</v>
      </c>
      <c r="P343">
        <v>0.83</v>
      </c>
      <c r="Q343">
        <v>0.08</v>
      </c>
      <c r="R343">
        <v>1.9</v>
      </c>
      <c r="S343">
        <v>24</v>
      </c>
      <c r="T343" t="s">
        <v>336</v>
      </c>
    </row>
    <row r="344" spans="1:20" x14ac:dyDescent="0.2">
      <c r="A344" t="s">
        <v>685</v>
      </c>
      <c r="B344">
        <v>0.153</v>
      </c>
      <c r="C344" s="1">
        <v>333.60660000000001</v>
      </c>
      <c r="D344" s="1">
        <v>-17.026700000000002</v>
      </c>
      <c r="E344">
        <v>6.6</v>
      </c>
      <c r="F344">
        <v>295.8</v>
      </c>
      <c r="G344">
        <v>5.5</v>
      </c>
      <c r="H344">
        <v>0.5</v>
      </c>
      <c r="I344">
        <v>124.9</v>
      </c>
      <c r="J344">
        <v>2.8</v>
      </c>
      <c r="K344">
        <v>1.3</v>
      </c>
      <c r="L344">
        <v>0.02</v>
      </c>
      <c r="M344">
        <v>0.42</v>
      </c>
      <c r="N344">
        <v>128.4</v>
      </c>
      <c r="O344">
        <v>2.9</v>
      </c>
      <c r="P344">
        <v>1.04</v>
      </c>
      <c r="Q344">
        <v>0.01</v>
      </c>
      <c r="R344">
        <v>4.55</v>
      </c>
      <c r="S344">
        <v>23</v>
      </c>
      <c r="T344" t="s">
        <v>336</v>
      </c>
    </row>
    <row r="345" spans="1:20" x14ac:dyDescent="0.2">
      <c r="A345" t="s">
        <v>686</v>
      </c>
      <c r="B345">
        <v>9.8000000000000004E-2</v>
      </c>
      <c r="C345" s="1">
        <v>333.63470000000001</v>
      </c>
      <c r="D345" s="1">
        <v>-10.3705</v>
      </c>
      <c r="E345">
        <v>9</v>
      </c>
      <c r="F345">
        <v>608.6</v>
      </c>
      <c r="G345">
        <v>-12.9</v>
      </c>
      <c r="H345">
        <v>8</v>
      </c>
      <c r="I345">
        <v>154.4</v>
      </c>
      <c r="J345">
        <v>5.6</v>
      </c>
      <c r="K345">
        <v>1</v>
      </c>
      <c r="L345">
        <v>0.06</v>
      </c>
      <c r="M345">
        <v>0.44</v>
      </c>
      <c r="N345">
        <v>148.30000000000001</v>
      </c>
      <c r="O345">
        <v>4.4000000000000004</v>
      </c>
      <c r="P345">
        <v>1.0900000000000001</v>
      </c>
      <c r="Q345">
        <v>0.03</v>
      </c>
      <c r="R345">
        <v>0.52</v>
      </c>
      <c r="S345">
        <v>35</v>
      </c>
      <c r="T345" t="s">
        <v>336</v>
      </c>
    </row>
    <row r="346" spans="1:20" x14ac:dyDescent="0.2">
      <c r="A346" t="s">
        <v>273</v>
      </c>
      <c r="B346">
        <v>0.48299999999999998</v>
      </c>
      <c r="C346" s="1">
        <v>333.73899999999998</v>
      </c>
      <c r="D346" s="1">
        <v>-14.0038</v>
      </c>
      <c r="E346">
        <v>29.8</v>
      </c>
      <c r="F346">
        <v>940</v>
      </c>
      <c r="G346">
        <v>126.5</v>
      </c>
      <c r="H346">
        <v>25.3</v>
      </c>
      <c r="I346">
        <v>218.5</v>
      </c>
      <c r="J346">
        <v>13.1</v>
      </c>
      <c r="K346">
        <v>1.1499999999999999</v>
      </c>
      <c r="L346">
        <v>0.14000000000000001</v>
      </c>
      <c r="M346">
        <v>0.26</v>
      </c>
      <c r="N346">
        <v>233.8</v>
      </c>
      <c r="O346">
        <v>13.7</v>
      </c>
      <c r="P346">
        <v>0.66</v>
      </c>
      <c r="Q346">
        <v>0.08</v>
      </c>
      <c r="R346">
        <v>0.94</v>
      </c>
      <c r="S346">
        <v>18</v>
      </c>
      <c r="T346" t="s">
        <v>336</v>
      </c>
    </row>
    <row r="347" spans="1:20" x14ac:dyDescent="0.2">
      <c r="A347" t="s">
        <v>274</v>
      </c>
      <c r="B347">
        <v>0.14899999999999999</v>
      </c>
      <c r="C347" s="1">
        <v>334.44099999999997</v>
      </c>
      <c r="D347" s="1">
        <v>-35.724400000000003</v>
      </c>
      <c r="E347">
        <v>19.3</v>
      </c>
      <c r="F347">
        <v>694.4</v>
      </c>
      <c r="G347">
        <v>106.6</v>
      </c>
      <c r="H347">
        <v>18.399999999999999</v>
      </c>
      <c r="I347">
        <v>201.1</v>
      </c>
      <c r="J347">
        <v>10.3</v>
      </c>
      <c r="K347">
        <v>1.23</v>
      </c>
      <c r="L347">
        <v>0.12</v>
      </c>
      <c r="M347">
        <v>0.52</v>
      </c>
      <c r="N347">
        <v>221.3</v>
      </c>
      <c r="O347">
        <v>10</v>
      </c>
      <c r="P347">
        <v>0.71</v>
      </c>
      <c r="Q347">
        <v>7.0000000000000007E-2</v>
      </c>
      <c r="R347">
        <v>1.31</v>
      </c>
      <c r="S347">
        <v>20</v>
      </c>
      <c r="T347" t="s">
        <v>336</v>
      </c>
    </row>
    <row r="348" spans="1:20" x14ac:dyDescent="0.2">
      <c r="A348" t="s">
        <v>275</v>
      </c>
      <c r="B348">
        <v>0.13800000000000001</v>
      </c>
      <c r="C348" s="1">
        <v>334.6644</v>
      </c>
      <c r="D348" s="1">
        <v>-38.9009</v>
      </c>
      <c r="E348">
        <v>18.100000000000001</v>
      </c>
      <c r="F348">
        <v>584.6</v>
      </c>
      <c r="G348">
        <v>163.80000000000001</v>
      </c>
      <c r="H348">
        <v>15.3</v>
      </c>
      <c r="I348">
        <v>192.6</v>
      </c>
      <c r="J348">
        <v>8.1999999999999993</v>
      </c>
      <c r="K348">
        <v>1.76</v>
      </c>
      <c r="L348">
        <v>0.14000000000000001</v>
      </c>
      <c r="M348">
        <v>0.39</v>
      </c>
      <c r="N348">
        <v>195.3</v>
      </c>
      <c r="O348">
        <v>8.5</v>
      </c>
      <c r="P348">
        <v>0.57999999999999996</v>
      </c>
      <c r="Q348">
        <v>0.09</v>
      </c>
      <c r="R348">
        <v>1.74</v>
      </c>
      <c r="S348">
        <v>26</v>
      </c>
      <c r="T348" t="s">
        <v>336</v>
      </c>
    </row>
    <row r="349" spans="1:20" x14ac:dyDescent="0.2">
      <c r="A349" t="s">
        <v>276</v>
      </c>
      <c r="B349">
        <v>0.108</v>
      </c>
      <c r="C349" s="1">
        <v>336.52589999999998</v>
      </c>
      <c r="D349" s="1">
        <v>17.366199999999999</v>
      </c>
      <c r="E349">
        <v>14.6</v>
      </c>
      <c r="F349">
        <v>395</v>
      </c>
      <c r="G349">
        <v>211.5</v>
      </c>
      <c r="H349">
        <v>32.799999999999997</v>
      </c>
      <c r="I349">
        <v>289.89999999999998</v>
      </c>
      <c r="J349">
        <v>11.2</v>
      </c>
      <c r="K349">
        <v>1.19</v>
      </c>
      <c r="L349">
        <v>0.26</v>
      </c>
      <c r="M349">
        <v>0.36</v>
      </c>
      <c r="N349">
        <v>306.5</v>
      </c>
      <c r="O349">
        <v>10.4</v>
      </c>
      <c r="P349">
        <v>0.4</v>
      </c>
      <c r="Q349">
        <v>0.11</v>
      </c>
      <c r="R349">
        <v>0.66</v>
      </c>
      <c r="S349">
        <v>33</v>
      </c>
      <c r="T349" t="s">
        <v>336</v>
      </c>
    </row>
    <row r="350" spans="1:20" x14ac:dyDescent="0.2">
      <c r="A350" t="s">
        <v>277</v>
      </c>
      <c r="B350">
        <v>0.16600000000000001</v>
      </c>
      <c r="C350" s="1">
        <v>336.73360000000002</v>
      </c>
      <c r="D350" s="1">
        <v>25.835100000000001</v>
      </c>
      <c r="E350">
        <v>14.1</v>
      </c>
      <c r="F350">
        <v>520.4</v>
      </c>
      <c r="G350">
        <v>17.399999999999999</v>
      </c>
      <c r="H350">
        <v>11</v>
      </c>
      <c r="I350">
        <v>168.8</v>
      </c>
      <c r="J350">
        <v>5.3</v>
      </c>
      <c r="K350">
        <v>0.81</v>
      </c>
      <c r="L350">
        <v>0.09</v>
      </c>
      <c r="M350">
        <v>0.31</v>
      </c>
      <c r="N350">
        <v>172.9</v>
      </c>
      <c r="O350">
        <v>4.5</v>
      </c>
      <c r="P350">
        <v>0.72</v>
      </c>
      <c r="Q350">
        <v>0.04</v>
      </c>
      <c r="R350">
        <v>0.34</v>
      </c>
      <c r="S350">
        <v>24</v>
      </c>
      <c r="T350" t="s">
        <v>336</v>
      </c>
    </row>
    <row r="351" spans="1:20" x14ac:dyDescent="0.2">
      <c r="A351" t="s">
        <v>278</v>
      </c>
      <c r="B351">
        <v>5.8000000000000003E-2</v>
      </c>
      <c r="C351" s="1">
        <v>336.97660000000002</v>
      </c>
      <c r="D351" s="1">
        <v>-30.577000000000002</v>
      </c>
      <c r="E351">
        <v>2.8</v>
      </c>
      <c r="F351">
        <v>379.8</v>
      </c>
      <c r="G351">
        <v>2.2000000000000002</v>
      </c>
      <c r="H351">
        <v>1.5</v>
      </c>
      <c r="I351">
        <v>149.4</v>
      </c>
      <c r="J351">
        <v>4</v>
      </c>
      <c r="K351">
        <v>0.93</v>
      </c>
      <c r="L351">
        <v>0.04</v>
      </c>
      <c r="M351">
        <v>1.22</v>
      </c>
      <c r="N351">
        <v>150.30000000000001</v>
      </c>
      <c r="O351">
        <v>4</v>
      </c>
      <c r="P351">
        <v>0.88</v>
      </c>
      <c r="Q351">
        <v>0.02</v>
      </c>
      <c r="R351">
        <v>1.25</v>
      </c>
      <c r="S351">
        <v>44</v>
      </c>
      <c r="T351" t="s">
        <v>336</v>
      </c>
    </row>
    <row r="352" spans="1:20" x14ac:dyDescent="0.2">
      <c r="A352" t="s">
        <v>689</v>
      </c>
      <c r="B352">
        <v>0.41199999999999998</v>
      </c>
      <c r="C352" s="1">
        <v>337.14240000000001</v>
      </c>
      <c r="D352" s="1">
        <v>20.6206</v>
      </c>
      <c r="E352">
        <v>27.2</v>
      </c>
      <c r="F352">
        <v>1088.2</v>
      </c>
      <c r="G352">
        <v>97.8</v>
      </c>
      <c r="H352">
        <v>33.9</v>
      </c>
      <c r="I352">
        <v>214.4</v>
      </c>
      <c r="J352">
        <v>13.9</v>
      </c>
      <c r="K352">
        <v>1.07</v>
      </c>
      <c r="L352">
        <v>0.1</v>
      </c>
      <c r="M352">
        <v>0.08</v>
      </c>
      <c r="N352">
        <v>199.4</v>
      </c>
      <c r="O352">
        <v>12.8</v>
      </c>
      <c r="P352">
        <v>0.83</v>
      </c>
      <c r="Q352">
        <v>0.05</v>
      </c>
      <c r="R352">
        <v>0.44</v>
      </c>
      <c r="S352">
        <v>19</v>
      </c>
      <c r="T352" t="s">
        <v>850</v>
      </c>
    </row>
    <row r="353" spans="1:20" x14ac:dyDescent="0.2">
      <c r="A353" t="s">
        <v>279</v>
      </c>
      <c r="B353">
        <v>0.32400000000000001</v>
      </c>
      <c r="C353" s="1">
        <v>337.43849999999998</v>
      </c>
      <c r="D353" s="1">
        <v>-27.9267</v>
      </c>
      <c r="E353">
        <v>11.7</v>
      </c>
      <c r="F353">
        <v>617.6</v>
      </c>
      <c r="G353">
        <v>8.1</v>
      </c>
      <c r="H353">
        <v>1.5</v>
      </c>
      <c r="I353">
        <v>100.6</v>
      </c>
      <c r="J353">
        <v>3.9</v>
      </c>
      <c r="K353">
        <v>1.28</v>
      </c>
      <c r="L353">
        <v>0.04</v>
      </c>
      <c r="M353">
        <v>0.62</v>
      </c>
      <c r="N353">
        <v>108.6</v>
      </c>
      <c r="O353">
        <v>3.4</v>
      </c>
      <c r="P353">
        <v>1.05</v>
      </c>
      <c r="Q353">
        <v>0.03</v>
      </c>
      <c r="R353">
        <v>2.13</v>
      </c>
      <c r="S353">
        <v>16</v>
      </c>
      <c r="T353" t="s">
        <v>336</v>
      </c>
    </row>
    <row r="354" spans="1:20" x14ac:dyDescent="0.2">
      <c r="A354" t="s">
        <v>691</v>
      </c>
      <c r="B354">
        <v>1.7000000000000001E-2</v>
      </c>
      <c r="C354" s="1">
        <v>337.83589999999998</v>
      </c>
      <c r="D354" s="1">
        <v>39.3581</v>
      </c>
      <c r="E354">
        <v>0.9</v>
      </c>
      <c r="F354">
        <v>38.4</v>
      </c>
      <c r="G354">
        <v>-63</v>
      </c>
      <c r="H354">
        <v>59</v>
      </c>
      <c r="I354">
        <v>97</v>
      </c>
      <c r="J354">
        <v>10.5</v>
      </c>
      <c r="K354">
        <v>0.18</v>
      </c>
      <c r="L354">
        <v>0.65</v>
      </c>
      <c r="M354">
        <v>0.68</v>
      </c>
      <c r="N354">
        <v>154</v>
      </c>
      <c r="O354">
        <v>8.8000000000000007</v>
      </c>
      <c r="P354">
        <v>0.66</v>
      </c>
      <c r="Q354">
        <v>0.03</v>
      </c>
      <c r="R354">
        <v>1.49</v>
      </c>
      <c r="S354">
        <v>23</v>
      </c>
      <c r="T354" t="s">
        <v>336</v>
      </c>
    </row>
    <row r="355" spans="1:20" x14ac:dyDescent="0.2">
      <c r="A355" t="s">
        <v>280</v>
      </c>
      <c r="B355">
        <v>5.8999999999999997E-2</v>
      </c>
      <c r="C355" s="1">
        <v>338.9221</v>
      </c>
      <c r="D355" s="1">
        <v>1.4866999999999999</v>
      </c>
      <c r="E355">
        <v>11.3</v>
      </c>
      <c r="F355">
        <v>408.4</v>
      </c>
      <c r="G355">
        <v>3.9</v>
      </c>
      <c r="H355">
        <v>14.4</v>
      </c>
      <c r="I355">
        <v>195</v>
      </c>
      <c r="J355">
        <v>9.5</v>
      </c>
      <c r="K355">
        <v>0.73</v>
      </c>
      <c r="L355">
        <v>0.13</v>
      </c>
      <c r="M355">
        <v>0.62</v>
      </c>
      <c r="N355">
        <v>196.8</v>
      </c>
      <c r="O355">
        <v>6.5</v>
      </c>
      <c r="P355">
        <v>0.71</v>
      </c>
      <c r="Q355">
        <v>0.05</v>
      </c>
      <c r="R355">
        <v>0.59</v>
      </c>
      <c r="S355">
        <v>22</v>
      </c>
      <c r="T355" t="s">
        <v>336</v>
      </c>
    </row>
    <row r="356" spans="1:20" x14ac:dyDescent="0.2">
      <c r="A356" t="s">
        <v>695</v>
      </c>
      <c r="B356">
        <v>2.1499999999999998E-2</v>
      </c>
      <c r="C356" s="1">
        <v>338.99959999999999</v>
      </c>
      <c r="D356" s="1">
        <v>33.972099999999998</v>
      </c>
      <c r="E356">
        <v>2.1</v>
      </c>
      <c r="F356">
        <v>31.1</v>
      </c>
      <c r="G356">
        <v>4</v>
      </c>
      <c r="H356">
        <v>0.9</v>
      </c>
      <c r="I356">
        <v>83.7</v>
      </c>
      <c r="J356">
        <v>20.2</v>
      </c>
      <c r="K356">
        <v>1.1599999999999999</v>
      </c>
      <c r="L356">
        <v>0.17</v>
      </c>
      <c r="M356">
        <v>1.5</v>
      </c>
      <c r="N356">
        <v>47.5</v>
      </c>
      <c r="O356">
        <v>4.3</v>
      </c>
      <c r="P356">
        <v>0.64</v>
      </c>
      <c r="Q356">
        <v>7.0000000000000007E-2</v>
      </c>
      <c r="R356">
        <v>2.08</v>
      </c>
      <c r="S356">
        <v>13</v>
      </c>
      <c r="T356" t="s">
        <v>336</v>
      </c>
    </row>
    <row r="357" spans="1:20" x14ac:dyDescent="0.2">
      <c r="A357" t="s">
        <v>282</v>
      </c>
      <c r="B357">
        <v>0.192</v>
      </c>
      <c r="C357" s="1">
        <v>340.66469999999998</v>
      </c>
      <c r="D357" s="1">
        <v>52.995800000000003</v>
      </c>
      <c r="E357">
        <v>15.8</v>
      </c>
      <c r="F357">
        <v>371.8</v>
      </c>
      <c r="G357">
        <v>-223.1</v>
      </c>
      <c r="H357">
        <v>298.7</v>
      </c>
      <c r="I357">
        <v>448</v>
      </c>
      <c r="J357">
        <v>23.7</v>
      </c>
      <c r="K357">
        <v>0.31</v>
      </c>
      <c r="L357">
        <v>0.52</v>
      </c>
      <c r="M357">
        <v>0.41</v>
      </c>
      <c r="N357">
        <v>425.7</v>
      </c>
      <c r="O357">
        <v>15.3</v>
      </c>
      <c r="P357">
        <v>0.51</v>
      </c>
      <c r="Q357">
        <v>0.08</v>
      </c>
      <c r="R357">
        <v>0.46</v>
      </c>
      <c r="S357">
        <v>23</v>
      </c>
      <c r="T357" t="s">
        <v>336</v>
      </c>
    </row>
    <row r="358" spans="1:20" x14ac:dyDescent="0.2">
      <c r="A358" t="s">
        <v>284</v>
      </c>
      <c r="B358">
        <v>0.30399999999999999</v>
      </c>
      <c r="C358" s="1">
        <v>341.26920000000001</v>
      </c>
      <c r="D358" s="1">
        <v>26.634799999999998</v>
      </c>
      <c r="E358">
        <v>11.2</v>
      </c>
      <c r="F358">
        <v>557.70000000000005</v>
      </c>
      <c r="G358">
        <v>24.2</v>
      </c>
      <c r="H358">
        <v>5.2</v>
      </c>
      <c r="I358">
        <v>138.19999999999999</v>
      </c>
      <c r="J358">
        <v>7.4</v>
      </c>
      <c r="K358">
        <v>1.18</v>
      </c>
      <c r="L358">
        <v>0.08</v>
      </c>
      <c r="M358">
        <v>0.13</v>
      </c>
      <c r="N358">
        <v>152.30000000000001</v>
      </c>
      <c r="O358">
        <v>6.1</v>
      </c>
      <c r="P358">
        <v>0.87</v>
      </c>
      <c r="Q358">
        <v>0.05</v>
      </c>
      <c r="R358">
        <v>1.35</v>
      </c>
      <c r="S358">
        <v>13</v>
      </c>
      <c r="T358" t="s">
        <v>328</v>
      </c>
    </row>
    <row r="359" spans="1:20" x14ac:dyDescent="0.2">
      <c r="A359" t="s">
        <v>285</v>
      </c>
      <c r="B359">
        <v>9.7000000000000003E-2</v>
      </c>
      <c r="C359" s="1">
        <v>341.61169999999998</v>
      </c>
      <c r="D359" s="1">
        <v>-52.739800000000002</v>
      </c>
      <c r="E359">
        <v>26.6</v>
      </c>
      <c r="F359">
        <v>651.9</v>
      </c>
      <c r="G359">
        <v>417.9</v>
      </c>
      <c r="H359">
        <v>34.1</v>
      </c>
      <c r="I359">
        <v>421.9</v>
      </c>
      <c r="J359">
        <v>30.5</v>
      </c>
      <c r="K359">
        <v>2.77</v>
      </c>
      <c r="L359">
        <v>0.25</v>
      </c>
      <c r="M359">
        <v>0.44</v>
      </c>
      <c r="N359">
        <v>362.3</v>
      </c>
      <c r="O359">
        <v>29.9</v>
      </c>
      <c r="P359">
        <v>0.39</v>
      </c>
      <c r="Q359">
        <v>0.18</v>
      </c>
      <c r="R359">
        <v>1.25</v>
      </c>
      <c r="S359">
        <v>27</v>
      </c>
      <c r="T359" t="s">
        <v>336</v>
      </c>
    </row>
    <row r="360" spans="1:20" x14ac:dyDescent="0.2">
      <c r="A360" t="s">
        <v>699</v>
      </c>
      <c r="B360">
        <v>0.247</v>
      </c>
      <c r="C360" s="1">
        <v>342.12909999999999</v>
      </c>
      <c r="D360" s="1">
        <v>-16.107900000000001</v>
      </c>
      <c r="E360">
        <v>19.2</v>
      </c>
      <c r="F360">
        <v>585.9</v>
      </c>
      <c r="G360">
        <v>80.5</v>
      </c>
      <c r="H360">
        <v>28.4</v>
      </c>
      <c r="I360">
        <v>197.5</v>
      </c>
      <c r="J360">
        <v>14.6</v>
      </c>
      <c r="K360">
        <v>1</v>
      </c>
      <c r="L360">
        <v>0.19</v>
      </c>
      <c r="M360">
        <v>0.28999999999999998</v>
      </c>
      <c r="N360">
        <v>214</v>
      </c>
      <c r="O360">
        <v>12.6</v>
      </c>
      <c r="P360">
        <v>0.65</v>
      </c>
      <c r="Q360">
        <v>0.09</v>
      </c>
      <c r="R360">
        <v>0.67</v>
      </c>
      <c r="S360">
        <v>13</v>
      </c>
      <c r="T360" t="s">
        <v>336</v>
      </c>
    </row>
    <row r="361" spans="1:20" x14ac:dyDescent="0.2">
      <c r="A361" t="s">
        <v>286</v>
      </c>
      <c r="B361">
        <v>0.34699999999999998</v>
      </c>
      <c r="C361" s="1">
        <v>342.18349999999998</v>
      </c>
      <c r="D361" s="1">
        <v>-44.5304</v>
      </c>
      <c r="E361">
        <v>12.2</v>
      </c>
      <c r="F361">
        <v>1220</v>
      </c>
      <c r="G361">
        <v>130.5</v>
      </c>
      <c r="H361">
        <v>11.7</v>
      </c>
      <c r="I361">
        <v>194.8</v>
      </c>
      <c r="J361">
        <v>7.5</v>
      </c>
      <c r="K361">
        <v>1.46</v>
      </c>
      <c r="L361">
        <v>0.06</v>
      </c>
      <c r="M361">
        <v>0.28000000000000003</v>
      </c>
      <c r="N361">
        <v>201</v>
      </c>
      <c r="O361">
        <v>8.4</v>
      </c>
      <c r="P361">
        <v>0.83</v>
      </c>
      <c r="Q361">
        <v>0.04</v>
      </c>
      <c r="R361">
        <v>2.44</v>
      </c>
      <c r="S361">
        <v>33</v>
      </c>
      <c r="T361" t="s">
        <v>336</v>
      </c>
    </row>
    <row r="362" spans="1:20" x14ac:dyDescent="0.2">
      <c r="A362" t="s">
        <v>287</v>
      </c>
      <c r="B362">
        <v>9.2999999999999999E-2</v>
      </c>
      <c r="C362" s="1">
        <v>342.48610000000002</v>
      </c>
      <c r="D362" s="1">
        <v>-64.430199999999999</v>
      </c>
      <c r="E362">
        <v>8.5</v>
      </c>
      <c r="F362">
        <v>657.7</v>
      </c>
      <c r="G362">
        <v>87.2</v>
      </c>
      <c r="H362">
        <v>17</v>
      </c>
      <c r="I362">
        <v>235.4</v>
      </c>
      <c r="J362">
        <v>6.8</v>
      </c>
      <c r="K362">
        <v>0.88</v>
      </c>
      <c r="L362">
        <v>0.09</v>
      </c>
      <c r="M362">
        <v>0.6</v>
      </c>
      <c r="N362">
        <v>247.8</v>
      </c>
      <c r="O362">
        <v>6.3</v>
      </c>
      <c r="P362">
        <v>0.61</v>
      </c>
      <c r="Q362">
        <v>0.04</v>
      </c>
      <c r="R362">
        <v>0.83</v>
      </c>
      <c r="S362">
        <v>70</v>
      </c>
      <c r="T362" t="s">
        <v>336</v>
      </c>
    </row>
    <row r="363" spans="1:20" x14ac:dyDescent="0.2">
      <c r="A363" t="s">
        <v>288</v>
      </c>
      <c r="B363">
        <v>0.19600000000000001</v>
      </c>
      <c r="C363" s="1">
        <v>344.21940000000001</v>
      </c>
      <c r="D363" s="1">
        <v>5.5045999999999999</v>
      </c>
      <c r="E363">
        <v>32.200000000000003</v>
      </c>
      <c r="F363">
        <v>956.8</v>
      </c>
      <c r="G363">
        <v>219.6</v>
      </c>
      <c r="H363">
        <v>28.4</v>
      </c>
      <c r="I363">
        <v>241.6</v>
      </c>
      <c r="J363">
        <v>22.3</v>
      </c>
      <c r="K363">
        <v>2.0699999999999998</v>
      </c>
      <c r="L363">
        <v>0.14000000000000001</v>
      </c>
      <c r="M363">
        <v>0.44</v>
      </c>
      <c r="N363">
        <v>263.60000000000002</v>
      </c>
      <c r="O363">
        <v>23.4</v>
      </c>
      <c r="P363">
        <v>0.53</v>
      </c>
      <c r="Q363">
        <v>0.16</v>
      </c>
      <c r="R363">
        <v>1.29</v>
      </c>
      <c r="S363">
        <v>24</v>
      </c>
      <c r="T363" t="s">
        <v>336</v>
      </c>
    </row>
    <row r="364" spans="1:20" x14ac:dyDescent="0.2">
      <c r="A364" t="s">
        <v>290</v>
      </c>
      <c r="B364">
        <v>0.29499999999999998</v>
      </c>
      <c r="C364" s="1">
        <v>347.09289999999999</v>
      </c>
      <c r="D364" s="1">
        <v>-2.1916000000000002</v>
      </c>
      <c r="E364">
        <v>10.9</v>
      </c>
      <c r="F364">
        <v>786.4</v>
      </c>
      <c r="G364">
        <v>57.5</v>
      </c>
      <c r="H364">
        <v>15</v>
      </c>
      <c r="I364">
        <v>199</v>
      </c>
      <c r="J364">
        <v>7.8</v>
      </c>
      <c r="K364">
        <v>0.82</v>
      </c>
      <c r="L364">
        <v>0.1</v>
      </c>
      <c r="M364">
        <v>0.85</v>
      </c>
      <c r="N364">
        <v>212.2</v>
      </c>
      <c r="O364">
        <v>6.5</v>
      </c>
      <c r="P364">
        <v>0.61</v>
      </c>
      <c r="Q364">
        <v>0.04</v>
      </c>
      <c r="R364">
        <v>1.1499999999999999</v>
      </c>
      <c r="S364">
        <v>33</v>
      </c>
      <c r="T364" t="s">
        <v>336</v>
      </c>
    </row>
    <row r="365" spans="1:20" x14ac:dyDescent="0.2">
      <c r="A365" t="s">
        <v>291</v>
      </c>
      <c r="B365">
        <v>0.3</v>
      </c>
      <c r="C365" s="1">
        <v>347.88850000000002</v>
      </c>
      <c r="D365" s="1">
        <v>3.6353</v>
      </c>
      <c r="E365">
        <v>22.1</v>
      </c>
      <c r="F365">
        <v>696.3</v>
      </c>
      <c r="G365">
        <v>-32.1</v>
      </c>
      <c r="H365">
        <v>4.2</v>
      </c>
      <c r="I365">
        <v>135.30000000000001</v>
      </c>
      <c r="J365">
        <v>5.9</v>
      </c>
      <c r="K365">
        <v>1.1000000000000001</v>
      </c>
      <c r="L365">
        <v>0.04</v>
      </c>
      <c r="M365">
        <v>2</v>
      </c>
      <c r="N365">
        <v>84.5</v>
      </c>
      <c r="O365">
        <v>3.9</v>
      </c>
      <c r="P365">
        <v>1.56</v>
      </c>
      <c r="Q365">
        <v>0.02</v>
      </c>
      <c r="R365">
        <v>8.31</v>
      </c>
      <c r="S365">
        <v>25</v>
      </c>
      <c r="T365" t="s">
        <v>336</v>
      </c>
    </row>
    <row r="366" spans="1:20" x14ac:dyDescent="0.2">
      <c r="A366" t="s">
        <v>292</v>
      </c>
      <c r="B366">
        <v>0.123</v>
      </c>
      <c r="C366" s="1">
        <v>347.89929999999998</v>
      </c>
      <c r="D366" s="1">
        <v>-21.746200000000002</v>
      </c>
      <c r="E366">
        <v>5.5</v>
      </c>
      <c r="F366">
        <v>251.2</v>
      </c>
      <c r="G366">
        <v>7.7</v>
      </c>
      <c r="H366">
        <v>1.7</v>
      </c>
      <c r="I366">
        <v>114.4</v>
      </c>
      <c r="J366">
        <v>2.8</v>
      </c>
      <c r="K366">
        <v>0.91</v>
      </c>
      <c r="L366">
        <v>0.05</v>
      </c>
      <c r="M366">
        <v>0.31</v>
      </c>
      <c r="N366">
        <v>117.1</v>
      </c>
      <c r="O366">
        <v>2.7</v>
      </c>
      <c r="P366">
        <v>0.75</v>
      </c>
      <c r="Q366">
        <v>0.02</v>
      </c>
      <c r="R366">
        <v>1.1200000000000001</v>
      </c>
      <c r="S366">
        <v>20</v>
      </c>
      <c r="T366" t="s">
        <v>336</v>
      </c>
    </row>
    <row r="367" spans="1:20" x14ac:dyDescent="0.2">
      <c r="A367" t="s">
        <v>293</v>
      </c>
      <c r="B367">
        <v>8.6999999999999994E-2</v>
      </c>
      <c r="C367" s="1">
        <v>348.25560000000002</v>
      </c>
      <c r="D367" s="1">
        <v>-21.634399999999999</v>
      </c>
      <c r="E367">
        <v>4</v>
      </c>
      <c r="F367">
        <v>321.8</v>
      </c>
      <c r="G367">
        <v>12.6</v>
      </c>
      <c r="H367">
        <v>1.4</v>
      </c>
      <c r="I367">
        <v>137.5</v>
      </c>
      <c r="J367">
        <v>3.3</v>
      </c>
      <c r="K367">
        <v>1.0900000000000001</v>
      </c>
      <c r="L367">
        <v>0.04</v>
      </c>
      <c r="M367">
        <v>1.1000000000000001</v>
      </c>
      <c r="N367">
        <v>142</v>
      </c>
      <c r="O367">
        <v>3.2</v>
      </c>
      <c r="P367">
        <v>0.83</v>
      </c>
      <c r="Q367">
        <v>0.02</v>
      </c>
      <c r="R367">
        <v>2.8</v>
      </c>
      <c r="S367">
        <v>34</v>
      </c>
      <c r="T367" t="s">
        <v>336</v>
      </c>
    </row>
    <row r="368" spans="1:20" x14ac:dyDescent="0.2">
      <c r="A368" t="s">
        <v>294</v>
      </c>
      <c r="B368">
        <v>5.8000000000000003E-2</v>
      </c>
      <c r="C368" s="1">
        <v>348.49459999999999</v>
      </c>
      <c r="D368" s="1">
        <v>-42.725299999999997</v>
      </c>
      <c r="E368">
        <v>2.8</v>
      </c>
      <c r="F368">
        <v>424.1</v>
      </c>
      <c r="G368">
        <v>11.5</v>
      </c>
      <c r="H368">
        <v>0.5</v>
      </c>
      <c r="I368">
        <v>90.1</v>
      </c>
      <c r="J368">
        <v>0.9</v>
      </c>
      <c r="K368">
        <v>1.1299999999999999</v>
      </c>
      <c r="L368">
        <v>0.02</v>
      </c>
      <c r="M368">
        <v>1.37</v>
      </c>
      <c r="N368">
        <v>91.2</v>
      </c>
      <c r="O368">
        <v>1</v>
      </c>
      <c r="P368">
        <v>0.83</v>
      </c>
      <c r="Q368">
        <v>0.01</v>
      </c>
      <c r="R368">
        <v>6.4</v>
      </c>
      <c r="S368">
        <v>77</v>
      </c>
      <c r="T368" t="s">
        <v>336</v>
      </c>
    </row>
    <row r="369" spans="1:20" x14ac:dyDescent="0.2">
      <c r="A369" t="s">
        <v>704</v>
      </c>
      <c r="B369">
        <v>1.7399999999999999E-2</v>
      </c>
      <c r="C369" s="1">
        <v>349.65960000000001</v>
      </c>
      <c r="D369" s="1">
        <v>42.958100000000002</v>
      </c>
      <c r="E369">
        <v>1.7</v>
      </c>
      <c r="F369">
        <v>54.1</v>
      </c>
      <c r="G369">
        <v>4.4000000000000004</v>
      </c>
      <c r="H369">
        <v>0.5</v>
      </c>
      <c r="I369">
        <v>140.69999999999999</v>
      </c>
      <c r="J369">
        <v>9.1</v>
      </c>
      <c r="K369">
        <v>1.1599999999999999</v>
      </c>
      <c r="L369">
        <v>0.05</v>
      </c>
      <c r="M369">
        <v>2.3199999999999998</v>
      </c>
      <c r="N369">
        <v>101</v>
      </c>
      <c r="O369">
        <v>4.4000000000000004</v>
      </c>
      <c r="P369">
        <v>0.84</v>
      </c>
      <c r="Q369">
        <v>0.02</v>
      </c>
      <c r="R369">
        <v>4.13</v>
      </c>
      <c r="S369">
        <v>29</v>
      </c>
      <c r="T369" t="s">
        <v>336</v>
      </c>
    </row>
    <row r="370" spans="1:20" x14ac:dyDescent="0.2">
      <c r="A370" t="s">
        <v>705</v>
      </c>
      <c r="B370">
        <v>1.7299999999999999E-2</v>
      </c>
      <c r="C370" s="1">
        <v>349.95010000000002</v>
      </c>
      <c r="D370" s="1">
        <v>42.853200000000001</v>
      </c>
      <c r="E370">
        <v>0.9</v>
      </c>
      <c r="F370">
        <v>46.8</v>
      </c>
      <c r="G370">
        <v>1.4</v>
      </c>
      <c r="H370">
        <v>0.3</v>
      </c>
      <c r="I370">
        <v>93.7</v>
      </c>
      <c r="J370">
        <v>7</v>
      </c>
      <c r="K370">
        <v>0.91</v>
      </c>
      <c r="L370">
        <v>0.06</v>
      </c>
      <c r="M370">
        <v>1.0900000000000001</v>
      </c>
      <c r="N370">
        <v>73.400000000000006</v>
      </c>
      <c r="O370">
        <v>3.3</v>
      </c>
      <c r="P370">
        <v>0.72</v>
      </c>
      <c r="Q370">
        <v>0.02</v>
      </c>
      <c r="R370">
        <v>1.79</v>
      </c>
      <c r="S370">
        <v>20</v>
      </c>
      <c r="T370" t="s">
        <v>336</v>
      </c>
    </row>
    <row r="371" spans="1:20" x14ac:dyDescent="0.2">
      <c r="A371" t="s">
        <v>706</v>
      </c>
      <c r="B371">
        <v>4.1399999999999999E-2</v>
      </c>
      <c r="C371" s="1">
        <v>350.98939999999999</v>
      </c>
      <c r="D371" s="1">
        <v>16.777200000000001</v>
      </c>
      <c r="E371">
        <v>2</v>
      </c>
      <c r="F371">
        <v>191.6</v>
      </c>
      <c r="G371">
        <v>-8.1</v>
      </c>
      <c r="H371">
        <v>7.4</v>
      </c>
      <c r="I371">
        <v>177</v>
      </c>
      <c r="J371">
        <v>2.2999999999999998</v>
      </c>
      <c r="K371">
        <v>0.43</v>
      </c>
      <c r="L371">
        <v>0.08</v>
      </c>
      <c r="M371">
        <v>0.91</v>
      </c>
      <c r="N371">
        <v>176.8</v>
      </c>
      <c r="O371">
        <v>2.2000000000000002</v>
      </c>
      <c r="P371">
        <v>0.47</v>
      </c>
      <c r="Q371">
        <v>0.03</v>
      </c>
      <c r="R371">
        <v>0.93</v>
      </c>
      <c r="S371">
        <v>48</v>
      </c>
      <c r="T371" t="s">
        <v>336</v>
      </c>
    </row>
    <row r="372" spans="1:20" x14ac:dyDescent="0.2">
      <c r="A372" t="s">
        <v>296</v>
      </c>
      <c r="B372">
        <v>8.5000000000000006E-2</v>
      </c>
      <c r="C372" s="1">
        <v>351.33260000000001</v>
      </c>
      <c r="D372" s="1">
        <v>-12.1242</v>
      </c>
      <c r="E372">
        <v>3.9</v>
      </c>
      <c r="F372">
        <v>311.2</v>
      </c>
      <c r="G372">
        <v>9.9</v>
      </c>
      <c r="H372">
        <v>0.3</v>
      </c>
      <c r="I372">
        <v>110.8</v>
      </c>
      <c r="J372">
        <v>1</v>
      </c>
      <c r="K372">
        <v>1.22</v>
      </c>
      <c r="L372">
        <v>0.01</v>
      </c>
      <c r="M372">
        <v>2.0499999999999998</v>
      </c>
      <c r="N372">
        <v>106.1</v>
      </c>
      <c r="O372">
        <v>1</v>
      </c>
      <c r="P372">
        <v>0.88</v>
      </c>
      <c r="Q372">
        <v>0.01</v>
      </c>
      <c r="R372">
        <v>18.739999999999998</v>
      </c>
      <c r="S372">
        <v>41</v>
      </c>
      <c r="T372" t="s">
        <v>336</v>
      </c>
    </row>
    <row r="373" spans="1:20" x14ac:dyDescent="0.2">
      <c r="A373" t="s">
        <v>709</v>
      </c>
      <c r="B373">
        <v>5.5E-2</v>
      </c>
      <c r="C373" s="1">
        <v>354.12670000000003</v>
      </c>
      <c r="D373" s="1">
        <v>21.146799999999999</v>
      </c>
      <c r="E373">
        <v>2.6</v>
      </c>
      <c r="F373">
        <v>171.5</v>
      </c>
      <c r="G373">
        <v>13</v>
      </c>
      <c r="H373">
        <v>2.6</v>
      </c>
      <c r="I373">
        <v>138</v>
      </c>
      <c r="J373">
        <v>4</v>
      </c>
      <c r="K373">
        <v>0.83</v>
      </c>
      <c r="L373">
        <v>7.0000000000000007E-2</v>
      </c>
      <c r="M373">
        <v>1.31</v>
      </c>
      <c r="N373">
        <v>134</v>
      </c>
      <c r="O373">
        <v>3.9</v>
      </c>
      <c r="P373">
        <v>0.62</v>
      </c>
      <c r="Q373">
        <v>0.04</v>
      </c>
      <c r="R373">
        <v>1.8</v>
      </c>
      <c r="S373">
        <v>33</v>
      </c>
      <c r="T373" t="s">
        <v>336</v>
      </c>
    </row>
    <row r="374" spans="1:20" x14ac:dyDescent="0.2">
      <c r="A374" t="s">
        <v>712</v>
      </c>
      <c r="B374">
        <v>0.27300000000000002</v>
      </c>
      <c r="C374" s="1">
        <v>354.40820000000002</v>
      </c>
      <c r="D374" s="1">
        <v>0.26719999999999999</v>
      </c>
      <c r="E374">
        <v>31</v>
      </c>
      <c r="F374">
        <v>516.79999999999995</v>
      </c>
      <c r="G374">
        <v>205.2</v>
      </c>
      <c r="H374">
        <v>71.7</v>
      </c>
      <c r="I374">
        <v>284.2</v>
      </c>
      <c r="J374">
        <v>25.5</v>
      </c>
      <c r="K374">
        <v>1.1100000000000001</v>
      </c>
      <c r="L374">
        <v>0.47</v>
      </c>
      <c r="M374">
        <v>0.38</v>
      </c>
      <c r="N374">
        <v>296.2</v>
      </c>
      <c r="O374">
        <v>25.8</v>
      </c>
      <c r="P374">
        <v>0.44</v>
      </c>
      <c r="Q374">
        <v>0.21</v>
      </c>
      <c r="R374">
        <v>0.51</v>
      </c>
      <c r="S374">
        <v>16</v>
      </c>
      <c r="T374" t="s">
        <v>336</v>
      </c>
    </row>
    <row r="375" spans="1:20" x14ac:dyDescent="0.2">
      <c r="A375" t="s">
        <v>300</v>
      </c>
      <c r="B375">
        <v>7.9000000000000001E-2</v>
      </c>
      <c r="C375" s="1">
        <v>356.07690000000002</v>
      </c>
      <c r="D375" s="1">
        <v>-4.3815999999999997</v>
      </c>
      <c r="E375">
        <v>11.1</v>
      </c>
      <c r="F375">
        <v>534.5</v>
      </c>
      <c r="G375">
        <v>130.30000000000001</v>
      </c>
      <c r="H375">
        <v>14.6</v>
      </c>
      <c r="I375">
        <v>186.8</v>
      </c>
      <c r="J375">
        <v>7.5</v>
      </c>
      <c r="K375">
        <v>1.34</v>
      </c>
      <c r="L375">
        <v>0.12</v>
      </c>
      <c r="M375">
        <v>0.51</v>
      </c>
      <c r="N375">
        <v>203.7</v>
      </c>
      <c r="O375">
        <v>7.8</v>
      </c>
      <c r="P375">
        <v>0.55000000000000004</v>
      </c>
      <c r="Q375">
        <v>7.0000000000000007E-2</v>
      </c>
      <c r="R375">
        <v>1.35</v>
      </c>
      <c r="S375">
        <v>37</v>
      </c>
      <c r="T375" t="s">
        <v>336</v>
      </c>
    </row>
    <row r="376" spans="1:20" x14ac:dyDescent="0.2">
      <c r="A376" t="s">
        <v>716</v>
      </c>
      <c r="B376">
        <v>0.04</v>
      </c>
      <c r="C376" s="1">
        <v>356.2389</v>
      </c>
      <c r="D376" s="1">
        <v>9.1920999999999999</v>
      </c>
      <c r="E376">
        <v>5.9</v>
      </c>
      <c r="F376">
        <v>326</v>
      </c>
      <c r="G376">
        <v>55.2</v>
      </c>
      <c r="H376">
        <v>9.6999999999999993</v>
      </c>
      <c r="I376">
        <v>161.19999999999999</v>
      </c>
      <c r="J376">
        <v>4.8</v>
      </c>
      <c r="K376">
        <v>0.92</v>
      </c>
      <c r="L376">
        <v>0.12</v>
      </c>
      <c r="M376">
        <v>0.77</v>
      </c>
      <c r="N376">
        <v>171.4</v>
      </c>
      <c r="O376">
        <v>3.7</v>
      </c>
      <c r="P376">
        <v>0.55000000000000004</v>
      </c>
      <c r="Q376">
        <v>0.05</v>
      </c>
      <c r="R376">
        <v>1.03</v>
      </c>
      <c r="S376">
        <v>66</v>
      </c>
      <c r="T376" t="s">
        <v>336</v>
      </c>
    </row>
    <row r="377" spans="1:20" x14ac:dyDescent="0.2">
      <c r="A377" t="s">
        <v>718</v>
      </c>
      <c r="B377">
        <v>2.1999999999999999E-2</v>
      </c>
      <c r="C377" s="1">
        <v>356.84589999999997</v>
      </c>
      <c r="D377" s="1">
        <v>-2.3005</v>
      </c>
      <c r="E377">
        <v>2.2000000000000002</v>
      </c>
      <c r="F377">
        <v>65.8</v>
      </c>
      <c r="G377">
        <v>4.5</v>
      </c>
      <c r="H377">
        <v>1.5</v>
      </c>
      <c r="I377">
        <v>84.2</v>
      </c>
      <c r="J377">
        <v>5.4</v>
      </c>
      <c r="K377">
        <v>0.81</v>
      </c>
      <c r="L377">
        <v>0.1</v>
      </c>
      <c r="M377">
        <v>0.81</v>
      </c>
      <c r="N377">
        <v>75.8</v>
      </c>
      <c r="O377">
        <v>3.6</v>
      </c>
      <c r="P377">
        <v>0.63</v>
      </c>
      <c r="Q377">
        <v>0.04</v>
      </c>
      <c r="R377">
        <v>1.36</v>
      </c>
      <c r="S377">
        <v>12</v>
      </c>
      <c r="T377" t="s">
        <v>336</v>
      </c>
    </row>
    <row r="378" spans="1:20" x14ac:dyDescent="0.2">
      <c r="A378" t="s">
        <v>719</v>
      </c>
      <c r="B378">
        <v>2.8000000000000001E-2</v>
      </c>
      <c r="C378" s="1">
        <v>356.93740000000003</v>
      </c>
      <c r="D378" s="1">
        <v>-28.140599999999999</v>
      </c>
      <c r="E378">
        <v>1.4</v>
      </c>
      <c r="F378">
        <v>274.39999999999998</v>
      </c>
      <c r="G378">
        <v>24.5</v>
      </c>
      <c r="H378">
        <v>3.7</v>
      </c>
      <c r="I378">
        <v>136.30000000000001</v>
      </c>
      <c r="J378">
        <v>2.1</v>
      </c>
      <c r="K378">
        <v>0.85</v>
      </c>
      <c r="L378">
        <v>0.06</v>
      </c>
      <c r="M378">
        <v>1.06</v>
      </c>
      <c r="N378">
        <v>140.9</v>
      </c>
      <c r="O378">
        <v>1.9</v>
      </c>
      <c r="P378">
        <v>0.63</v>
      </c>
      <c r="Q378">
        <v>0.02</v>
      </c>
      <c r="R378">
        <v>1.35</v>
      </c>
      <c r="S378">
        <v>98</v>
      </c>
      <c r="T378" t="s">
        <v>336</v>
      </c>
    </row>
    <row r="379" spans="1:20" x14ac:dyDescent="0.2">
      <c r="A379" t="s">
        <v>303</v>
      </c>
      <c r="B379">
        <v>0.23</v>
      </c>
      <c r="C379" s="1">
        <v>357.91410000000002</v>
      </c>
      <c r="D379" s="1">
        <v>-26.0837</v>
      </c>
      <c r="E379">
        <v>9.1</v>
      </c>
      <c r="F379">
        <v>691.8</v>
      </c>
      <c r="G379">
        <v>20</v>
      </c>
      <c r="H379">
        <v>2.2999999999999998</v>
      </c>
      <c r="I379">
        <v>114.2</v>
      </c>
      <c r="J379">
        <v>4.2</v>
      </c>
      <c r="K379">
        <v>1.27</v>
      </c>
      <c r="L379">
        <v>0.04</v>
      </c>
      <c r="M379">
        <v>0.52</v>
      </c>
      <c r="N379">
        <v>130.9</v>
      </c>
      <c r="O379">
        <v>3.5</v>
      </c>
      <c r="P379">
        <v>0.95</v>
      </c>
      <c r="Q379">
        <v>0.03</v>
      </c>
      <c r="R379">
        <v>2.58</v>
      </c>
      <c r="S379">
        <v>27</v>
      </c>
      <c r="T379" t="s">
        <v>336</v>
      </c>
    </row>
    <row r="380" spans="1:20" x14ac:dyDescent="0.2">
      <c r="A380" t="s">
        <v>304</v>
      </c>
      <c r="B380">
        <v>7.5999999999999998E-2</v>
      </c>
      <c r="C380" s="1">
        <v>358.55709999999999</v>
      </c>
      <c r="D380" s="1">
        <v>-10.4192</v>
      </c>
      <c r="E380">
        <v>3.6</v>
      </c>
      <c r="F380">
        <v>295.3</v>
      </c>
      <c r="G380">
        <v>29.4</v>
      </c>
      <c r="H380">
        <v>4.5999999999999996</v>
      </c>
      <c r="I380">
        <v>127.5</v>
      </c>
      <c r="J380">
        <v>3.3</v>
      </c>
      <c r="K380">
        <v>0.83</v>
      </c>
      <c r="L380">
        <v>0.1</v>
      </c>
      <c r="M380">
        <v>1.56</v>
      </c>
      <c r="N380">
        <v>134.5</v>
      </c>
      <c r="O380">
        <v>2.8</v>
      </c>
      <c r="P380">
        <v>0.48</v>
      </c>
      <c r="Q380">
        <v>0.06</v>
      </c>
      <c r="R380">
        <v>1.83</v>
      </c>
      <c r="S380">
        <v>42</v>
      </c>
      <c r="T380" t="s">
        <v>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13A6-0250-C141-BCCD-37DC412CDC22}">
  <dimension ref="A1:T380"/>
  <sheetViews>
    <sheetView workbookViewId="0">
      <selection activeCell="T4" sqref="T4"/>
    </sheetView>
  </sheetViews>
  <sheetFormatPr baseColWidth="10" defaultRowHeight="16" x14ac:dyDescent="0.2"/>
  <sheetData>
    <row r="1" spans="1:20" x14ac:dyDescent="0.2">
      <c r="A1" t="s">
        <v>0</v>
      </c>
      <c r="B1" t="s">
        <v>741</v>
      </c>
      <c r="C1" s="1" t="s">
        <v>742</v>
      </c>
      <c r="D1" s="1" t="s">
        <v>743</v>
      </c>
      <c r="E1" t="s">
        <v>762</v>
      </c>
      <c r="F1" t="s">
        <v>763</v>
      </c>
      <c r="G1" t="s">
        <v>764</v>
      </c>
      <c r="H1" t="s">
        <v>765</v>
      </c>
      <c r="I1" t="s">
        <v>766</v>
      </c>
      <c r="J1" t="s">
        <v>767</v>
      </c>
      <c r="K1" t="s">
        <v>768</v>
      </c>
      <c r="L1" t="s">
        <v>769</v>
      </c>
      <c r="M1" t="s">
        <v>770</v>
      </c>
      <c r="N1" t="s">
        <v>771</v>
      </c>
      <c r="O1" t="s">
        <v>772</v>
      </c>
      <c r="P1" t="s">
        <v>773</v>
      </c>
      <c r="Q1" t="s">
        <v>774</v>
      </c>
      <c r="R1" t="s">
        <v>775</v>
      </c>
      <c r="S1" t="s">
        <v>776</v>
      </c>
      <c r="T1" t="s">
        <v>777</v>
      </c>
    </row>
    <row r="2" spans="1:20" x14ac:dyDescent="0.2">
      <c r="C2" t="s">
        <v>316</v>
      </c>
      <c r="D2" t="s">
        <v>317</v>
      </c>
      <c r="E2" t="s">
        <v>780</v>
      </c>
      <c r="F2" t="s">
        <v>780</v>
      </c>
      <c r="G2" t="s">
        <v>780</v>
      </c>
      <c r="H2" t="s">
        <v>780</v>
      </c>
      <c r="I2" t="s">
        <v>780</v>
      </c>
      <c r="J2" t="s">
        <v>780</v>
      </c>
      <c r="O2" t="s">
        <v>780</v>
      </c>
      <c r="P2" t="s">
        <v>780</v>
      </c>
      <c r="Q2" t="s">
        <v>780</v>
      </c>
      <c r="R2" t="s">
        <v>780</v>
      </c>
      <c r="S2" t="s">
        <v>780</v>
      </c>
      <c r="T2" t="s">
        <v>780</v>
      </c>
    </row>
    <row r="3" spans="1:20" x14ac:dyDescent="0.2">
      <c r="C3" t="s">
        <v>322</v>
      </c>
      <c r="D3" t="s">
        <v>322</v>
      </c>
      <c r="E3" t="s">
        <v>788</v>
      </c>
      <c r="F3" t="s">
        <v>787</v>
      </c>
      <c r="G3" t="s">
        <v>786</v>
      </c>
      <c r="H3" t="s">
        <v>789</v>
      </c>
      <c r="I3" t="s">
        <v>790</v>
      </c>
      <c r="J3" t="s">
        <v>791</v>
      </c>
      <c r="K3" t="s">
        <v>792</v>
      </c>
      <c r="L3" t="s">
        <v>793</v>
      </c>
      <c r="M3" t="s">
        <v>794</v>
      </c>
      <c r="N3" t="s">
        <v>795</v>
      </c>
      <c r="O3" t="s">
        <v>796</v>
      </c>
      <c r="P3" t="s">
        <v>797</v>
      </c>
      <c r="Q3" t="s">
        <v>798</v>
      </c>
      <c r="R3" t="s">
        <v>799</v>
      </c>
      <c r="S3" t="s">
        <v>800</v>
      </c>
      <c r="T3" t="s">
        <v>801</v>
      </c>
    </row>
    <row r="4" spans="1:20" x14ac:dyDescent="0.2">
      <c r="A4" t="s">
        <v>15</v>
      </c>
      <c r="B4">
        <v>4.9000000000000002E-2</v>
      </c>
      <c r="C4" s="1">
        <v>0.80400000000000005</v>
      </c>
      <c r="D4" s="1">
        <v>-35.933399999999999</v>
      </c>
      <c r="E4">
        <v>25.4</v>
      </c>
      <c r="F4">
        <v>15.8</v>
      </c>
      <c r="G4">
        <v>32.200000000000003</v>
      </c>
      <c r="H4">
        <v>158.4</v>
      </c>
      <c r="I4">
        <v>152.5</v>
      </c>
      <c r="J4">
        <v>164.6</v>
      </c>
      <c r="K4">
        <v>0.9</v>
      </c>
      <c r="L4">
        <v>0.78</v>
      </c>
      <c r="M4">
        <v>1.02</v>
      </c>
      <c r="N4">
        <v>1.73</v>
      </c>
      <c r="O4">
        <v>42</v>
      </c>
      <c r="P4">
        <v>38.700000000000003</v>
      </c>
      <c r="Q4">
        <v>45.2</v>
      </c>
      <c r="R4">
        <v>56.6</v>
      </c>
      <c r="S4">
        <v>54.3</v>
      </c>
      <c r="T4">
        <v>59</v>
      </c>
    </row>
    <row r="5" spans="1:20" x14ac:dyDescent="0.2">
      <c r="A5" t="s">
        <v>330</v>
      </c>
      <c r="B5">
        <v>0.16700000000000001</v>
      </c>
      <c r="C5" s="1">
        <v>1.5845</v>
      </c>
      <c r="D5" s="1">
        <v>10.8643</v>
      </c>
      <c r="E5">
        <v>66.8</v>
      </c>
      <c r="F5">
        <v>51.7</v>
      </c>
      <c r="G5">
        <v>77.2</v>
      </c>
      <c r="H5">
        <v>193.3</v>
      </c>
      <c r="I5">
        <v>183.9</v>
      </c>
      <c r="J5">
        <v>202.2</v>
      </c>
      <c r="K5">
        <v>1.02</v>
      </c>
      <c r="L5">
        <v>0.91</v>
      </c>
      <c r="M5">
        <v>1.1000000000000001</v>
      </c>
      <c r="N5">
        <v>0.69</v>
      </c>
      <c r="O5">
        <v>77.3</v>
      </c>
      <c r="P5">
        <v>67.2</v>
      </c>
      <c r="Q5">
        <v>87.1</v>
      </c>
      <c r="R5">
        <v>90.3</v>
      </c>
      <c r="S5">
        <v>81.8</v>
      </c>
      <c r="T5">
        <v>98</v>
      </c>
    </row>
    <row r="6" spans="1:20" x14ac:dyDescent="0.2">
      <c r="A6" t="s">
        <v>16</v>
      </c>
      <c r="B6">
        <v>0.104</v>
      </c>
      <c r="C6" s="1">
        <v>2.8647</v>
      </c>
      <c r="D6" s="1">
        <v>52.526499999999999</v>
      </c>
      <c r="E6">
        <v>19.7</v>
      </c>
      <c r="F6">
        <v>-105.2</v>
      </c>
      <c r="G6">
        <v>53.1</v>
      </c>
      <c r="H6">
        <v>261.60000000000002</v>
      </c>
      <c r="I6">
        <v>248.2</v>
      </c>
      <c r="J6">
        <v>281.8</v>
      </c>
      <c r="K6">
        <v>0.63</v>
      </c>
      <c r="L6">
        <v>0.46</v>
      </c>
      <c r="M6">
        <v>0.71</v>
      </c>
      <c r="N6">
        <v>0.73</v>
      </c>
      <c r="O6">
        <v>60.4</v>
      </c>
      <c r="P6">
        <v>23.8</v>
      </c>
      <c r="Q6">
        <v>97.6</v>
      </c>
      <c r="R6">
        <v>97.5</v>
      </c>
      <c r="S6">
        <v>70</v>
      </c>
      <c r="T6">
        <v>124.4</v>
      </c>
    </row>
    <row r="7" spans="1:20" x14ac:dyDescent="0.2">
      <c r="A7" t="s">
        <v>17</v>
      </c>
      <c r="B7">
        <v>0.378</v>
      </c>
      <c r="C7" s="1">
        <v>2.9285999999999999</v>
      </c>
      <c r="D7" s="1">
        <v>-15.389200000000001</v>
      </c>
      <c r="E7">
        <v>5.7</v>
      </c>
      <c r="F7">
        <v>-74.8</v>
      </c>
      <c r="G7">
        <v>12.8</v>
      </c>
      <c r="H7">
        <v>161.4</v>
      </c>
      <c r="I7">
        <v>150.6</v>
      </c>
      <c r="J7">
        <v>172.5</v>
      </c>
      <c r="K7">
        <v>0.88</v>
      </c>
      <c r="L7">
        <v>0.38</v>
      </c>
      <c r="M7">
        <v>0.99</v>
      </c>
      <c r="N7">
        <v>0.18</v>
      </c>
      <c r="O7">
        <v>24.3</v>
      </c>
      <c r="P7">
        <v>20.100000000000001</v>
      </c>
      <c r="Q7">
        <v>29</v>
      </c>
      <c r="R7">
        <v>45.8</v>
      </c>
      <c r="S7">
        <v>41.3</v>
      </c>
      <c r="T7">
        <v>50.5</v>
      </c>
    </row>
    <row r="8" spans="1:20" x14ac:dyDescent="0.2">
      <c r="A8" t="s">
        <v>333</v>
      </c>
      <c r="B8">
        <v>9.4E-2</v>
      </c>
      <c r="C8" s="1">
        <v>3.4098000000000002</v>
      </c>
      <c r="D8" s="1">
        <v>-19.500499999999999</v>
      </c>
      <c r="E8">
        <v>108.8</v>
      </c>
      <c r="F8">
        <v>3.2</v>
      </c>
      <c r="G8">
        <v>149.9</v>
      </c>
      <c r="H8">
        <v>294.5</v>
      </c>
      <c r="I8">
        <v>279.5</v>
      </c>
      <c r="J8">
        <v>309.3</v>
      </c>
      <c r="K8">
        <v>0.74</v>
      </c>
      <c r="L8">
        <v>0.44</v>
      </c>
      <c r="M8">
        <v>1</v>
      </c>
      <c r="N8">
        <v>0.7</v>
      </c>
      <c r="O8">
        <v>139</v>
      </c>
      <c r="P8">
        <v>109.6</v>
      </c>
      <c r="Q8">
        <v>166.6</v>
      </c>
      <c r="R8">
        <v>164.5</v>
      </c>
      <c r="S8">
        <v>146.69999999999999</v>
      </c>
      <c r="T8">
        <v>183</v>
      </c>
    </row>
    <row r="9" spans="1:20" x14ac:dyDescent="0.2">
      <c r="A9" t="s">
        <v>18</v>
      </c>
      <c r="B9">
        <v>0.308</v>
      </c>
      <c r="C9" s="1">
        <v>3.5807000000000002</v>
      </c>
      <c r="D9" s="1">
        <v>-30.390899999999998</v>
      </c>
      <c r="E9">
        <v>233.4</v>
      </c>
      <c r="F9">
        <v>109.5</v>
      </c>
      <c r="G9">
        <v>280.10000000000002</v>
      </c>
      <c r="H9">
        <v>389.2</v>
      </c>
      <c r="I9">
        <v>373.4</v>
      </c>
      <c r="J9">
        <v>414.7</v>
      </c>
      <c r="K9">
        <v>0.72</v>
      </c>
      <c r="L9">
        <v>0.49</v>
      </c>
      <c r="M9">
        <v>0.82</v>
      </c>
      <c r="N9">
        <v>1.96</v>
      </c>
      <c r="O9">
        <v>249.2</v>
      </c>
      <c r="P9">
        <v>189.6</v>
      </c>
      <c r="Q9">
        <v>301.5</v>
      </c>
      <c r="R9">
        <v>273.89999999999998</v>
      </c>
      <c r="S9">
        <v>222.6</v>
      </c>
      <c r="T9">
        <v>316.5</v>
      </c>
    </row>
    <row r="10" spans="1:20" x14ac:dyDescent="0.2">
      <c r="A10" t="s">
        <v>19</v>
      </c>
      <c r="B10">
        <v>0.54100000000000004</v>
      </c>
      <c r="C10" s="1">
        <v>4.6402000000000001</v>
      </c>
      <c r="D10" s="1">
        <v>16.4359</v>
      </c>
      <c r="E10">
        <v>164.5</v>
      </c>
      <c r="F10">
        <v>141.9</v>
      </c>
      <c r="G10">
        <v>202.9</v>
      </c>
      <c r="H10">
        <v>222.6</v>
      </c>
      <c r="I10">
        <v>214.6</v>
      </c>
      <c r="J10">
        <v>250.2</v>
      </c>
      <c r="K10">
        <v>1.31</v>
      </c>
      <c r="L10">
        <v>1.1399999999999999</v>
      </c>
      <c r="M10">
        <v>1.46</v>
      </c>
      <c r="N10">
        <v>0.24</v>
      </c>
      <c r="O10">
        <v>174.8</v>
      </c>
      <c r="P10">
        <v>147</v>
      </c>
      <c r="Q10">
        <v>205</v>
      </c>
      <c r="R10">
        <v>179.6</v>
      </c>
      <c r="S10">
        <v>153.5</v>
      </c>
      <c r="T10">
        <v>207.4</v>
      </c>
    </row>
    <row r="11" spans="1:20" x14ac:dyDescent="0.2">
      <c r="A11" t="s">
        <v>337</v>
      </c>
      <c r="B11">
        <v>0.58399999999999996</v>
      </c>
      <c r="C11" s="1">
        <v>6.3737000000000004</v>
      </c>
      <c r="D11" s="1">
        <v>-12.376099999999999</v>
      </c>
      <c r="E11">
        <v>-141.9</v>
      </c>
      <c r="F11">
        <v>-219.9</v>
      </c>
      <c r="G11">
        <v>-77.900000000000006</v>
      </c>
      <c r="H11">
        <v>109.6</v>
      </c>
      <c r="I11">
        <v>100.7</v>
      </c>
      <c r="J11">
        <v>116.9</v>
      </c>
      <c r="K11">
        <v>0.45</v>
      </c>
      <c r="L11">
        <v>0.36</v>
      </c>
      <c r="M11">
        <v>0.61</v>
      </c>
      <c r="N11">
        <v>0.22</v>
      </c>
      <c r="O11">
        <v>-49.7</v>
      </c>
      <c r="P11">
        <v>-71.400000000000006</v>
      </c>
      <c r="Q11">
        <v>-29.7</v>
      </c>
      <c r="R11">
        <v>-18.5</v>
      </c>
      <c r="S11">
        <v>-32.5</v>
      </c>
      <c r="T11">
        <v>-5.3</v>
      </c>
    </row>
    <row r="12" spans="1:20" x14ac:dyDescent="0.2">
      <c r="A12" t="s">
        <v>21</v>
      </c>
      <c r="B12">
        <v>0.41</v>
      </c>
      <c r="C12" s="1">
        <v>7.0259999999999998</v>
      </c>
      <c r="D12" s="1">
        <v>-75.635800000000003</v>
      </c>
      <c r="E12">
        <v>-125.3</v>
      </c>
      <c r="F12">
        <v>-230.6</v>
      </c>
      <c r="G12">
        <v>-22.7</v>
      </c>
      <c r="H12">
        <v>378.6</v>
      </c>
      <c r="I12">
        <v>353.2</v>
      </c>
      <c r="J12">
        <v>409.3</v>
      </c>
      <c r="K12">
        <v>0.37</v>
      </c>
      <c r="L12">
        <v>0.3</v>
      </c>
      <c r="M12">
        <v>0.47</v>
      </c>
      <c r="N12">
        <v>0.31</v>
      </c>
      <c r="O12">
        <v>97.3</v>
      </c>
      <c r="P12">
        <v>71.7</v>
      </c>
      <c r="Q12">
        <v>120.3</v>
      </c>
      <c r="R12">
        <v>158.80000000000001</v>
      </c>
      <c r="S12">
        <v>137.9</v>
      </c>
      <c r="T12">
        <v>179.3</v>
      </c>
    </row>
    <row r="13" spans="1:20" x14ac:dyDescent="0.2">
      <c r="A13" t="s">
        <v>342</v>
      </c>
      <c r="B13">
        <v>0.36399999999999999</v>
      </c>
      <c r="C13" s="1">
        <v>8.8585999999999991</v>
      </c>
      <c r="D13" s="1">
        <v>-20.2623</v>
      </c>
      <c r="E13">
        <v>135.69999999999999</v>
      </c>
      <c r="F13">
        <v>111.8</v>
      </c>
      <c r="G13">
        <v>157</v>
      </c>
      <c r="H13">
        <v>178</v>
      </c>
      <c r="I13">
        <v>169.8</v>
      </c>
      <c r="J13">
        <v>193.8</v>
      </c>
      <c r="K13">
        <v>1.5</v>
      </c>
      <c r="L13">
        <v>1.26</v>
      </c>
      <c r="M13">
        <v>1.66</v>
      </c>
      <c r="N13">
        <v>0.23</v>
      </c>
      <c r="O13">
        <v>135.9</v>
      </c>
      <c r="P13">
        <v>115.1</v>
      </c>
      <c r="Q13">
        <v>158</v>
      </c>
      <c r="R13">
        <v>139.1</v>
      </c>
      <c r="S13">
        <v>119.8</v>
      </c>
      <c r="T13">
        <v>159.1</v>
      </c>
    </row>
    <row r="14" spans="1:20" x14ac:dyDescent="0.2">
      <c r="A14" t="s">
        <v>23</v>
      </c>
      <c r="B14">
        <v>0.255</v>
      </c>
      <c r="C14" s="1">
        <v>9.2774999999999999</v>
      </c>
      <c r="D14" s="1">
        <v>9.1577999999999999</v>
      </c>
      <c r="E14">
        <v>177.9</v>
      </c>
      <c r="F14">
        <v>48.2</v>
      </c>
      <c r="G14">
        <v>262.8</v>
      </c>
      <c r="H14">
        <v>254</v>
      </c>
      <c r="I14">
        <v>224</v>
      </c>
      <c r="J14">
        <v>297.2</v>
      </c>
      <c r="K14">
        <v>1.33</v>
      </c>
      <c r="L14">
        <v>0.87</v>
      </c>
      <c r="M14">
        <v>2.09</v>
      </c>
      <c r="N14">
        <v>0.05</v>
      </c>
      <c r="O14">
        <v>173.8</v>
      </c>
      <c r="P14">
        <v>74.8</v>
      </c>
      <c r="Q14">
        <v>263.10000000000002</v>
      </c>
      <c r="R14">
        <v>184.2</v>
      </c>
      <c r="S14">
        <v>94.5</v>
      </c>
      <c r="T14">
        <v>263.89999999999998</v>
      </c>
    </row>
    <row r="15" spans="1:20" x14ac:dyDescent="0.2">
      <c r="A15" t="s">
        <v>343</v>
      </c>
      <c r="B15">
        <v>5.5E-2</v>
      </c>
      <c r="C15" s="1">
        <v>10.459899999999999</v>
      </c>
      <c r="D15" s="1">
        <v>-9.3028999999999993</v>
      </c>
      <c r="E15">
        <v>5.3</v>
      </c>
      <c r="F15">
        <v>3.9</v>
      </c>
      <c r="G15">
        <v>6.6</v>
      </c>
      <c r="H15">
        <v>165.6</v>
      </c>
      <c r="I15">
        <v>162.9</v>
      </c>
      <c r="J15">
        <v>168.1</v>
      </c>
      <c r="K15">
        <v>0.9</v>
      </c>
      <c r="L15">
        <v>0.88</v>
      </c>
      <c r="M15">
        <v>0.93</v>
      </c>
      <c r="N15">
        <v>5.18</v>
      </c>
      <c r="O15">
        <v>25.2</v>
      </c>
      <c r="P15">
        <v>24.5</v>
      </c>
      <c r="Q15">
        <v>25.9</v>
      </c>
      <c r="R15">
        <v>42.6</v>
      </c>
      <c r="S15">
        <v>41.5</v>
      </c>
      <c r="T15">
        <v>43.6</v>
      </c>
    </row>
    <row r="16" spans="1:20" x14ac:dyDescent="0.2">
      <c r="A16" t="s">
        <v>24</v>
      </c>
      <c r="B16">
        <v>0.29199999999999998</v>
      </c>
      <c r="C16" s="1">
        <v>10.8535</v>
      </c>
      <c r="D16" s="1">
        <v>-20.6234</v>
      </c>
      <c r="E16">
        <v>151.5</v>
      </c>
      <c r="F16">
        <v>98.1</v>
      </c>
      <c r="G16">
        <v>169</v>
      </c>
      <c r="H16">
        <v>199.5</v>
      </c>
      <c r="I16">
        <v>187.9</v>
      </c>
      <c r="J16">
        <v>219.9</v>
      </c>
      <c r="K16">
        <v>1.64</v>
      </c>
      <c r="L16">
        <v>1.06</v>
      </c>
      <c r="M16">
        <v>1.88</v>
      </c>
      <c r="N16">
        <v>0.31</v>
      </c>
      <c r="O16">
        <v>140.6</v>
      </c>
      <c r="P16">
        <v>105.5</v>
      </c>
      <c r="Q16">
        <v>169.9</v>
      </c>
      <c r="R16">
        <v>145.9</v>
      </c>
      <c r="S16">
        <v>115.3</v>
      </c>
      <c r="T16">
        <v>172.2</v>
      </c>
    </row>
    <row r="17" spans="1:20" x14ac:dyDescent="0.2">
      <c r="A17" t="s">
        <v>344</v>
      </c>
      <c r="B17">
        <v>8.3000000000000004E-2</v>
      </c>
      <c r="C17" s="1">
        <v>10.9678</v>
      </c>
      <c r="D17" s="1">
        <v>24.405899999999999</v>
      </c>
      <c r="E17">
        <v>10.7</v>
      </c>
      <c r="F17">
        <v>9.1</v>
      </c>
      <c r="G17">
        <v>11.7</v>
      </c>
      <c r="H17">
        <v>120</v>
      </c>
      <c r="I17">
        <v>116.3</v>
      </c>
      <c r="J17">
        <v>123</v>
      </c>
      <c r="K17">
        <v>1.2</v>
      </c>
      <c r="L17">
        <v>1.1499999999999999</v>
      </c>
      <c r="M17">
        <v>1.24</v>
      </c>
      <c r="N17">
        <v>0.98</v>
      </c>
      <c r="O17">
        <v>17.5</v>
      </c>
      <c r="P17">
        <v>16.7</v>
      </c>
      <c r="Q17">
        <v>18.399999999999999</v>
      </c>
      <c r="R17">
        <v>26.5</v>
      </c>
      <c r="S17">
        <v>25.5</v>
      </c>
      <c r="T17">
        <v>27.5</v>
      </c>
    </row>
    <row r="18" spans="1:20" x14ac:dyDescent="0.2">
      <c r="A18" t="s">
        <v>25</v>
      </c>
      <c r="B18">
        <v>0.104</v>
      </c>
      <c r="C18" s="1">
        <v>11.6029</v>
      </c>
      <c r="D18" s="1">
        <v>20.6218</v>
      </c>
      <c r="E18">
        <v>16.2</v>
      </c>
      <c r="F18">
        <v>10.199999999999999</v>
      </c>
      <c r="G18">
        <v>20.7</v>
      </c>
      <c r="H18">
        <v>175.3</v>
      </c>
      <c r="I18">
        <v>166.5</v>
      </c>
      <c r="J18">
        <v>186.2</v>
      </c>
      <c r="K18">
        <v>1.22</v>
      </c>
      <c r="L18">
        <v>1.1000000000000001</v>
      </c>
      <c r="M18">
        <v>1.32</v>
      </c>
      <c r="N18">
        <v>0.49</v>
      </c>
      <c r="O18">
        <v>25.7</v>
      </c>
      <c r="P18">
        <v>22.8</v>
      </c>
      <c r="Q18">
        <v>28.8</v>
      </c>
      <c r="R18">
        <v>38.700000000000003</v>
      </c>
      <c r="S18">
        <v>36</v>
      </c>
      <c r="T18">
        <v>41.3</v>
      </c>
    </row>
    <row r="19" spans="1:20" x14ac:dyDescent="0.2">
      <c r="A19" t="s">
        <v>347</v>
      </c>
      <c r="B19">
        <v>5.7000000000000002E-2</v>
      </c>
      <c r="C19" s="1">
        <v>13.749700000000001</v>
      </c>
      <c r="D19" s="1">
        <v>-35.321399999999997</v>
      </c>
      <c r="E19">
        <v>7.3</v>
      </c>
      <c r="F19">
        <v>6.8</v>
      </c>
      <c r="G19">
        <v>7.9</v>
      </c>
      <c r="H19">
        <v>192.9</v>
      </c>
      <c r="I19">
        <v>179.7</v>
      </c>
      <c r="J19">
        <v>208</v>
      </c>
      <c r="K19">
        <v>1.5</v>
      </c>
      <c r="L19">
        <v>1.43</v>
      </c>
      <c r="M19">
        <v>1.57</v>
      </c>
      <c r="N19">
        <v>1.44</v>
      </c>
      <c r="O19">
        <v>13.2</v>
      </c>
      <c r="P19">
        <v>12.9</v>
      </c>
      <c r="Q19">
        <v>13.6</v>
      </c>
      <c r="R19">
        <v>24</v>
      </c>
      <c r="S19">
        <v>23.2</v>
      </c>
      <c r="T19">
        <v>24.8</v>
      </c>
    </row>
    <row r="20" spans="1:20" x14ac:dyDescent="0.2">
      <c r="A20" t="s">
        <v>28</v>
      </c>
      <c r="B20">
        <v>5.6599999999999998E-2</v>
      </c>
      <c r="C20" s="1">
        <v>15.6737</v>
      </c>
      <c r="D20" s="1">
        <v>-21.881799999999998</v>
      </c>
      <c r="E20">
        <v>10.7</v>
      </c>
      <c r="F20">
        <v>10.1</v>
      </c>
      <c r="G20">
        <v>11.7</v>
      </c>
      <c r="H20">
        <v>206.5</v>
      </c>
      <c r="I20">
        <v>201.8</v>
      </c>
      <c r="J20">
        <v>212.3</v>
      </c>
      <c r="K20">
        <v>1.36</v>
      </c>
      <c r="L20">
        <v>1.33</v>
      </c>
      <c r="M20">
        <v>1.41</v>
      </c>
      <c r="N20">
        <v>8.2899999999999991</v>
      </c>
      <c r="O20">
        <v>19.2</v>
      </c>
      <c r="P20">
        <v>18.899999999999999</v>
      </c>
      <c r="Q20">
        <v>19.600000000000001</v>
      </c>
      <c r="R20">
        <v>32.4</v>
      </c>
      <c r="S20">
        <v>31.9</v>
      </c>
      <c r="T20">
        <v>33</v>
      </c>
    </row>
    <row r="21" spans="1:20" x14ac:dyDescent="0.2">
      <c r="A21" t="s">
        <v>29</v>
      </c>
      <c r="B21">
        <v>0.75</v>
      </c>
      <c r="C21" s="1">
        <v>15.7378</v>
      </c>
      <c r="D21" s="1">
        <v>-49.272500000000001</v>
      </c>
      <c r="E21">
        <v>62.9</v>
      </c>
      <c r="F21">
        <v>52.4</v>
      </c>
      <c r="G21">
        <v>75.900000000000006</v>
      </c>
      <c r="H21">
        <v>160.69999999999999</v>
      </c>
      <c r="I21">
        <v>156</v>
      </c>
      <c r="J21">
        <v>167.6</v>
      </c>
      <c r="K21">
        <v>1.1100000000000001</v>
      </c>
      <c r="L21">
        <v>1.05</v>
      </c>
      <c r="M21">
        <v>1.1599999999999999</v>
      </c>
      <c r="N21">
        <v>2.3199999999999998</v>
      </c>
      <c r="O21">
        <v>71.400000000000006</v>
      </c>
      <c r="P21">
        <v>61.4</v>
      </c>
      <c r="Q21">
        <v>81.8</v>
      </c>
      <c r="R21">
        <v>80.400000000000006</v>
      </c>
      <c r="S21">
        <v>71.400000000000006</v>
      </c>
      <c r="T21">
        <v>89.7</v>
      </c>
    </row>
    <row r="22" spans="1:20" x14ac:dyDescent="0.2">
      <c r="A22" t="s">
        <v>30</v>
      </c>
      <c r="B22">
        <v>0.23</v>
      </c>
      <c r="C22" s="1">
        <v>16.3979</v>
      </c>
      <c r="D22" s="1">
        <v>-24.630099999999999</v>
      </c>
      <c r="E22">
        <v>116.2</v>
      </c>
      <c r="F22">
        <v>36.1</v>
      </c>
      <c r="G22">
        <v>141</v>
      </c>
      <c r="H22">
        <v>213.9</v>
      </c>
      <c r="I22">
        <v>191.1</v>
      </c>
      <c r="J22">
        <v>233.1</v>
      </c>
      <c r="K22">
        <v>0.99</v>
      </c>
      <c r="L22">
        <v>0.74</v>
      </c>
      <c r="M22">
        <v>1.1200000000000001</v>
      </c>
      <c r="N22">
        <v>0.78</v>
      </c>
      <c r="O22">
        <v>108.3</v>
      </c>
      <c r="P22">
        <v>70.599999999999994</v>
      </c>
      <c r="Q22">
        <v>148.19999999999999</v>
      </c>
      <c r="R22">
        <v>121.8</v>
      </c>
      <c r="S22">
        <v>90.2</v>
      </c>
      <c r="T22">
        <v>155.69999999999999</v>
      </c>
    </row>
    <row r="23" spans="1:20" x14ac:dyDescent="0.2">
      <c r="A23" t="s">
        <v>31</v>
      </c>
      <c r="B23">
        <v>0.254</v>
      </c>
      <c r="C23" s="1">
        <v>16.706199999999999</v>
      </c>
      <c r="D23" s="1">
        <v>1.0563</v>
      </c>
      <c r="E23">
        <v>9.1</v>
      </c>
      <c r="F23">
        <v>7.7</v>
      </c>
      <c r="G23">
        <v>10.3</v>
      </c>
      <c r="H23">
        <v>80.3</v>
      </c>
      <c r="I23">
        <v>78.099999999999994</v>
      </c>
      <c r="J23">
        <v>83.1</v>
      </c>
      <c r="K23">
        <v>1.4</v>
      </c>
      <c r="L23">
        <v>1.35</v>
      </c>
      <c r="M23">
        <v>1.45</v>
      </c>
      <c r="N23">
        <v>0.46</v>
      </c>
      <c r="O23">
        <v>11.8</v>
      </c>
      <c r="P23">
        <v>10.9</v>
      </c>
      <c r="Q23">
        <v>12.8</v>
      </c>
      <c r="R23">
        <v>16.5</v>
      </c>
      <c r="S23">
        <v>15.7</v>
      </c>
      <c r="T23">
        <v>17.3</v>
      </c>
    </row>
    <row r="24" spans="1:20" x14ac:dyDescent="0.2">
      <c r="A24" t="s">
        <v>354</v>
      </c>
      <c r="B24">
        <v>0.107</v>
      </c>
      <c r="C24" s="1">
        <v>16.938099999999999</v>
      </c>
      <c r="D24" s="1">
        <v>54.1327</v>
      </c>
      <c r="E24">
        <v>348.8</v>
      </c>
      <c r="F24">
        <v>85.7</v>
      </c>
      <c r="G24">
        <v>348.8</v>
      </c>
      <c r="H24">
        <v>393.9</v>
      </c>
      <c r="I24">
        <v>366</v>
      </c>
      <c r="J24">
        <v>418.1</v>
      </c>
      <c r="K24">
        <v>1.33</v>
      </c>
      <c r="L24">
        <v>0.42</v>
      </c>
      <c r="M24">
        <v>1.36</v>
      </c>
      <c r="N24">
        <v>1</v>
      </c>
      <c r="O24">
        <v>283.8</v>
      </c>
      <c r="P24">
        <v>209.9</v>
      </c>
      <c r="Q24">
        <v>351.1</v>
      </c>
      <c r="R24">
        <v>301.8</v>
      </c>
      <c r="S24">
        <v>243.7</v>
      </c>
      <c r="T24">
        <v>357</v>
      </c>
    </row>
    <row r="25" spans="1:20" x14ac:dyDescent="0.2">
      <c r="A25" t="s">
        <v>355</v>
      </c>
      <c r="B25">
        <v>2.4299999999999999E-2</v>
      </c>
      <c r="C25" s="1">
        <v>17.480899999999998</v>
      </c>
      <c r="D25" s="1">
        <v>-45.930799999999998</v>
      </c>
      <c r="E25">
        <v>1.9</v>
      </c>
      <c r="F25">
        <v>0.3</v>
      </c>
      <c r="G25">
        <v>3.3</v>
      </c>
      <c r="H25">
        <v>269.60000000000002</v>
      </c>
      <c r="I25">
        <v>253.9</v>
      </c>
      <c r="J25">
        <v>287.39999999999998</v>
      </c>
      <c r="K25">
        <v>0.87</v>
      </c>
      <c r="L25">
        <v>0.83</v>
      </c>
      <c r="M25">
        <v>0.92</v>
      </c>
      <c r="N25">
        <v>2.88</v>
      </c>
      <c r="O25">
        <v>37.799999999999997</v>
      </c>
      <c r="P25">
        <v>35.1</v>
      </c>
      <c r="Q25">
        <v>40.5</v>
      </c>
      <c r="R25">
        <v>67.7</v>
      </c>
      <c r="S25">
        <v>63.3</v>
      </c>
      <c r="T25">
        <v>72.099999999999994</v>
      </c>
    </row>
    <row r="26" spans="1:20" x14ac:dyDescent="0.2">
      <c r="A26" t="s">
        <v>356</v>
      </c>
      <c r="B26">
        <v>4.4999999999999998E-2</v>
      </c>
      <c r="C26" s="1">
        <v>18.273700000000002</v>
      </c>
      <c r="D26" s="1">
        <v>15.5298</v>
      </c>
      <c r="E26">
        <v>70.900000000000006</v>
      </c>
      <c r="F26">
        <v>6.4</v>
      </c>
      <c r="G26">
        <v>125.7</v>
      </c>
      <c r="H26">
        <v>241.1</v>
      </c>
      <c r="I26">
        <v>206.5</v>
      </c>
      <c r="J26">
        <v>256.89999999999998</v>
      </c>
      <c r="K26">
        <v>0.84</v>
      </c>
      <c r="L26">
        <v>0.49</v>
      </c>
      <c r="M26">
        <v>2.0699999999999998</v>
      </c>
      <c r="N26">
        <v>0.28000000000000003</v>
      </c>
      <c r="O26">
        <v>103.8</v>
      </c>
      <c r="P26">
        <v>73.8</v>
      </c>
      <c r="Q26">
        <v>130.30000000000001</v>
      </c>
      <c r="R26">
        <v>118.2</v>
      </c>
      <c r="S26">
        <v>98.8</v>
      </c>
      <c r="T26">
        <v>138.80000000000001</v>
      </c>
    </row>
    <row r="27" spans="1:20" x14ac:dyDescent="0.2">
      <c r="A27" t="s">
        <v>357</v>
      </c>
      <c r="B27">
        <v>4.4999999999999998E-2</v>
      </c>
      <c r="C27" s="1">
        <v>18.765799999999999</v>
      </c>
      <c r="D27" s="1">
        <v>0.40410000000000001</v>
      </c>
      <c r="E27">
        <v>124.5</v>
      </c>
      <c r="F27">
        <v>-130.5</v>
      </c>
      <c r="G27">
        <v>108</v>
      </c>
      <c r="H27">
        <v>201.3</v>
      </c>
      <c r="I27">
        <v>189.1</v>
      </c>
      <c r="J27">
        <v>228.2</v>
      </c>
      <c r="K27">
        <v>0.94</v>
      </c>
      <c r="L27">
        <v>0.28000000000000003</v>
      </c>
      <c r="M27">
        <v>0.8</v>
      </c>
      <c r="N27">
        <v>1.59</v>
      </c>
      <c r="O27">
        <v>85.4</v>
      </c>
      <c r="P27">
        <v>40</v>
      </c>
      <c r="Q27">
        <v>133.30000000000001</v>
      </c>
      <c r="R27">
        <v>110.1</v>
      </c>
      <c r="S27">
        <v>76.5</v>
      </c>
      <c r="T27">
        <v>147.19999999999999</v>
      </c>
    </row>
    <row r="28" spans="1:20" x14ac:dyDescent="0.2">
      <c r="A28" t="s">
        <v>358</v>
      </c>
      <c r="B28">
        <v>0.22700000000000001</v>
      </c>
      <c r="C28" s="1">
        <v>19.546900000000001</v>
      </c>
      <c r="D28" s="1">
        <v>-26.965299999999999</v>
      </c>
      <c r="E28">
        <v>174.2</v>
      </c>
      <c r="F28">
        <v>104.9</v>
      </c>
      <c r="G28">
        <v>206.6</v>
      </c>
      <c r="H28">
        <v>255.5</v>
      </c>
      <c r="I28">
        <v>239.7</v>
      </c>
      <c r="J28">
        <v>282.2</v>
      </c>
      <c r="K28">
        <v>1.2</v>
      </c>
      <c r="L28">
        <v>0.85</v>
      </c>
      <c r="M28">
        <v>1.38</v>
      </c>
      <c r="N28">
        <v>0.75</v>
      </c>
      <c r="O28">
        <v>166.1</v>
      </c>
      <c r="P28">
        <v>126.7</v>
      </c>
      <c r="Q28">
        <v>209.2</v>
      </c>
      <c r="R28">
        <v>176.8</v>
      </c>
      <c r="S28">
        <v>142.6</v>
      </c>
      <c r="T28">
        <v>214</v>
      </c>
    </row>
    <row r="29" spans="1:20" x14ac:dyDescent="0.2">
      <c r="A29" t="s">
        <v>359</v>
      </c>
      <c r="B29">
        <v>4.4999999999999998E-2</v>
      </c>
      <c r="C29" s="1">
        <v>19.723500000000001</v>
      </c>
      <c r="D29" s="1">
        <v>-1.0021</v>
      </c>
      <c r="E29">
        <v>-34.700000000000003</v>
      </c>
      <c r="F29">
        <v>-190.8</v>
      </c>
      <c r="G29">
        <v>-44.9</v>
      </c>
      <c r="H29">
        <v>180.3</v>
      </c>
      <c r="I29">
        <v>167.1</v>
      </c>
      <c r="J29">
        <v>181.3</v>
      </c>
      <c r="K29">
        <v>0.41</v>
      </c>
      <c r="L29">
        <v>0.16</v>
      </c>
      <c r="M29">
        <v>0.38</v>
      </c>
      <c r="N29">
        <v>0.26</v>
      </c>
      <c r="O29">
        <v>52.4</v>
      </c>
      <c r="P29">
        <v>48.5</v>
      </c>
      <c r="Q29">
        <v>56.2</v>
      </c>
      <c r="R29">
        <v>81.5</v>
      </c>
      <c r="S29">
        <v>76.2</v>
      </c>
      <c r="T29">
        <v>86.8</v>
      </c>
    </row>
    <row r="30" spans="1:20" x14ac:dyDescent="0.2">
      <c r="A30" t="s">
        <v>361</v>
      </c>
      <c r="B30">
        <v>4.9000000000000002E-2</v>
      </c>
      <c r="C30" s="1">
        <v>21.280200000000001</v>
      </c>
      <c r="D30" s="1">
        <v>8.7003000000000004</v>
      </c>
      <c r="E30">
        <v>140.69999999999999</v>
      </c>
      <c r="F30">
        <v>119.2</v>
      </c>
      <c r="G30">
        <v>151.9</v>
      </c>
      <c r="H30">
        <v>176.4</v>
      </c>
      <c r="I30">
        <v>172.5</v>
      </c>
      <c r="J30">
        <v>188.5</v>
      </c>
      <c r="K30">
        <v>1.86</v>
      </c>
      <c r="L30">
        <v>1.07</v>
      </c>
      <c r="M30">
        <v>2.2400000000000002</v>
      </c>
      <c r="N30">
        <v>1.58</v>
      </c>
      <c r="O30">
        <v>138.19999999999999</v>
      </c>
      <c r="P30">
        <v>124.3</v>
      </c>
      <c r="Q30">
        <v>152</v>
      </c>
      <c r="R30">
        <v>141.30000000000001</v>
      </c>
      <c r="S30">
        <v>129.4</v>
      </c>
      <c r="T30">
        <v>153.19999999999999</v>
      </c>
    </row>
    <row r="31" spans="1:20" x14ac:dyDescent="0.2">
      <c r="A31" t="s">
        <v>32</v>
      </c>
      <c r="B31">
        <v>0.20599999999999999</v>
      </c>
      <c r="C31" s="1">
        <v>22.970099999999999</v>
      </c>
      <c r="D31" s="1">
        <v>-13.6114</v>
      </c>
      <c r="E31">
        <v>96.8</v>
      </c>
      <c r="F31">
        <v>21.3</v>
      </c>
      <c r="G31">
        <v>123</v>
      </c>
      <c r="H31">
        <v>260.5</v>
      </c>
      <c r="I31">
        <v>251.6</v>
      </c>
      <c r="J31">
        <v>279.7</v>
      </c>
      <c r="K31">
        <v>0.8</v>
      </c>
      <c r="L31">
        <v>0.62</v>
      </c>
      <c r="M31">
        <v>0.87</v>
      </c>
      <c r="N31">
        <v>1.31</v>
      </c>
      <c r="O31">
        <v>114.9</v>
      </c>
      <c r="P31">
        <v>83.9</v>
      </c>
      <c r="Q31">
        <v>142.6</v>
      </c>
      <c r="R31">
        <v>138</v>
      </c>
      <c r="S31">
        <v>114.2</v>
      </c>
      <c r="T31">
        <v>160.5</v>
      </c>
    </row>
    <row r="32" spans="1:20" x14ac:dyDescent="0.2">
      <c r="A32" t="s">
        <v>33</v>
      </c>
      <c r="B32">
        <v>0.21099999999999999</v>
      </c>
      <c r="C32" s="1">
        <v>24.394600000000001</v>
      </c>
      <c r="D32" s="1">
        <v>-12.9931</v>
      </c>
      <c r="E32">
        <v>128.6</v>
      </c>
      <c r="F32">
        <v>60.6</v>
      </c>
      <c r="G32">
        <v>150.69999999999999</v>
      </c>
      <c r="H32">
        <v>200.5</v>
      </c>
      <c r="I32">
        <v>194.2</v>
      </c>
      <c r="J32">
        <v>221</v>
      </c>
      <c r="K32">
        <v>1.01</v>
      </c>
      <c r="L32">
        <v>0.66</v>
      </c>
      <c r="M32">
        <v>1.0900000000000001</v>
      </c>
      <c r="N32">
        <v>0.56999999999999995</v>
      </c>
      <c r="O32">
        <v>123.7</v>
      </c>
      <c r="P32">
        <v>91.1</v>
      </c>
      <c r="Q32">
        <v>156.6</v>
      </c>
      <c r="R32">
        <v>135.5</v>
      </c>
      <c r="S32">
        <v>106.8</v>
      </c>
      <c r="T32">
        <v>163.6</v>
      </c>
    </row>
    <row r="33" spans="1:20" x14ac:dyDescent="0.2">
      <c r="A33" t="s">
        <v>34</v>
      </c>
      <c r="B33">
        <v>0.20699999999999999</v>
      </c>
      <c r="C33" s="1">
        <v>24.483499999999999</v>
      </c>
      <c r="D33" s="1">
        <v>-12.819800000000001</v>
      </c>
      <c r="E33">
        <v>100</v>
      </c>
      <c r="F33">
        <v>57.8</v>
      </c>
      <c r="G33">
        <v>121.6</v>
      </c>
      <c r="H33">
        <v>225.9</v>
      </c>
      <c r="I33">
        <v>213.4</v>
      </c>
      <c r="J33">
        <v>243.8</v>
      </c>
      <c r="K33">
        <v>0.99</v>
      </c>
      <c r="L33">
        <v>0.77</v>
      </c>
      <c r="M33">
        <v>1.1499999999999999</v>
      </c>
      <c r="N33">
        <v>0.35</v>
      </c>
      <c r="O33">
        <v>109.2</v>
      </c>
      <c r="P33">
        <v>85.5</v>
      </c>
      <c r="Q33">
        <v>130.6</v>
      </c>
      <c r="R33">
        <v>124</v>
      </c>
      <c r="S33">
        <v>105.8</v>
      </c>
      <c r="T33">
        <v>140.80000000000001</v>
      </c>
    </row>
    <row r="34" spans="1:20" x14ac:dyDescent="0.2">
      <c r="A34" t="s">
        <v>37</v>
      </c>
      <c r="B34">
        <v>0.23100000000000001</v>
      </c>
      <c r="C34" s="1">
        <v>28.177399999999999</v>
      </c>
      <c r="D34" s="1">
        <v>1.0123</v>
      </c>
      <c r="E34">
        <v>162.1</v>
      </c>
      <c r="F34">
        <v>128.1</v>
      </c>
      <c r="G34">
        <v>174.3</v>
      </c>
      <c r="H34">
        <v>203.3</v>
      </c>
      <c r="I34">
        <v>188.1</v>
      </c>
      <c r="J34">
        <v>218.8</v>
      </c>
      <c r="K34">
        <v>1.9</v>
      </c>
      <c r="L34">
        <v>1.56</v>
      </c>
      <c r="M34">
        <v>2.0099999999999998</v>
      </c>
      <c r="N34">
        <v>0.31</v>
      </c>
      <c r="O34">
        <v>152.30000000000001</v>
      </c>
      <c r="P34">
        <v>129.6</v>
      </c>
      <c r="Q34">
        <v>174.8</v>
      </c>
      <c r="R34">
        <v>154.69999999999999</v>
      </c>
      <c r="S34">
        <v>133.30000000000001</v>
      </c>
      <c r="T34">
        <v>176</v>
      </c>
    </row>
    <row r="35" spans="1:20" x14ac:dyDescent="0.2">
      <c r="A35" t="s">
        <v>368</v>
      </c>
      <c r="B35">
        <v>1.7399999999999999E-2</v>
      </c>
      <c r="C35" s="1">
        <v>28.192900000000002</v>
      </c>
      <c r="D35" s="1">
        <v>36.153300000000002</v>
      </c>
      <c r="E35">
        <v>2.4</v>
      </c>
      <c r="F35">
        <v>2.2999999999999998</v>
      </c>
      <c r="G35">
        <v>2.6</v>
      </c>
      <c r="H35">
        <v>238.9</v>
      </c>
      <c r="I35">
        <v>235.4</v>
      </c>
      <c r="J35">
        <v>257.8</v>
      </c>
      <c r="K35">
        <v>1.1000000000000001</v>
      </c>
      <c r="L35">
        <v>1.0900000000000001</v>
      </c>
      <c r="M35">
        <v>1.1399999999999999</v>
      </c>
      <c r="N35">
        <v>11.68</v>
      </c>
      <c r="O35">
        <v>21</v>
      </c>
      <c r="P35">
        <v>20.8</v>
      </c>
      <c r="Q35">
        <v>21.3</v>
      </c>
      <c r="R35">
        <v>42.8</v>
      </c>
      <c r="S35">
        <v>42.3</v>
      </c>
      <c r="T35">
        <v>43.4</v>
      </c>
    </row>
    <row r="36" spans="1:20" x14ac:dyDescent="0.2">
      <c r="A36" t="s">
        <v>371</v>
      </c>
      <c r="B36">
        <v>1.8499999999999999E-2</v>
      </c>
      <c r="C36" s="1">
        <v>29.087599999999998</v>
      </c>
      <c r="D36" s="1">
        <v>5.6272000000000002</v>
      </c>
      <c r="E36">
        <v>0.6</v>
      </c>
      <c r="F36">
        <v>0.1</v>
      </c>
      <c r="G36">
        <v>1.1000000000000001</v>
      </c>
      <c r="H36">
        <v>174.3</v>
      </c>
      <c r="I36">
        <v>153.1</v>
      </c>
      <c r="J36">
        <v>206</v>
      </c>
      <c r="K36">
        <v>0.94</v>
      </c>
      <c r="L36">
        <v>0.88</v>
      </c>
      <c r="M36">
        <v>1.03</v>
      </c>
      <c r="N36">
        <v>0.18</v>
      </c>
      <c r="O36">
        <v>20.5</v>
      </c>
      <c r="P36">
        <v>19.399999999999999</v>
      </c>
      <c r="Q36">
        <v>21.6</v>
      </c>
      <c r="R36">
        <v>39</v>
      </c>
      <c r="S36">
        <v>36.700000000000003</v>
      </c>
      <c r="T36">
        <v>41.5</v>
      </c>
    </row>
    <row r="37" spans="1:20" x14ac:dyDescent="0.2">
      <c r="A37" t="s">
        <v>38</v>
      </c>
      <c r="B37">
        <v>0.32200000000000001</v>
      </c>
      <c r="C37" s="1">
        <v>29.956</v>
      </c>
      <c r="D37" s="1">
        <v>-8.8336000000000006</v>
      </c>
      <c r="E37">
        <v>13.8</v>
      </c>
      <c r="F37">
        <v>7.4</v>
      </c>
      <c r="G37">
        <v>18.7</v>
      </c>
      <c r="H37">
        <v>179</v>
      </c>
      <c r="I37">
        <v>170.3</v>
      </c>
      <c r="J37">
        <v>187.1</v>
      </c>
      <c r="K37">
        <v>1.1299999999999999</v>
      </c>
      <c r="L37">
        <v>1.04</v>
      </c>
      <c r="M37">
        <v>1.2</v>
      </c>
      <c r="N37">
        <v>0.39</v>
      </c>
      <c r="O37">
        <v>25.9</v>
      </c>
      <c r="P37">
        <v>23</v>
      </c>
      <c r="Q37">
        <v>29</v>
      </c>
      <c r="R37">
        <v>40.700000000000003</v>
      </c>
      <c r="S37">
        <v>38.200000000000003</v>
      </c>
      <c r="T37">
        <v>43.2</v>
      </c>
    </row>
    <row r="38" spans="1:20" x14ac:dyDescent="0.2">
      <c r="A38" t="s">
        <v>375</v>
      </c>
      <c r="B38">
        <v>0.22900000000000001</v>
      </c>
      <c r="C38" s="1">
        <v>35.235700000000001</v>
      </c>
      <c r="D38" s="1">
        <v>-38.480400000000003</v>
      </c>
      <c r="E38">
        <v>20.399999999999999</v>
      </c>
      <c r="F38">
        <v>15.4</v>
      </c>
      <c r="G38">
        <v>25</v>
      </c>
      <c r="H38">
        <v>134.30000000000001</v>
      </c>
      <c r="I38">
        <v>126.8</v>
      </c>
      <c r="J38">
        <v>142.69999999999999</v>
      </c>
      <c r="K38">
        <v>1.1399999999999999</v>
      </c>
      <c r="L38">
        <v>1.05</v>
      </c>
      <c r="M38">
        <v>1.21</v>
      </c>
      <c r="N38">
        <v>0.27</v>
      </c>
      <c r="O38">
        <v>29</v>
      </c>
      <c r="P38">
        <v>25.8</v>
      </c>
      <c r="Q38">
        <v>32.200000000000003</v>
      </c>
      <c r="R38">
        <v>39.200000000000003</v>
      </c>
      <c r="S38">
        <v>36.299999999999997</v>
      </c>
      <c r="T38">
        <v>41.8</v>
      </c>
    </row>
    <row r="39" spans="1:20" x14ac:dyDescent="0.2">
      <c r="A39" t="s">
        <v>376</v>
      </c>
      <c r="B39">
        <v>0.22</v>
      </c>
      <c r="C39" s="1">
        <v>36.471499999999999</v>
      </c>
      <c r="D39" s="1">
        <v>-41.915199999999999</v>
      </c>
      <c r="E39">
        <v>37.200000000000003</v>
      </c>
      <c r="F39">
        <v>27.7</v>
      </c>
      <c r="G39">
        <v>48.4</v>
      </c>
      <c r="H39">
        <v>149.5</v>
      </c>
      <c r="I39">
        <v>133.6</v>
      </c>
      <c r="J39">
        <v>156.4</v>
      </c>
      <c r="K39">
        <v>1.26</v>
      </c>
      <c r="L39">
        <v>1.18</v>
      </c>
      <c r="M39">
        <v>1.39</v>
      </c>
      <c r="N39">
        <v>0.28999999999999998</v>
      </c>
      <c r="O39">
        <v>44.3</v>
      </c>
      <c r="P39">
        <v>34.799999999999997</v>
      </c>
      <c r="Q39">
        <v>52.8</v>
      </c>
      <c r="R39">
        <v>52.4</v>
      </c>
      <c r="S39">
        <v>44.6</v>
      </c>
      <c r="T39">
        <v>59.5</v>
      </c>
    </row>
    <row r="40" spans="1:20" x14ac:dyDescent="0.2">
      <c r="A40" t="s">
        <v>378</v>
      </c>
      <c r="B40">
        <v>6.0999999999999999E-2</v>
      </c>
      <c r="C40" s="1">
        <v>37.439700000000002</v>
      </c>
      <c r="D40" s="1">
        <v>-29.628699999999998</v>
      </c>
      <c r="E40">
        <v>3.9</v>
      </c>
      <c r="F40">
        <v>13.3</v>
      </c>
      <c r="G40">
        <v>28.2</v>
      </c>
      <c r="H40">
        <v>76.7</v>
      </c>
      <c r="I40">
        <v>76.2</v>
      </c>
      <c r="J40">
        <v>127.7</v>
      </c>
      <c r="K40">
        <v>0.46</v>
      </c>
      <c r="L40">
        <v>0.62</v>
      </c>
      <c r="M40">
        <v>1.86</v>
      </c>
      <c r="N40">
        <v>0.06</v>
      </c>
      <c r="O40">
        <v>29.2</v>
      </c>
      <c r="P40">
        <v>26.6</v>
      </c>
      <c r="Q40">
        <v>32.1</v>
      </c>
      <c r="R40">
        <v>35.200000000000003</v>
      </c>
      <c r="S40">
        <v>31.6</v>
      </c>
      <c r="T40">
        <v>38.9</v>
      </c>
    </row>
    <row r="41" spans="1:20" x14ac:dyDescent="0.2">
      <c r="A41" t="s">
        <v>380</v>
      </c>
      <c r="B41">
        <v>0.28399999999999997</v>
      </c>
      <c r="C41" s="1">
        <v>38.0777</v>
      </c>
      <c r="D41" s="1">
        <v>-44.346200000000003</v>
      </c>
      <c r="E41">
        <v>25.3</v>
      </c>
      <c r="F41">
        <v>18.2</v>
      </c>
      <c r="G41">
        <v>32.700000000000003</v>
      </c>
      <c r="H41">
        <v>162.5</v>
      </c>
      <c r="I41">
        <v>155.30000000000001</v>
      </c>
      <c r="J41">
        <v>172</v>
      </c>
      <c r="K41">
        <v>1.03</v>
      </c>
      <c r="L41">
        <v>0.96</v>
      </c>
      <c r="M41">
        <v>1.0900000000000001</v>
      </c>
      <c r="N41">
        <v>0.48</v>
      </c>
      <c r="O41">
        <v>38.700000000000003</v>
      </c>
      <c r="P41">
        <v>33.299999999999997</v>
      </c>
      <c r="Q41">
        <v>44.1</v>
      </c>
      <c r="R41">
        <v>52.3</v>
      </c>
      <c r="S41">
        <v>47.7</v>
      </c>
      <c r="T41">
        <v>57.1</v>
      </c>
    </row>
    <row r="42" spans="1:20" x14ac:dyDescent="0.2">
      <c r="A42" t="s">
        <v>40</v>
      </c>
      <c r="B42">
        <v>0.22</v>
      </c>
      <c r="C42" s="1">
        <v>39.365200000000002</v>
      </c>
      <c r="D42" s="1">
        <v>-26.507999999999999</v>
      </c>
      <c r="E42">
        <v>43.8</v>
      </c>
      <c r="F42">
        <v>30.6</v>
      </c>
      <c r="G42">
        <v>53.4</v>
      </c>
      <c r="H42">
        <v>142.5</v>
      </c>
      <c r="I42">
        <v>136.4</v>
      </c>
      <c r="J42">
        <v>152.80000000000001</v>
      </c>
      <c r="K42">
        <v>1.19</v>
      </c>
      <c r="L42">
        <v>1.03</v>
      </c>
      <c r="M42">
        <v>1.3</v>
      </c>
      <c r="N42">
        <v>0.13</v>
      </c>
      <c r="O42">
        <v>49.4</v>
      </c>
      <c r="P42">
        <v>41.1</v>
      </c>
      <c r="Q42">
        <v>58.2</v>
      </c>
      <c r="R42">
        <v>58.3</v>
      </c>
      <c r="S42">
        <v>51.5</v>
      </c>
      <c r="T42">
        <v>64.599999999999994</v>
      </c>
    </row>
    <row r="43" spans="1:20" x14ac:dyDescent="0.2">
      <c r="A43" t="s">
        <v>42</v>
      </c>
      <c r="B43">
        <v>0.375</v>
      </c>
      <c r="C43" s="1">
        <v>39.970700000000001</v>
      </c>
      <c r="D43" s="1">
        <v>-1.5792999999999999</v>
      </c>
      <c r="E43">
        <v>277.3</v>
      </c>
      <c r="F43">
        <v>222.5</v>
      </c>
      <c r="G43">
        <v>312</v>
      </c>
      <c r="H43">
        <v>307</v>
      </c>
      <c r="I43">
        <v>287.8</v>
      </c>
      <c r="J43">
        <v>341.7</v>
      </c>
      <c r="K43">
        <v>1.83</v>
      </c>
      <c r="L43">
        <v>1.3</v>
      </c>
      <c r="M43">
        <v>1.9</v>
      </c>
      <c r="N43">
        <v>0.22</v>
      </c>
      <c r="O43">
        <v>270.60000000000002</v>
      </c>
      <c r="P43">
        <v>226.2</v>
      </c>
      <c r="Q43">
        <v>312.60000000000002</v>
      </c>
      <c r="R43">
        <v>273.3</v>
      </c>
      <c r="S43">
        <v>231.4</v>
      </c>
      <c r="T43">
        <v>313.89999999999998</v>
      </c>
    </row>
    <row r="44" spans="1:20" x14ac:dyDescent="0.2">
      <c r="A44" t="s">
        <v>43</v>
      </c>
      <c r="B44">
        <v>0.314</v>
      </c>
      <c r="C44" s="1">
        <v>40.649500000000003</v>
      </c>
      <c r="D44" s="1">
        <v>-21.540600000000001</v>
      </c>
      <c r="E44">
        <v>9.6</v>
      </c>
      <c r="F44">
        <v>7.7</v>
      </c>
      <c r="G44">
        <v>11.7</v>
      </c>
      <c r="H44">
        <v>94.3</v>
      </c>
      <c r="I44">
        <v>89.4</v>
      </c>
      <c r="J44">
        <v>98.6</v>
      </c>
      <c r="K44">
        <v>1.27</v>
      </c>
      <c r="L44">
        <v>1.2</v>
      </c>
      <c r="M44">
        <v>1.33</v>
      </c>
      <c r="N44">
        <v>0.21</v>
      </c>
      <c r="O44">
        <v>14.2</v>
      </c>
      <c r="P44">
        <v>12.9</v>
      </c>
      <c r="Q44">
        <v>15.5</v>
      </c>
      <c r="R44">
        <v>20.7</v>
      </c>
      <c r="S44">
        <v>19.5</v>
      </c>
      <c r="T44">
        <v>21.7</v>
      </c>
    </row>
    <row r="45" spans="1:20" x14ac:dyDescent="0.2">
      <c r="A45" t="s">
        <v>44</v>
      </c>
      <c r="B45">
        <v>0.3</v>
      </c>
      <c r="C45" s="1">
        <v>41.361600000000003</v>
      </c>
      <c r="D45" s="1">
        <v>-53.03</v>
      </c>
      <c r="E45">
        <v>189</v>
      </c>
      <c r="F45">
        <v>92.4</v>
      </c>
      <c r="G45">
        <v>199.4</v>
      </c>
      <c r="H45">
        <v>207.4</v>
      </c>
      <c r="I45">
        <v>195.2</v>
      </c>
      <c r="J45">
        <v>233.3</v>
      </c>
      <c r="K45">
        <v>1.98</v>
      </c>
      <c r="L45">
        <v>0.85</v>
      </c>
      <c r="M45">
        <v>2.13</v>
      </c>
      <c r="N45">
        <v>0.48</v>
      </c>
      <c r="O45">
        <v>162.19999999999999</v>
      </c>
      <c r="P45">
        <v>118.1</v>
      </c>
      <c r="Q45">
        <v>200.1</v>
      </c>
      <c r="R45">
        <v>168.4</v>
      </c>
      <c r="S45">
        <v>131.80000000000001</v>
      </c>
      <c r="T45">
        <v>202</v>
      </c>
    </row>
    <row r="46" spans="1:20" x14ac:dyDescent="0.2">
      <c r="A46" t="s">
        <v>384</v>
      </c>
      <c r="B46">
        <v>4.8000000000000001E-2</v>
      </c>
      <c r="C46" s="1">
        <v>41.516399999999997</v>
      </c>
      <c r="D46" s="1">
        <v>36.905500000000004</v>
      </c>
      <c r="E46">
        <v>36.299999999999997</v>
      </c>
      <c r="F46">
        <v>-4.3</v>
      </c>
      <c r="G46">
        <v>61.1</v>
      </c>
      <c r="H46">
        <v>251.9</v>
      </c>
      <c r="I46">
        <v>235.3</v>
      </c>
      <c r="J46">
        <v>270.10000000000002</v>
      </c>
      <c r="K46">
        <v>0.73</v>
      </c>
      <c r="L46">
        <v>0.56000000000000005</v>
      </c>
      <c r="M46">
        <v>0.87</v>
      </c>
      <c r="N46">
        <v>0.71</v>
      </c>
      <c r="O46">
        <v>77.2</v>
      </c>
      <c r="P46">
        <v>65.7</v>
      </c>
      <c r="Q46">
        <v>89.4</v>
      </c>
      <c r="R46">
        <v>104.9</v>
      </c>
      <c r="S46">
        <v>94.6</v>
      </c>
      <c r="T46">
        <v>114.8</v>
      </c>
    </row>
    <row r="47" spans="1:20" x14ac:dyDescent="0.2">
      <c r="A47" t="s">
        <v>46</v>
      </c>
      <c r="B47">
        <v>0.187</v>
      </c>
      <c r="C47" s="1">
        <v>42.014099999999999</v>
      </c>
      <c r="D47" s="1">
        <v>-3.5293000000000001</v>
      </c>
      <c r="E47">
        <v>9.8000000000000007</v>
      </c>
      <c r="F47">
        <v>8.3000000000000007</v>
      </c>
      <c r="G47">
        <v>11.3</v>
      </c>
      <c r="H47">
        <v>122.5</v>
      </c>
      <c r="I47">
        <v>117.9</v>
      </c>
      <c r="J47">
        <v>125.4</v>
      </c>
      <c r="K47">
        <v>1.17</v>
      </c>
      <c r="L47">
        <v>1.1299999999999999</v>
      </c>
      <c r="M47">
        <v>1.21</v>
      </c>
      <c r="N47">
        <v>2.57</v>
      </c>
      <c r="O47">
        <v>17.399999999999999</v>
      </c>
      <c r="P47">
        <v>16.600000000000001</v>
      </c>
      <c r="Q47">
        <v>18.2</v>
      </c>
      <c r="R47">
        <v>26.9</v>
      </c>
      <c r="S47">
        <v>26.1</v>
      </c>
      <c r="T47">
        <v>27.6</v>
      </c>
    </row>
    <row r="48" spans="1:20" x14ac:dyDescent="0.2">
      <c r="A48" t="s">
        <v>387</v>
      </c>
      <c r="B48">
        <v>2.3E-2</v>
      </c>
      <c r="C48" s="1">
        <v>43.215800000000002</v>
      </c>
      <c r="D48" s="1">
        <v>-1.2747999999999999</v>
      </c>
      <c r="E48">
        <v>-1.7</v>
      </c>
      <c r="F48">
        <v>-2.7</v>
      </c>
      <c r="G48">
        <v>-0.6</v>
      </c>
      <c r="H48">
        <v>112</v>
      </c>
      <c r="I48">
        <v>107.3</v>
      </c>
      <c r="J48">
        <v>117.3</v>
      </c>
      <c r="K48">
        <v>0.66</v>
      </c>
      <c r="L48">
        <v>0.62</v>
      </c>
      <c r="M48">
        <v>0.71</v>
      </c>
      <c r="N48">
        <v>0.76</v>
      </c>
      <c r="O48">
        <v>23</v>
      </c>
      <c r="P48">
        <v>22</v>
      </c>
      <c r="Q48">
        <v>23.9</v>
      </c>
      <c r="R48">
        <v>37.4</v>
      </c>
      <c r="S48">
        <v>36.299999999999997</v>
      </c>
      <c r="T48">
        <v>38.5</v>
      </c>
    </row>
    <row r="49" spans="1:20" x14ac:dyDescent="0.2">
      <c r="A49" t="s">
        <v>47</v>
      </c>
      <c r="B49">
        <v>0.50490000000000002</v>
      </c>
      <c r="C49" s="1">
        <v>44.287999999999997</v>
      </c>
      <c r="D49" s="1">
        <v>-23.434999999999999</v>
      </c>
      <c r="E49">
        <v>78.599999999999994</v>
      </c>
      <c r="F49">
        <v>46.9</v>
      </c>
      <c r="G49">
        <v>97.3</v>
      </c>
      <c r="H49">
        <v>201.3</v>
      </c>
      <c r="I49">
        <v>188.8</v>
      </c>
      <c r="J49">
        <v>216.5</v>
      </c>
      <c r="K49">
        <v>1.18</v>
      </c>
      <c r="L49">
        <v>1.03</v>
      </c>
      <c r="M49">
        <v>1.27</v>
      </c>
      <c r="N49">
        <v>0.17</v>
      </c>
      <c r="O49">
        <v>82.6</v>
      </c>
      <c r="P49">
        <v>61.2</v>
      </c>
      <c r="Q49">
        <v>103.6</v>
      </c>
      <c r="R49">
        <v>94.1</v>
      </c>
      <c r="S49">
        <v>75.599999999999994</v>
      </c>
      <c r="T49">
        <v>112.6</v>
      </c>
    </row>
    <row r="50" spans="1:20" x14ac:dyDescent="0.2">
      <c r="A50" t="s">
        <v>48</v>
      </c>
      <c r="B50">
        <v>0.32200000000000001</v>
      </c>
      <c r="C50" s="1">
        <v>44.421700000000001</v>
      </c>
      <c r="D50" s="1">
        <v>-22.154900000000001</v>
      </c>
      <c r="E50">
        <v>94.5</v>
      </c>
      <c r="F50">
        <v>48.9</v>
      </c>
      <c r="G50">
        <v>118.1</v>
      </c>
      <c r="H50">
        <v>202.9</v>
      </c>
      <c r="I50">
        <v>193.1</v>
      </c>
      <c r="J50">
        <v>226.2</v>
      </c>
      <c r="K50">
        <v>1.0900000000000001</v>
      </c>
      <c r="L50">
        <v>0.82</v>
      </c>
      <c r="M50">
        <v>1.23</v>
      </c>
      <c r="N50">
        <v>0.11</v>
      </c>
      <c r="O50">
        <v>98.8</v>
      </c>
      <c r="P50">
        <v>73.3</v>
      </c>
      <c r="Q50">
        <v>124.4</v>
      </c>
      <c r="R50">
        <v>111.7</v>
      </c>
      <c r="S50">
        <v>91.4</v>
      </c>
      <c r="T50">
        <v>132.6</v>
      </c>
    </row>
    <row r="51" spans="1:20" x14ac:dyDescent="0.2">
      <c r="A51" t="s">
        <v>393</v>
      </c>
      <c r="B51">
        <v>2.4400000000000002E-2</v>
      </c>
      <c r="C51" s="1">
        <v>44.423400000000001</v>
      </c>
      <c r="D51" s="1">
        <v>6.0243000000000002</v>
      </c>
      <c r="E51">
        <v>107.9</v>
      </c>
      <c r="F51">
        <v>86.5</v>
      </c>
      <c r="G51">
        <v>129.4</v>
      </c>
      <c r="H51">
        <v>194.4</v>
      </c>
      <c r="I51">
        <v>175.1</v>
      </c>
      <c r="J51">
        <v>201.6</v>
      </c>
      <c r="K51">
        <v>1.69</v>
      </c>
      <c r="L51">
        <v>1.18</v>
      </c>
      <c r="M51">
        <v>3.41</v>
      </c>
      <c r="N51">
        <v>0.81</v>
      </c>
      <c r="O51">
        <v>112.3</v>
      </c>
      <c r="P51">
        <v>95</v>
      </c>
      <c r="Q51">
        <v>129.69999999999999</v>
      </c>
      <c r="R51">
        <v>116.6</v>
      </c>
      <c r="S51">
        <v>103</v>
      </c>
      <c r="T51">
        <v>130.6</v>
      </c>
    </row>
    <row r="52" spans="1:20" x14ac:dyDescent="0.2">
      <c r="A52" t="s">
        <v>49</v>
      </c>
      <c r="B52">
        <v>7.1999999999999995E-2</v>
      </c>
      <c r="C52" s="1">
        <v>44.4726</v>
      </c>
      <c r="D52" s="1">
        <v>13.0253</v>
      </c>
      <c r="E52">
        <v>129.4</v>
      </c>
      <c r="F52">
        <v>44.6</v>
      </c>
      <c r="G52">
        <v>172.5</v>
      </c>
      <c r="H52">
        <v>340.1</v>
      </c>
      <c r="I52">
        <v>330.3</v>
      </c>
      <c r="J52">
        <v>354.4</v>
      </c>
      <c r="K52">
        <v>0.61</v>
      </c>
      <c r="L52">
        <v>0.45</v>
      </c>
      <c r="M52">
        <v>0.71</v>
      </c>
      <c r="N52">
        <v>3.42</v>
      </c>
      <c r="O52">
        <v>176.3</v>
      </c>
      <c r="P52">
        <v>148.80000000000001</v>
      </c>
      <c r="Q52">
        <v>206.5</v>
      </c>
      <c r="R52">
        <v>206.4</v>
      </c>
      <c r="S52">
        <v>185.5</v>
      </c>
      <c r="T52">
        <v>228.4</v>
      </c>
    </row>
    <row r="53" spans="1:20" x14ac:dyDescent="0.2">
      <c r="A53" t="s">
        <v>51</v>
      </c>
      <c r="B53">
        <v>7.3999999999999996E-2</v>
      </c>
      <c r="C53" s="1">
        <v>44.7438</v>
      </c>
      <c r="D53" s="1">
        <v>13.578799999999999</v>
      </c>
      <c r="E53">
        <v>156.69999999999999</v>
      </c>
      <c r="F53">
        <v>124.6</v>
      </c>
      <c r="G53">
        <v>171.4</v>
      </c>
      <c r="H53">
        <v>277.10000000000002</v>
      </c>
      <c r="I53">
        <v>273.3</v>
      </c>
      <c r="J53">
        <v>285</v>
      </c>
      <c r="K53">
        <v>0.89</v>
      </c>
      <c r="L53">
        <v>0.75</v>
      </c>
      <c r="M53">
        <v>0.95</v>
      </c>
      <c r="N53">
        <v>3.07</v>
      </c>
      <c r="O53">
        <v>166.5</v>
      </c>
      <c r="P53">
        <v>151.1</v>
      </c>
      <c r="Q53">
        <v>183.4</v>
      </c>
      <c r="R53">
        <v>181.7</v>
      </c>
      <c r="S53">
        <v>168.7</v>
      </c>
      <c r="T53">
        <v>194.8</v>
      </c>
    </row>
    <row r="54" spans="1:20" x14ac:dyDescent="0.2">
      <c r="A54" t="s">
        <v>52</v>
      </c>
      <c r="B54">
        <v>0.17</v>
      </c>
      <c r="C54" s="1">
        <v>45.409199999999998</v>
      </c>
      <c r="D54" s="1">
        <v>1.9208000000000001</v>
      </c>
      <c r="E54">
        <v>10.199999999999999</v>
      </c>
      <c r="F54">
        <v>8.1999999999999993</v>
      </c>
      <c r="G54">
        <v>11.5</v>
      </c>
      <c r="H54">
        <v>116.6</v>
      </c>
      <c r="I54">
        <v>113.5</v>
      </c>
      <c r="J54">
        <v>121</v>
      </c>
      <c r="K54">
        <v>1.19</v>
      </c>
      <c r="L54">
        <v>1.1299999999999999</v>
      </c>
      <c r="M54">
        <v>1.22</v>
      </c>
      <c r="N54">
        <v>1.17</v>
      </c>
      <c r="O54">
        <v>17</v>
      </c>
      <c r="P54">
        <v>15.8</v>
      </c>
      <c r="Q54">
        <v>18.2</v>
      </c>
      <c r="R54">
        <v>26</v>
      </c>
      <c r="S54">
        <v>24.9</v>
      </c>
      <c r="T54">
        <v>27.2</v>
      </c>
    </row>
    <row r="55" spans="1:20" x14ac:dyDescent="0.2">
      <c r="A55" t="s">
        <v>53</v>
      </c>
      <c r="B55">
        <v>0.27400000000000002</v>
      </c>
      <c r="C55" s="1">
        <v>45.941299999999998</v>
      </c>
      <c r="D55" s="1">
        <v>-77.879199999999997</v>
      </c>
      <c r="E55">
        <v>-146.80000000000001</v>
      </c>
      <c r="F55">
        <v>-242.9</v>
      </c>
      <c r="G55">
        <v>-26.9</v>
      </c>
      <c r="H55">
        <v>246.7</v>
      </c>
      <c r="I55">
        <v>231.1</v>
      </c>
      <c r="J55">
        <v>270.8</v>
      </c>
      <c r="K55">
        <v>0.61</v>
      </c>
      <c r="L55">
        <v>0.5</v>
      </c>
      <c r="M55">
        <v>0.77</v>
      </c>
      <c r="N55">
        <v>0.33</v>
      </c>
      <c r="O55">
        <v>-34.799999999999997</v>
      </c>
      <c r="P55">
        <v>-89</v>
      </c>
      <c r="Q55">
        <v>20.7</v>
      </c>
      <c r="R55">
        <v>14.3</v>
      </c>
      <c r="S55">
        <v>-24.5</v>
      </c>
      <c r="T55">
        <v>55</v>
      </c>
    </row>
    <row r="56" spans="1:20" x14ac:dyDescent="0.2">
      <c r="A56" t="s">
        <v>55</v>
      </c>
      <c r="B56">
        <v>3.3799999999999997E-2</v>
      </c>
      <c r="C56" s="1">
        <v>46.618600000000001</v>
      </c>
      <c r="D56" s="1">
        <v>-9.7311999999999994</v>
      </c>
      <c r="E56">
        <v>4.5</v>
      </c>
      <c r="F56">
        <v>3.4</v>
      </c>
      <c r="G56">
        <v>5.7</v>
      </c>
      <c r="H56">
        <v>201.9</v>
      </c>
      <c r="I56">
        <v>174.4</v>
      </c>
      <c r="J56">
        <v>234.4</v>
      </c>
      <c r="K56">
        <v>1.39</v>
      </c>
      <c r="L56">
        <v>1.28</v>
      </c>
      <c r="M56">
        <v>1.56</v>
      </c>
      <c r="N56">
        <v>0.09</v>
      </c>
      <c r="O56">
        <v>12.4</v>
      </c>
      <c r="P56">
        <v>11.4</v>
      </c>
      <c r="Q56">
        <v>13.3</v>
      </c>
      <c r="R56">
        <v>25.2</v>
      </c>
      <c r="S56">
        <v>23.2</v>
      </c>
      <c r="T56">
        <v>27.2</v>
      </c>
    </row>
    <row r="57" spans="1:20" x14ac:dyDescent="0.2">
      <c r="A57" t="s">
        <v>396</v>
      </c>
      <c r="B57">
        <v>0.253</v>
      </c>
      <c r="C57" s="1">
        <v>46.758099999999999</v>
      </c>
      <c r="D57" s="1">
        <v>-28.665800000000001</v>
      </c>
      <c r="E57">
        <v>12.1</v>
      </c>
      <c r="F57">
        <v>-0.3</v>
      </c>
      <c r="G57">
        <v>23.8</v>
      </c>
      <c r="H57">
        <v>188.1</v>
      </c>
      <c r="I57">
        <v>176.3</v>
      </c>
      <c r="J57">
        <v>200.1</v>
      </c>
      <c r="K57">
        <v>0.87</v>
      </c>
      <c r="L57">
        <v>0.79</v>
      </c>
      <c r="M57">
        <v>0.96</v>
      </c>
      <c r="N57">
        <v>0.62</v>
      </c>
      <c r="O57">
        <v>36.700000000000003</v>
      </c>
      <c r="P57">
        <v>30</v>
      </c>
      <c r="Q57">
        <v>43.2</v>
      </c>
      <c r="R57">
        <v>56.4</v>
      </c>
      <c r="S57">
        <v>51.2</v>
      </c>
      <c r="T57">
        <v>61.8</v>
      </c>
    </row>
    <row r="58" spans="1:20" x14ac:dyDescent="0.2">
      <c r="A58" t="s">
        <v>56</v>
      </c>
      <c r="B58">
        <v>0.32400000000000001</v>
      </c>
      <c r="C58" s="1">
        <v>47.2331</v>
      </c>
      <c r="D58" s="1">
        <v>26.761099999999999</v>
      </c>
      <c r="E58">
        <v>147.4</v>
      </c>
      <c r="F58">
        <v>96.2</v>
      </c>
      <c r="G58">
        <v>178.6</v>
      </c>
      <c r="H58">
        <v>245.8</v>
      </c>
      <c r="I58">
        <v>234.4</v>
      </c>
      <c r="J58">
        <v>276.39999999999998</v>
      </c>
      <c r="K58">
        <v>1.23</v>
      </c>
      <c r="L58">
        <v>0.96</v>
      </c>
      <c r="M58">
        <v>1.32</v>
      </c>
      <c r="N58">
        <v>0.23</v>
      </c>
      <c r="O58">
        <v>147.4</v>
      </c>
      <c r="P58">
        <v>111.3</v>
      </c>
      <c r="Q58">
        <v>183</v>
      </c>
      <c r="R58">
        <v>158.5</v>
      </c>
      <c r="S58">
        <v>126.9</v>
      </c>
      <c r="T58">
        <v>189.2</v>
      </c>
    </row>
    <row r="59" spans="1:20" x14ac:dyDescent="0.2">
      <c r="A59" t="s">
        <v>57</v>
      </c>
      <c r="B59">
        <v>6.8000000000000005E-2</v>
      </c>
      <c r="C59" s="1">
        <v>47.898899999999998</v>
      </c>
      <c r="D59" s="1">
        <v>-26.898499999999999</v>
      </c>
      <c r="E59">
        <v>-23.2</v>
      </c>
      <c r="F59">
        <v>-163.30000000000001</v>
      </c>
      <c r="G59">
        <v>20.9</v>
      </c>
      <c r="H59">
        <v>267.10000000000002</v>
      </c>
      <c r="I59">
        <v>257.2</v>
      </c>
      <c r="J59">
        <v>287.60000000000002</v>
      </c>
      <c r="K59">
        <v>0.46</v>
      </c>
      <c r="L59">
        <v>0.3</v>
      </c>
      <c r="M59">
        <v>0.56000000000000005</v>
      </c>
      <c r="N59">
        <v>0.96</v>
      </c>
      <c r="O59">
        <v>75.099999999999994</v>
      </c>
      <c r="P59">
        <v>54.9</v>
      </c>
      <c r="Q59">
        <v>95.8</v>
      </c>
      <c r="R59">
        <v>116.8</v>
      </c>
      <c r="S59">
        <v>101.3</v>
      </c>
      <c r="T59">
        <v>133.30000000000001</v>
      </c>
    </row>
    <row r="60" spans="1:20" x14ac:dyDescent="0.2">
      <c r="A60" t="s">
        <v>401</v>
      </c>
      <c r="B60">
        <v>6.9000000000000006E-2</v>
      </c>
      <c r="C60" s="1">
        <v>50.484900000000003</v>
      </c>
      <c r="D60" s="1">
        <v>-51.326599999999999</v>
      </c>
      <c r="E60">
        <v>0.8</v>
      </c>
      <c r="F60">
        <v>-6.4</v>
      </c>
      <c r="G60">
        <v>8</v>
      </c>
      <c r="H60">
        <v>177.5</v>
      </c>
      <c r="I60">
        <v>162.4</v>
      </c>
      <c r="J60">
        <v>185.9</v>
      </c>
      <c r="K60">
        <v>0.83</v>
      </c>
      <c r="L60">
        <v>0.72</v>
      </c>
      <c r="M60">
        <v>0.95</v>
      </c>
      <c r="N60">
        <v>0.25</v>
      </c>
      <c r="O60">
        <v>27.3</v>
      </c>
      <c r="P60">
        <v>25.3</v>
      </c>
      <c r="Q60">
        <v>29.3</v>
      </c>
      <c r="R60">
        <v>47.1</v>
      </c>
      <c r="S60">
        <v>43.6</v>
      </c>
      <c r="T60">
        <v>50.6</v>
      </c>
    </row>
    <row r="61" spans="1:20" x14ac:dyDescent="0.2">
      <c r="A61" t="s">
        <v>404</v>
      </c>
      <c r="B61">
        <v>0.03</v>
      </c>
      <c r="C61" s="1">
        <v>51.975700000000003</v>
      </c>
      <c r="D61" s="1">
        <v>2.5615999999999999</v>
      </c>
      <c r="E61">
        <v>4</v>
      </c>
      <c r="F61">
        <v>2.2000000000000002</v>
      </c>
      <c r="G61">
        <v>6</v>
      </c>
      <c r="H61">
        <v>208.4</v>
      </c>
      <c r="I61">
        <v>192.6</v>
      </c>
      <c r="J61">
        <v>234</v>
      </c>
      <c r="K61">
        <v>1.29</v>
      </c>
      <c r="L61">
        <v>1.19</v>
      </c>
      <c r="M61">
        <v>1.43</v>
      </c>
      <c r="N61">
        <v>1.78</v>
      </c>
      <c r="O61">
        <v>14.4</v>
      </c>
      <c r="P61">
        <v>13.5</v>
      </c>
      <c r="Q61">
        <v>15.3</v>
      </c>
      <c r="R61">
        <v>29.4</v>
      </c>
      <c r="S61">
        <v>27.7</v>
      </c>
      <c r="T61">
        <v>31</v>
      </c>
    </row>
    <row r="62" spans="1:20" x14ac:dyDescent="0.2">
      <c r="A62" t="s">
        <v>60</v>
      </c>
      <c r="B62">
        <v>8.5999999999999993E-2</v>
      </c>
      <c r="C62" s="1">
        <v>52.1494</v>
      </c>
      <c r="D62" s="1">
        <v>-55.718000000000004</v>
      </c>
      <c r="E62">
        <v>170.4</v>
      </c>
      <c r="F62">
        <v>151.4</v>
      </c>
      <c r="G62">
        <v>192.7</v>
      </c>
      <c r="H62">
        <v>221</v>
      </c>
      <c r="I62">
        <v>211.1</v>
      </c>
      <c r="J62">
        <v>236.9</v>
      </c>
      <c r="K62">
        <v>1.71</v>
      </c>
      <c r="L62">
        <v>1.44</v>
      </c>
      <c r="M62">
        <v>1.99</v>
      </c>
      <c r="N62">
        <v>0.27</v>
      </c>
      <c r="O62">
        <v>174.5</v>
      </c>
      <c r="P62">
        <v>153.80000000000001</v>
      </c>
      <c r="Q62">
        <v>193.2</v>
      </c>
      <c r="R62">
        <v>177.2</v>
      </c>
      <c r="S62">
        <v>158</v>
      </c>
      <c r="T62">
        <v>194.8</v>
      </c>
    </row>
    <row r="63" spans="1:20" x14ac:dyDescent="0.2">
      <c r="A63" t="s">
        <v>61</v>
      </c>
      <c r="B63">
        <v>0.45</v>
      </c>
      <c r="C63" s="1">
        <v>52.423699999999997</v>
      </c>
      <c r="D63" s="1">
        <v>-2.1966000000000001</v>
      </c>
      <c r="E63">
        <v>3.2</v>
      </c>
      <c r="F63">
        <v>0.1</v>
      </c>
      <c r="G63">
        <v>7</v>
      </c>
      <c r="H63">
        <v>124.9</v>
      </c>
      <c r="I63">
        <v>118.6</v>
      </c>
      <c r="J63">
        <v>129.30000000000001</v>
      </c>
      <c r="K63">
        <v>1.06</v>
      </c>
      <c r="L63">
        <v>1.01</v>
      </c>
      <c r="M63">
        <v>1.1299999999999999</v>
      </c>
      <c r="N63">
        <v>0.34</v>
      </c>
      <c r="O63">
        <v>14</v>
      </c>
      <c r="P63">
        <v>11.9</v>
      </c>
      <c r="Q63">
        <v>15.9</v>
      </c>
      <c r="R63">
        <v>25.3</v>
      </c>
      <c r="S63">
        <v>23.8</v>
      </c>
      <c r="T63">
        <v>26.7</v>
      </c>
    </row>
    <row r="64" spans="1:20" x14ac:dyDescent="0.2">
      <c r="A64" t="s">
        <v>62</v>
      </c>
      <c r="B64">
        <v>0.06</v>
      </c>
      <c r="C64" s="1">
        <v>52.460900000000002</v>
      </c>
      <c r="D64" s="1">
        <v>-52.580399999999997</v>
      </c>
      <c r="E64">
        <v>20.100000000000001</v>
      </c>
      <c r="F64">
        <v>-35.1</v>
      </c>
      <c r="G64">
        <v>104.2</v>
      </c>
      <c r="H64">
        <v>207.9</v>
      </c>
      <c r="I64">
        <v>183.3</v>
      </c>
      <c r="J64">
        <v>216.9</v>
      </c>
      <c r="K64">
        <v>0.46</v>
      </c>
      <c r="L64">
        <v>0.32</v>
      </c>
      <c r="M64">
        <v>1.21</v>
      </c>
      <c r="N64">
        <v>0.14000000000000001</v>
      </c>
      <c r="O64">
        <v>94.2</v>
      </c>
      <c r="P64">
        <v>75.3</v>
      </c>
      <c r="Q64">
        <v>114.7</v>
      </c>
      <c r="R64">
        <v>113.3</v>
      </c>
      <c r="S64">
        <v>100.1</v>
      </c>
      <c r="T64">
        <v>126.3</v>
      </c>
    </row>
    <row r="65" spans="1:20" x14ac:dyDescent="0.2">
      <c r="A65" t="s">
        <v>63</v>
      </c>
      <c r="B65">
        <v>0.188</v>
      </c>
      <c r="C65" s="1">
        <v>52.774999999999999</v>
      </c>
      <c r="D65" s="1">
        <v>-21.008900000000001</v>
      </c>
      <c r="E65">
        <v>11.8</v>
      </c>
      <c r="F65">
        <v>8.9</v>
      </c>
      <c r="G65">
        <v>13.4</v>
      </c>
      <c r="H65">
        <v>128.9</v>
      </c>
      <c r="I65">
        <v>122.3</v>
      </c>
      <c r="J65">
        <v>134.30000000000001</v>
      </c>
      <c r="K65">
        <v>1.26</v>
      </c>
      <c r="L65">
        <v>1.1599999999999999</v>
      </c>
      <c r="M65">
        <v>1.32</v>
      </c>
      <c r="N65">
        <v>0.41</v>
      </c>
      <c r="O65">
        <v>18</v>
      </c>
      <c r="P65">
        <v>16.600000000000001</v>
      </c>
      <c r="Q65">
        <v>19.2</v>
      </c>
      <c r="R65">
        <v>27.2</v>
      </c>
      <c r="S65">
        <v>25.7</v>
      </c>
      <c r="T65">
        <v>28.8</v>
      </c>
    </row>
    <row r="66" spans="1:20" x14ac:dyDescent="0.2">
      <c r="A66" t="s">
        <v>411</v>
      </c>
      <c r="B66">
        <v>0.13900000000000001</v>
      </c>
      <c r="C66" s="1">
        <v>53.5625</v>
      </c>
      <c r="D66" s="1">
        <v>-1.1881999999999999</v>
      </c>
      <c r="E66">
        <v>31.4</v>
      </c>
      <c r="F66">
        <v>22.9</v>
      </c>
      <c r="G66">
        <v>39.1</v>
      </c>
      <c r="H66">
        <v>246.9</v>
      </c>
      <c r="I66">
        <v>234.7</v>
      </c>
      <c r="J66">
        <v>256.89999999999998</v>
      </c>
      <c r="K66">
        <v>1.35</v>
      </c>
      <c r="L66">
        <v>1.24</v>
      </c>
      <c r="M66">
        <v>1.46</v>
      </c>
      <c r="N66">
        <v>0.31</v>
      </c>
      <c r="O66">
        <v>41.2</v>
      </c>
      <c r="P66">
        <v>35.200000000000003</v>
      </c>
      <c r="Q66">
        <v>46.7</v>
      </c>
      <c r="R66">
        <v>56.1</v>
      </c>
      <c r="S66">
        <v>51.3</v>
      </c>
      <c r="T66">
        <v>60.7</v>
      </c>
    </row>
    <row r="67" spans="1:20" x14ac:dyDescent="0.2">
      <c r="A67" t="s">
        <v>413</v>
      </c>
      <c r="B67">
        <v>4.5999999999999999E-3</v>
      </c>
      <c r="C67" s="1">
        <v>54.620399999999997</v>
      </c>
      <c r="D67" s="1">
        <v>-35.4499</v>
      </c>
      <c r="E67">
        <v>1.2</v>
      </c>
      <c r="F67">
        <v>1.1000000000000001</v>
      </c>
      <c r="G67">
        <v>1.2</v>
      </c>
      <c r="H67">
        <v>1660.2</v>
      </c>
      <c r="I67">
        <v>1531.7</v>
      </c>
      <c r="J67">
        <v>1905.5</v>
      </c>
      <c r="K67">
        <v>1.4</v>
      </c>
      <c r="L67">
        <v>1.38</v>
      </c>
      <c r="M67">
        <v>1.43</v>
      </c>
      <c r="N67">
        <v>0.79</v>
      </c>
      <c r="O67">
        <v>68.400000000000006</v>
      </c>
      <c r="P67">
        <v>65.099999999999994</v>
      </c>
      <c r="Q67">
        <v>71.400000000000006</v>
      </c>
      <c r="R67">
        <v>179.4</v>
      </c>
      <c r="S67">
        <v>167.5</v>
      </c>
      <c r="T67">
        <v>190.9</v>
      </c>
    </row>
    <row r="68" spans="1:20" x14ac:dyDescent="0.2">
      <c r="A68" t="s">
        <v>414</v>
      </c>
      <c r="B68">
        <v>3.6299999999999999E-2</v>
      </c>
      <c r="C68" s="1">
        <v>54.671300000000002</v>
      </c>
      <c r="D68" s="1">
        <v>9.9669000000000008</v>
      </c>
      <c r="E68">
        <v>5.4</v>
      </c>
      <c r="F68">
        <v>5.2</v>
      </c>
      <c r="G68">
        <v>5.5</v>
      </c>
      <c r="H68">
        <v>121.3</v>
      </c>
      <c r="I68">
        <v>117.6</v>
      </c>
      <c r="J68">
        <v>122.9</v>
      </c>
      <c r="K68">
        <v>1.47</v>
      </c>
      <c r="L68">
        <v>1.43</v>
      </c>
      <c r="M68">
        <v>1.48</v>
      </c>
      <c r="N68">
        <v>19.95</v>
      </c>
      <c r="O68">
        <v>9.4</v>
      </c>
      <c r="P68">
        <v>9.1999999999999993</v>
      </c>
      <c r="Q68">
        <v>9.5</v>
      </c>
      <c r="R68">
        <v>16.3</v>
      </c>
      <c r="S68">
        <v>16.2</v>
      </c>
      <c r="T68">
        <v>16.5</v>
      </c>
    </row>
    <row r="69" spans="1:20" x14ac:dyDescent="0.2">
      <c r="A69" t="s">
        <v>65</v>
      </c>
      <c r="B69">
        <v>7.0000000000000007E-2</v>
      </c>
      <c r="C69" s="1">
        <v>55.2241</v>
      </c>
      <c r="D69" s="1">
        <v>-45.6768</v>
      </c>
      <c r="E69">
        <v>263.2</v>
      </c>
      <c r="F69">
        <v>263.2</v>
      </c>
      <c r="G69">
        <v>263.2</v>
      </c>
      <c r="H69">
        <v>326.60000000000002</v>
      </c>
      <c r="I69">
        <v>326.60000000000002</v>
      </c>
      <c r="J69">
        <v>326.60000000000002</v>
      </c>
      <c r="K69">
        <v>0</v>
      </c>
      <c r="L69">
        <v>0</v>
      </c>
      <c r="M69">
        <v>0</v>
      </c>
      <c r="N69">
        <v>0.46</v>
      </c>
      <c r="O69">
        <v>326.60000000000002</v>
      </c>
      <c r="P69">
        <v>326.60000000000002</v>
      </c>
      <c r="Q69">
        <v>326.60000000000002</v>
      </c>
      <c r="R69">
        <v>326.60000000000002</v>
      </c>
      <c r="S69">
        <v>326.60000000000002</v>
      </c>
      <c r="T69">
        <v>326.60000000000002</v>
      </c>
    </row>
    <row r="70" spans="1:20" x14ac:dyDescent="0.2">
      <c r="A70" t="s">
        <v>416</v>
      </c>
      <c r="B70">
        <v>2.9000000000000001E-2</v>
      </c>
      <c r="C70" s="1">
        <v>55.315300000000001</v>
      </c>
      <c r="D70" s="1">
        <v>15.409700000000001</v>
      </c>
      <c r="E70">
        <v>64.099999999999994</v>
      </c>
      <c r="F70">
        <v>47.3</v>
      </c>
      <c r="G70">
        <v>76.8</v>
      </c>
      <c r="H70">
        <v>138.30000000000001</v>
      </c>
      <c r="I70">
        <v>132.80000000000001</v>
      </c>
      <c r="J70">
        <v>144</v>
      </c>
      <c r="K70">
        <v>0.99</v>
      </c>
      <c r="L70">
        <v>0.74</v>
      </c>
      <c r="M70">
        <v>1.23</v>
      </c>
      <c r="N70">
        <v>2.4</v>
      </c>
      <c r="O70">
        <v>71.5</v>
      </c>
      <c r="P70">
        <v>63</v>
      </c>
      <c r="Q70">
        <v>80.7</v>
      </c>
      <c r="R70">
        <v>79.599999999999994</v>
      </c>
      <c r="S70">
        <v>73.3</v>
      </c>
      <c r="T70">
        <v>86</v>
      </c>
    </row>
    <row r="71" spans="1:20" x14ac:dyDescent="0.2">
      <c r="A71" t="s">
        <v>68</v>
      </c>
      <c r="B71">
        <v>0.109</v>
      </c>
      <c r="C71" s="1">
        <v>58.245699999999999</v>
      </c>
      <c r="D71" s="1">
        <v>19.683</v>
      </c>
      <c r="E71">
        <v>6.9</v>
      </c>
      <c r="F71">
        <v>6.4</v>
      </c>
      <c r="G71">
        <v>7.3</v>
      </c>
      <c r="H71">
        <v>62.1</v>
      </c>
      <c r="I71">
        <v>60.1</v>
      </c>
      <c r="J71">
        <v>64.099999999999994</v>
      </c>
      <c r="K71">
        <v>1.4</v>
      </c>
      <c r="L71">
        <v>1.37</v>
      </c>
      <c r="M71">
        <v>1.46</v>
      </c>
      <c r="N71">
        <v>0.66</v>
      </c>
      <c r="O71">
        <v>9</v>
      </c>
      <c r="P71">
        <v>8.6999999999999993</v>
      </c>
      <c r="Q71">
        <v>9.3000000000000007</v>
      </c>
      <c r="R71">
        <v>12.6</v>
      </c>
      <c r="S71">
        <v>12.2</v>
      </c>
      <c r="T71">
        <v>12.9</v>
      </c>
    </row>
    <row r="72" spans="1:20" x14ac:dyDescent="0.2">
      <c r="A72" t="s">
        <v>69</v>
      </c>
      <c r="B72">
        <v>0.42499999999999999</v>
      </c>
      <c r="C72" s="1">
        <v>59.726300000000002</v>
      </c>
      <c r="D72" s="1">
        <v>-29.925899999999999</v>
      </c>
      <c r="E72">
        <v>28.6</v>
      </c>
      <c r="F72">
        <v>2.6</v>
      </c>
      <c r="G72">
        <v>47.4</v>
      </c>
      <c r="H72">
        <v>193</v>
      </c>
      <c r="I72">
        <v>183.4</v>
      </c>
      <c r="J72">
        <v>205.3</v>
      </c>
      <c r="K72">
        <v>0.7</v>
      </c>
      <c r="L72">
        <v>0.6</v>
      </c>
      <c r="M72">
        <v>0.78</v>
      </c>
      <c r="N72">
        <v>0.56000000000000005</v>
      </c>
      <c r="O72">
        <v>62.3</v>
      </c>
      <c r="P72">
        <v>51.8</v>
      </c>
      <c r="Q72">
        <v>73</v>
      </c>
      <c r="R72">
        <v>83.4</v>
      </c>
      <c r="S72">
        <v>75.8</v>
      </c>
      <c r="T72">
        <v>91.1</v>
      </c>
    </row>
    <row r="73" spans="1:20" x14ac:dyDescent="0.2">
      <c r="A73" t="s">
        <v>71</v>
      </c>
      <c r="B73">
        <v>8.7999999999999995E-2</v>
      </c>
      <c r="C73" s="1">
        <v>63.354999999999997</v>
      </c>
      <c r="D73" s="1">
        <v>10.465299999999999</v>
      </c>
      <c r="E73">
        <v>8</v>
      </c>
      <c r="F73">
        <v>6.9</v>
      </c>
      <c r="G73">
        <v>9.1</v>
      </c>
      <c r="H73">
        <v>132.69999999999999</v>
      </c>
      <c r="I73">
        <v>130.1</v>
      </c>
      <c r="J73">
        <v>134.30000000000001</v>
      </c>
      <c r="K73">
        <v>1.03</v>
      </c>
      <c r="L73">
        <v>1.01</v>
      </c>
      <c r="M73">
        <v>1.06</v>
      </c>
      <c r="N73">
        <v>2.2599999999999998</v>
      </c>
      <c r="O73">
        <v>19.5</v>
      </c>
      <c r="P73">
        <v>19</v>
      </c>
      <c r="Q73">
        <v>20.100000000000001</v>
      </c>
      <c r="R73">
        <v>31.6</v>
      </c>
      <c r="S73">
        <v>30.9</v>
      </c>
      <c r="T73">
        <v>32.299999999999997</v>
      </c>
    </row>
    <row r="74" spans="1:20" x14ac:dyDescent="0.2">
      <c r="A74" t="s">
        <v>72</v>
      </c>
      <c r="B74">
        <v>0.42</v>
      </c>
      <c r="C74" s="1">
        <v>64.039400000000001</v>
      </c>
      <c r="D74" s="1">
        <v>-24.0655</v>
      </c>
      <c r="E74">
        <v>26.1</v>
      </c>
      <c r="F74">
        <v>-145</v>
      </c>
      <c r="G74">
        <v>152.1</v>
      </c>
      <c r="H74">
        <v>326.5</v>
      </c>
      <c r="I74">
        <v>299.60000000000002</v>
      </c>
      <c r="J74">
        <v>356.1</v>
      </c>
      <c r="K74">
        <v>0.35</v>
      </c>
      <c r="L74">
        <v>0.23</v>
      </c>
      <c r="M74">
        <v>0.56999999999999995</v>
      </c>
      <c r="N74">
        <v>0.6</v>
      </c>
      <c r="O74">
        <v>163.4</v>
      </c>
      <c r="P74">
        <v>111.6</v>
      </c>
      <c r="Q74">
        <v>215.7</v>
      </c>
      <c r="R74">
        <v>199.3</v>
      </c>
      <c r="S74">
        <v>155.6</v>
      </c>
      <c r="T74">
        <v>243.7</v>
      </c>
    </row>
    <row r="75" spans="1:20" x14ac:dyDescent="0.2">
      <c r="A75" t="s">
        <v>423</v>
      </c>
      <c r="B75">
        <v>0.44</v>
      </c>
      <c r="C75" s="1">
        <v>64.392600000000002</v>
      </c>
      <c r="D75" s="1">
        <v>-11.909599999999999</v>
      </c>
      <c r="E75">
        <v>15.5</v>
      </c>
      <c r="F75">
        <v>5.3</v>
      </c>
      <c r="G75">
        <v>29.1</v>
      </c>
      <c r="H75">
        <v>187.7</v>
      </c>
      <c r="I75">
        <v>178</v>
      </c>
      <c r="J75">
        <v>195.3</v>
      </c>
      <c r="K75">
        <v>0.86</v>
      </c>
      <c r="L75">
        <v>0.82</v>
      </c>
      <c r="M75">
        <v>0.93</v>
      </c>
      <c r="N75">
        <v>1.41</v>
      </c>
      <c r="O75">
        <v>40.4</v>
      </c>
      <c r="P75">
        <v>33</v>
      </c>
      <c r="Q75">
        <v>48.3</v>
      </c>
      <c r="R75">
        <v>59.4</v>
      </c>
      <c r="S75">
        <v>54.2</v>
      </c>
      <c r="T75">
        <v>65.3</v>
      </c>
    </row>
    <row r="76" spans="1:20" x14ac:dyDescent="0.2">
      <c r="A76" t="s">
        <v>425</v>
      </c>
      <c r="B76">
        <v>1.23E-2</v>
      </c>
      <c r="C76" s="1">
        <v>64.908299999999997</v>
      </c>
      <c r="D76" s="1">
        <v>2.4102000000000001</v>
      </c>
      <c r="E76">
        <v>1.3</v>
      </c>
      <c r="F76">
        <v>0.9</v>
      </c>
      <c r="G76">
        <v>1.9</v>
      </c>
      <c r="H76">
        <v>110.9</v>
      </c>
      <c r="I76">
        <v>106.6</v>
      </c>
      <c r="J76">
        <v>115.5</v>
      </c>
      <c r="K76">
        <v>0.78</v>
      </c>
      <c r="L76">
        <v>0.75</v>
      </c>
      <c r="M76">
        <v>0.81</v>
      </c>
      <c r="N76">
        <v>5</v>
      </c>
      <c r="O76">
        <v>19.5</v>
      </c>
      <c r="P76">
        <v>19.100000000000001</v>
      </c>
      <c r="Q76">
        <v>20</v>
      </c>
      <c r="R76">
        <v>32.6</v>
      </c>
      <c r="S76">
        <v>31.8</v>
      </c>
      <c r="T76">
        <v>33.200000000000003</v>
      </c>
    </row>
    <row r="77" spans="1:20" x14ac:dyDescent="0.2">
      <c r="A77" t="s">
        <v>73</v>
      </c>
      <c r="B77">
        <v>0.04</v>
      </c>
      <c r="C77" s="1">
        <v>66.463399999999993</v>
      </c>
      <c r="D77" s="1">
        <v>-8.5603999999999996</v>
      </c>
      <c r="E77">
        <v>8.3000000000000007</v>
      </c>
      <c r="F77">
        <v>6.2</v>
      </c>
      <c r="G77">
        <v>9.8000000000000007</v>
      </c>
      <c r="H77">
        <v>130.30000000000001</v>
      </c>
      <c r="I77">
        <v>126.2</v>
      </c>
      <c r="J77">
        <v>134.69999999999999</v>
      </c>
      <c r="K77">
        <v>0.98</v>
      </c>
      <c r="L77">
        <v>0.92</v>
      </c>
      <c r="M77">
        <v>1.04</v>
      </c>
      <c r="N77">
        <v>1.9</v>
      </c>
      <c r="O77">
        <v>20.9</v>
      </c>
      <c r="P77">
        <v>19.8</v>
      </c>
      <c r="Q77">
        <v>21.9</v>
      </c>
      <c r="R77">
        <v>33.4</v>
      </c>
      <c r="S77">
        <v>31.9</v>
      </c>
      <c r="T77">
        <v>35</v>
      </c>
    </row>
    <row r="78" spans="1:20" x14ac:dyDescent="0.2">
      <c r="A78" t="s">
        <v>428</v>
      </c>
      <c r="B78">
        <v>3.9E-2</v>
      </c>
      <c r="C78" s="1">
        <v>67.156899999999993</v>
      </c>
      <c r="D78" s="1">
        <v>-53.840200000000003</v>
      </c>
      <c r="E78">
        <v>23.3</v>
      </c>
      <c r="F78">
        <v>-9.1</v>
      </c>
      <c r="G78">
        <v>57.6</v>
      </c>
      <c r="H78">
        <v>151.80000000000001</v>
      </c>
      <c r="I78">
        <v>140.69999999999999</v>
      </c>
      <c r="J78">
        <v>161.1</v>
      </c>
      <c r="K78">
        <v>0.54</v>
      </c>
      <c r="L78">
        <v>0.37</v>
      </c>
      <c r="M78">
        <v>0.8</v>
      </c>
      <c r="N78">
        <v>0.85</v>
      </c>
      <c r="O78">
        <v>64.099999999999994</v>
      </c>
      <c r="P78">
        <v>51.8</v>
      </c>
      <c r="Q78">
        <v>76.3</v>
      </c>
      <c r="R78">
        <v>80</v>
      </c>
      <c r="S78">
        <v>68.900000000000006</v>
      </c>
      <c r="T78">
        <v>91</v>
      </c>
    </row>
    <row r="79" spans="1:20" x14ac:dyDescent="0.2">
      <c r="A79" t="s">
        <v>74</v>
      </c>
      <c r="B79">
        <v>0.39900000000000002</v>
      </c>
      <c r="C79" s="1">
        <v>67.400000000000006</v>
      </c>
      <c r="D79" s="1">
        <v>-2.8854000000000002</v>
      </c>
      <c r="E79">
        <v>14.4</v>
      </c>
      <c r="F79">
        <v>6.6</v>
      </c>
      <c r="G79">
        <v>17.8</v>
      </c>
      <c r="H79">
        <v>120.3</v>
      </c>
      <c r="I79">
        <v>112.6</v>
      </c>
      <c r="J79">
        <v>131.69999999999999</v>
      </c>
      <c r="K79">
        <v>1.18</v>
      </c>
      <c r="L79">
        <v>1.03</v>
      </c>
      <c r="M79">
        <v>1.27</v>
      </c>
      <c r="N79">
        <v>0.31</v>
      </c>
      <c r="O79">
        <v>20.399999999999999</v>
      </c>
      <c r="P79">
        <v>17</v>
      </c>
      <c r="Q79">
        <v>23.9</v>
      </c>
      <c r="R79">
        <v>30</v>
      </c>
      <c r="S79">
        <v>27.4</v>
      </c>
      <c r="T79">
        <v>32.6</v>
      </c>
    </row>
    <row r="80" spans="1:20" x14ac:dyDescent="0.2">
      <c r="A80" t="s">
        <v>430</v>
      </c>
      <c r="B80">
        <v>5.8900000000000001E-2</v>
      </c>
      <c r="C80" s="1">
        <v>67.804400000000001</v>
      </c>
      <c r="D80" s="1">
        <v>-61.453699999999998</v>
      </c>
      <c r="E80">
        <v>35</v>
      </c>
      <c r="F80">
        <v>-88.6</v>
      </c>
      <c r="G80">
        <v>115.9</v>
      </c>
      <c r="H80">
        <v>407.4</v>
      </c>
      <c r="I80">
        <v>396.1</v>
      </c>
      <c r="J80">
        <v>418.2</v>
      </c>
      <c r="K80">
        <v>0.4</v>
      </c>
      <c r="L80">
        <v>0.3</v>
      </c>
      <c r="M80">
        <v>0.49</v>
      </c>
      <c r="N80">
        <v>3.3</v>
      </c>
      <c r="O80">
        <v>184.9</v>
      </c>
      <c r="P80">
        <v>155.9</v>
      </c>
      <c r="Q80">
        <v>213.2</v>
      </c>
      <c r="R80">
        <v>232.6</v>
      </c>
      <c r="S80">
        <v>212.9</v>
      </c>
      <c r="T80">
        <v>252.5</v>
      </c>
    </row>
    <row r="81" spans="1:20" x14ac:dyDescent="0.2">
      <c r="A81" t="s">
        <v>431</v>
      </c>
      <c r="B81">
        <v>3.2899999999999999E-2</v>
      </c>
      <c r="C81" s="1">
        <v>68.408500000000004</v>
      </c>
      <c r="D81" s="1">
        <v>-13.260999999999999</v>
      </c>
      <c r="E81">
        <v>5.2</v>
      </c>
      <c r="F81">
        <v>4.9000000000000004</v>
      </c>
      <c r="G81">
        <v>5.8</v>
      </c>
      <c r="H81">
        <v>160.19999999999999</v>
      </c>
      <c r="I81">
        <v>157.1</v>
      </c>
      <c r="J81">
        <v>163.6</v>
      </c>
      <c r="K81">
        <v>1.03</v>
      </c>
      <c r="L81">
        <v>1.01</v>
      </c>
      <c r="M81">
        <v>1.06</v>
      </c>
      <c r="N81">
        <v>5.65</v>
      </c>
      <c r="O81">
        <v>19.7</v>
      </c>
      <c r="P81">
        <v>19.399999999999999</v>
      </c>
      <c r="Q81">
        <v>20.100000000000001</v>
      </c>
      <c r="R81">
        <v>34.799999999999997</v>
      </c>
      <c r="S81">
        <v>34.299999999999997</v>
      </c>
      <c r="T81">
        <v>35.299999999999997</v>
      </c>
    </row>
    <row r="82" spans="1:20" x14ac:dyDescent="0.2">
      <c r="A82" t="s">
        <v>432</v>
      </c>
      <c r="B82">
        <v>0.28499999999999998</v>
      </c>
      <c r="C82" s="1">
        <v>69.2898</v>
      </c>
      <c r="D82" s="1">
        <v>0.73219999999999996</v>
      </c>
      <c r="E82">
        <v>39.799999999999997</v>
      </c>
      <c r="F82">
        <v>34.9</v>
      </c>
      <c r="G82">
        <v>45.6</v>
      </c>
      <c r="H82">
        <v>129</v>
      </c>
      <c r="I82">
        <v>121.8</v>
      </c>
      <c r="J82">
        <v>135</v>
      </c>
      <c r="K82">
        <v>1.3</v>
      </c>
      <c r="L82">
        <v>1.21</v>
      </c>
      <c r="M82">
        <v>1.41</v>
      </c>
      <c r="N82">
        <v>0.79</v>
      </c>
      <c r="O82">
        <v>44.6</v>
      </c>
      <c r="P82">
        <v>40.299999999999997</v>
      </c>
      <c r="Q82">
        <v>49</v>
      </c>
      <c r="R82">
        <v>51.1</v>
      </c>
      <c r="S82">
        <v>47.3</v>
      </c>
      <c r="T82">
        <v>55</v>
      </c>
    </row>
    <row r="83" spans="1:20" x14ac:dyDescent="0.2">
      <c r="A83" t="s">
        <v>75</v>
      </c>
      <c r="B83">
        <v>0.23</v>
      </c>
      <c r="C83" s="1">
        <v>69.752300000000005</v>
      </c>
      <c r="D83" s="1">
        <v>7.2683999999999997</v>
      </c>
      <c r="E83">
        <v>62.2</v>
      </c>
      <c r="F83">
        <v>42.5</v>
      </c>
      <c r="G83">
        <v>74.3</v>
      </c>
      <c r="H83">
        <v>168.4</v>
      </c>
      <c r="I83">
        <v>161.6</v>
      </c>
      <c r="J83">
        <v>179.9</v>
      </c>
      <c r="K83">
        <v>1.03</v>
      </c>
      <c r="L83">
        <v>0.9</v>
      </c>
      <c r="M83">
        <v>1.1200000000000001</v>
      </c>
      <c r="N83">
        <v>0.83</v>
      </c>
      <c r="O83">
        <v>71</v>
      </c>
      <c r="P83">
        <v>59.7</v>
      </c>
      <c r="Q83">
        <v>81.7</v>
      </c>
      <c r="R83">
        <v>82.3</v>
      </c>
      <c r="S83">
        <v>73</v>
      </c>
      <c r="T83">
        <v>90.6</v>
      </c>
    </row>
    <row r="84" spans="1:20" x14ac:dyDescent="0.2">
      <c r="A84" t="s">
        <v>76</v>
      </c>
      <c r="B84">
        <v>0.20799999999999999</v>
      </c>
      <c r="C84" s="1">
        <v>69.759</v>
      </c>
      <c r="D84" s="1">
        <v>5.3453999999999997</v>
      </c>
      <c r="E84">
        <v>6.7</v>
      </c>
      <c r="F84">
        <v>3.7</v>
      </c>
      <c r="G84">
        <v>8.9</v>
      </c>
      <c r="H84">
        <v>127.9</v>
      </c>
      <c r="I84">
        <v>121.9</v>
      </c>
      <c r="J84">
        <v>133.5</v>
      </c>
      <c r="K84">
        <v>1.1399999999999999</v>
      </c>
      <c r="L84">
        <v>1.06</v>
      </c>
      <c r="M84">
        <v>1.19</v>
      </c>
      <c r="N84">
        <v>0.43</v>
      </c>
      <c r="O84">
        <v>15.6</v>
      </c>
      <c r="P84">
        <v>14.4</v>
      </c>
      <c r="Q84">
        <v>16.899999999999999</v>
      </c>
      <c r="R84">
        <v>26.4</v>
      </c>
      <c r="S84">
        <v>25</v>
      </c>
      <c r="T84">
        <v>27.8</v>
      </c>
    </row>
    <row r="85" spans="1:20" x14ac:dyDescent="0.2">
      <c r="A85" t="s">
        <v>77</v>
      </c>
      <c r="B85">
        <v>0.19</v>
      </c>
      <c r="C85" s="1">
        <v>70.791399999999996</v>
      </c>
      <c r="D85" s="1">
        <v>2.1720000000000002</v>
      </c>
      <c r="E85">
        <v>18</v>
      </c>
      <c r="F85">
        <v>11.3</v>
      </c>
      <c r="G85">
        <v>23.7</v>
      </c>
      <c r="H85">
        <v>154.30000000000001</v>
      </c>
      <c r="I85">
        <v>145.19999999999999</v>
      </c>
      <c r="J85">
        <v>161.80000000000001</v>
      </c>
      <c r="K85">
        <v>1.03</v>
      </c>
      <c r="L85">
        <v>0.93</v>
      </c>
      <c r="M85">
        <v>1.1299999999999999</v>
      </c>
      <c r="N85">
        <v>0.12</v>
      </c>
      <c r="O85">
        <v>30.5</v>
      </c>
      <c r="P85">
        <v>27.4</v>
      </c>
      <c r="Q85">
        <v>33.6</v>
      </c>
      <c r="R85">
        <v>43.9</v>
      </c>
      <c r="S85">
        <v>40.799999999999997</v>
      </c>
      <c r="T85">
        <v>47</v>
      </c>
    </row>
    <row r="86" spans="1:20" x14ac:dyDescent="0.2">
      <c r="A86" t="s">
        <v>79</v>
      </c>
      <c r="B86">
        <v>0.17199999999999999</v>
      </c>
      <c r="C86" s="1">
        <v>72.483000000000004</v>
      </c>
      <c r="D86" s="1">
        <v>-44.673099999999998</v>
      </c>
      <c r="E86">
        <v>123.9</v>
      </c>
      <c r="F86">
        <v>107.8</v>
      </c>
      <c r="G86">
        <v>139.4</v>
      </c>
      <c r="H86">
        <v>157.5</v>
      </c>
      <c r="I86">
        <v>151</v>
      </c>
      <c r="J86">
        <v>169.4</v>
      </c>
      <c r="K86">
        <v>1.64</v>
      </c>
      <c r="L86">
        <v>1.38</v>
      </c>
      <c r="M86">
        <v>1.89</v>
      </c>
      <c r="N86">
        <v>0.42</v>
      </c>
      <c r="O86">
        <v>125.2</v>
      </c>
      <c r="P86">
        <v>110.4</v>
      </c>
      <c r="Q86">
        <v>140.1</v>
      </c>
      <c r="R86">
        <v>127.3</v>
      </c>
      <c r="S86">
        <v>113.4</v>
      </c>
      <c r="T86">
        <v>141.6</v>
      </c>
    </row>
    <row r="87" spans="1:20" x14ac:dyDescent="0.2">
      <c r="A87" t="s">
        <v>435</v>
      </c>
      <c r="B87">
        <v>2.1999999999999999E-2</v>
      </c>
      <c r="C87" s="1">
        <v>72.527100000000004</v>
      </c>
      <c r="D87" s="1">
        <v>45.0518</v>
      </c>
      <c r="E87">
        <v>-64.5</v>
      </c>
      <c r="F87">
        <v>-73.2</v>
      </c>
      <c r="G87">
        <v>189.2</v>
      </c>
      <c r="H87">
        <v>302.60000000000002</v>
      </c>
      <c r="I87">
        <v>287.3</v>
      </c>
      <c r="J87">
        <v>308.3</v>
      </c>
      <c r="K87">
        <v>0.16</v>
      </c>
      <c r="L87">
        <v>0.15</v>
      </c>
      <c r="M87">
        <v>0.78</v>
      </c>
      <c r="N87">
        <v>1.89</v>
      </c>
      <c r="O87">
        <v>196.6</v>
      </c>
      <c r="P87">
        <v>174.5</v>
      </c>
      <c r="Q87">
        <v>218.3</v>
      </c>
      <c r="R87">
        <v>217.9</v>
      </c>
      <c r="S87">
        <v>199.5</v>
      </c>
      <c r="T87">
        <v>236.6</v>
      </c>
    </row>
    <row r="88" spans="1:20" x14ac:dyDescent="0.2">
      <c r="A88" t="s">
        <v>80</v>
      </c>
      <c r="B88">
        <v>0.25330000000000003</v>
      </c>
      <c r="C88" s="1">
        <v>73.527799999999999</v>
      </c>
      <c r="D88" s="1">
        <v>-10.2209</v>
      </c>
      <c r="E88">
        <v>94.4</v>
      </c>
      <c r="F88">
        <v>53.6</v>
      </c>
      <c r="G88">
        <v>121.7</v>
      </c>
      <c r="H88">
        <v>301.39999999999998</v>
      </c>
      <c r="I88">
        <v>281.8</v>
      </c>
      <c r="J88">
        <v>324.60000000000002</v>
      </c>
      <c r="K88">
        <v>1.55</v>
      </c>
      <c r="L88">
        <v>1.1599999999999999</v>
      </c>
      <c r="M88">
        <v>1.83</v>
      </c>
      <c r="N88">
        <v>0.23</v>
      </c>
      <c r="O88">
        <v>96.7</v>
      </c>
      <c r="P88">
        <v>70.2</v>
      </c>
      <c r="Q88">
        <v>125.5</v>
      </c>
      <c r="R88">
        <v>111.3</v>
      </c>
      <c r="S88">
        <v>90.6</v>
      </c>
      <c r="T88">
        <v>132.6</v>
      </c>
    </row>
    <row r="89" spans="1:20" x14ac:dyDescent="0.2">
      <c r="A89" t="s">
        <v>438</v>
      </c>
      <c r="B89">
        <v>0.55000000000000004</v>
      </c>
      <c r="C89" s="1">
        <v>73.5471</v>
      </c>
      <c r="D89" s="1">
        <v>-3.0158999999999998</v>
      </c>
      <c r="E89">
        <v>217.3</v>
      </c>
      <c r="F89">
        <v>162.5</v>
      </c>
      <c r="G89">
        <v>241.5</v>
      </c>
      <c r="H89">
        <v>251.5</v>
      </c>
      <c r="I89">
        <v>236.7</v>
      </c>
      <c r="J89">
        <v>270.5</v>
      </c>
      <c r="K89">
        <v>1.46</v>
      </c>
      <c r="L89">
        <v>1.01</v>
      </c>
      <c r="M89">
        <v>1.62</v>
      </c>
      <c r="N89">
        <v>0.32</v>
      </c>
      <c r="O89">
        <v>207.1</v>
      </c>
      <c r="P89">
        <v>170.8</v>
      </c>
      <c r="Q89">
        <v>243.2</v>
      </c>
      <c r="R89">
        <v>211.5</v>
      </c>
      <c r="S89">
        <v>178.7</v>
      </c>
      <c r="T89">
        <v>244.6</v>
      </c>
    </row>
    <row r="90" spans="1:20" x14ac:dyDescent="0.2">
      <c r="A90" t="s">
        <v>439</v>
      </c>
      <c r="B90">
        <v>3.1E-2</v>
      </c>
      <c r="C90" s="1">
        <v>73.718100000000007</v>
      </c>
      <c r="D90" s="1">
        <v>-18.115400000000001</v>
      </c>
      <c r="E90">
        <v>-3.1</v>
      </c>
      <c r="F90">
        <v>-14.9</v>
      </c>
      <c r="G90">
        <v>6.9</v>
      </c>
      <c r="H90">
        <v>202.8</v>
      </c>
      <c r="I90">
        <v>192.4</v>
      </c>
      <c r="J90">
        <v>213.7</v>
      </c>
      <c r="K90">
        <v>0.66</v>
      </c>
      <c r="L90">
        <v>0.55000000000000004</v>
      </c>
      <c r="M90">
        <v>0.8</v>
      </c>
      <c r="N90">
        <v>0.79</v>
      </c>
      <c r="O90">
        <v>42.5</v>
      </c>
      <c r="P90">
        <v>38.1</v>
      </c>
      <c r="Q90">
        <v>47.1</v>
      </c>
      <c r="R90">
        <v>68.2</v>
      </c>
      <c r="S90">
        <v>61.4</v>
      </c>
      <c r="T90">
        <v>75</v>
      </c>
    </row>
    <row r="91" spans="1:20" x14ac:dyDescent="0.2">
      <c r="A91" t="s">
        <v>82</v>
      </c>
      <c r="B91">
        <v>0.2</v>
      </c>
      <c r="C91" s="1">
        <v>77.571299999999994</v>
      </c>
      <c r="D91" s="1">
        <v>-45.3215</v>
      </c>
      <c r="E91">
        <v>123.1</v>
      </c>
      <c r="F91">
        <v>98.7</v>
      </c>
      <c r="G91">
        <v>146.19999999999999</v>
      </c>
      <c r="H91">
        <v>188.5</v>
      </c>
      <c r="I91">
        <v>178.4</v>
      </c>
      <c r="J91">
        <v>198.1</v>
      </c>
      <c r="K91">
        <v>1.26</v>
      </c>
      <c r="L91">
        <v>1.08</v>
      </c>
      <c r="M91">
        <v>1.51</v>
      </c>
      <c r="N91">
        <v>0.31</v>
      </c>
      <c r="O91">
        <v>126.4</v>
      </c>
      <c r="P91">
        <v>105.9</v>
      </c>
      <c r="Q91">
        <v>148.1</v>
      </c>
      <c r="R91">
        <v>131.80000000000001</v>
      </c>
      <c r="S91">
        <v>113.7</v>
      </c>
      <c r="T91">
        <v>150.6</v>
      </c>
    </row>
    <row r="92" spans="1:20" x14ac:dyDescent="0.2">
      <c r="A92" t="s">
        <v>442</v>
      </c>
      <c r="B92">
        <v>0.22</v>
      </c>
      <c r="C92" s="1">
        <v>77.698499999999996</v>
      </c>
      <c r="D92" s="1">
        <v>-8.0274999999999999</v>
      </c>
      <c r="E92">
        <v>304.39999999999998</v>
      </c>
      <c r="F92">
        <v>39.299999999999997</v>
      </c>
      <c r="G92">
        <v>312.3</v>
      </c>
      <c r="H92">
        <v>372.9</v>
      </c>
      <c r="I92">
        <v>358.5</v>
      </c>
      <c r="J92">
        <v>410.6</v>
      </c>
      <c r="K92">
        <v>0.76</v>
      </c>
      <c r="L92">
        <v>0.2</v>
      </c>
      <c r="M92">
        <v>0.66</v>
      </c>
      <c r="N92">
        <v>0.77</v>
      </c>
      <c r="O92">
        <v>288.3</v>
      </c>
      <c r="P92">
        <v>241.4</v>
      </c>
      <c r="Q92">
        <v>336.3</v>
      </c>
      <c r="R92">
        <v>309.10000000000002</v>
      </c>
      <c r="S92">
        <v>272.3</v>
      </c>
      <c r="T92">
        <v>351.4</v>
      </c>
    </row>
    <row r="93" spans="1:20" x14ac:dyDescent="0.2">
      <c r="A93" t="s">
        <v>444</v>
      </c>
      <c r="B93">
        <v>0.29499999999999998</v>
      </c>
      <c r="C93" s="1">
        <v>79.1571</v>
      </c>
      <c r="D93" s="1">
        <v>-54.513100000000001</v>
      </c>
      <c r="E93">
        <v>-20.8</v>
      </c>
      <c r="F93">
        <v>-131.19999999999999</v>
      </c>
      <c r="G93">
        <v>3.2</v>
      </c>
      <c r="H93">
        <v>83.8</v>
      </c>
      <c r="I93">
        <v>71.400000000000006</v>
      </c>
      <c r="J93">
        <v>99.5</v>
      </c>
      <c r="K93">
        <v>0.67</v>
      </c>
      <c r="L93">
        <v>0.41</v>
      </c>
      <c r="M93">
        <v>0.73</v>
      </c>
      <c r="N93">
        <v>1.18</v>
      </c>
      <c r="O93">
        <v>-13.8</v>
      </c>
      <c r="P93">
        <v>-50.7</v>
      </c>
      <c r="Q93">
        <v>23</v>
      </c>
      <c r="R93">
        <v>4.7</v>
      </c>
      <c r="S93">
        <v>-24.4</v>
      </c>
      <c r="T93">
        <v>34.6</v>
      </c>
    </row>
    <row r="94" spans="1:20" x14ac:dyDescent="0.2">
      <c r="A94" t="s">
        <v>85</v>
      </c>
      <c r="B94">
        <v>0.34</v>
      </c>
      <c r="C94" s="1">
        <v>80.1751</v>
      </c>
      <c r="D94" s="1">
        <v>-13.4803</v>
      </c>
      <c r="E94">
        <v>88</v>
      </c>
      <c r="F94">
        <v>62</v>
      </c>
      <c r="G94">
        <v>104.7</v>
      </c>
      <c r="H94">
        <v>166.3</v>
      </c>
      <c r="I94">
        <v>159.19999999999999</v>
      </c>
      <c r="J94">
        <v>178.4</v>
      </c>
      <c r="K94">
        <v>1.31</v>
      </c>
      <c r="L94">
        <v>1.1200000000000001</v>
      </c>
      <c r="M94">
        <v>1.41</v>
      </c>
      <c r="N94">
        <v>0.17</v>
      </c>
      <c r="O94">
        <v>88.2</v>
      </c>
      <c r="P94">
        <v>69</v>
      </c>
      <c r="Q94">
        <v>107.8</v>
      </c>
      <c r="R94">
        <v>95.1</v>
      </c>
      <c r="S94">
        <v>78</v>
      </c>
      <c r="T94">
        <v>112.5</v>
      </c>
    </row>
    <row r="95" spans="1:20" x14ac:dyDescent="0.2">
      <c r="A95" t="s">
        <v>87</v>
      </c>
      <c r="B95">
        <v>0.191</v>
      </c>
      <c r="C95" s="1">
        <v>81.453400000000002</v>
      </c>
      <c r="D95" s="1">
        <v>-47.252800000000001</v>
      </c>
      <c r="E95">
        <v>170.6</v>
      </c>
      <c r="F95">
        <v>100.9</v>
      </c>
      <c r="G95">
        <v>201</v>
      </c>
      <c r="H95">
        <v>234.9</v>
      </c>
      <c r="I95">
        <v>216.8</v>
      </c>
      <c r="J95">
        <v>261.39999999999998</v>
      </c>
      <c r="K95">
        <v>1.3</v>
      </c>
      <c r="L95">
        <v>0.81</v>
      </c>
      <c r="M95">
        <v>1.61</v>
      </c>
      <c r="N95">
        <v>0.08</v>
      </c>
      <c r="O95">
        <v>161</v>
      </c>
      <c r="P95">
        <v>120.1</v>
      </c>
      <c r="Q95">
        <v>201.7</v>
      </c>
      <c r="R95">
        <v>170.2</v>
      </c>
      <c r="S95">
        <v>135.9</v>
      </c>
      <c r="T95">
        <v>205.9</v>
      </c>
    </row>
    <row r="96" spans="1:20" x14ac:dyDescent="0.2">
      <c r="A96" t="s">
        <v>88</v>
      </c>
      <c r="B96">
        <v>0.158</v>
      </c>
      <c r="C96" s="1">
        <v>82.060699999999997</v>
      </c>
      <c r="D96" s="1">
        <v>-29.721900000000002</v>
      </c>
      <c r="E96">
        <v>69.2</v>
      </c>
      <c r="F96">
        <v>-26.7</v>
      </c>
      <c r="G96">
        <v>83.2</v>
      </c>
      <c r="H96">
        <v>190.1</v>
      </c>
      <c r="I96">
        <v>182.2</v>
      </c>
      <c r="J96">
        <v>213.2</v>
      </c>
      <c r="K96">
        <v>0.92</v>
      </c>
      <c r="L96">
        <v>0.53</v>
      </c>
      <c r="M96">
        <v>0.95</v>
      </c>
      <c r="N96">
        <v>0.34</v>
      </c>
      <c r="O96">
        <v>67.2</v>
      </c>
      <c r="P96">
        <v>39</v>
      </c>
      <c r="Q96">
        <v>96.3</v>
      </c>
      <c r="R96">
        <v>88</v>
      </c>
      <c r="S96">
        <v>66.599999999999994</v>
      </c>
      <c r="T96">
        <v>109.1</v>
      </c>
    </row>
    <row r="97" spans="1:20" x14ac:dyDescent="0.2">
      <c r="A97" t="s">
        <v>89</v>
      </c>
      <c r="B97">
        <v>0.28399999999999997</v>
      </c>
      <c r="C97" s="1">
        <v>82.2209</v>
      </c>
      <c r="D97" s="1">
        <v>-39.470500000000001</v>
      </c>
      <c r="E97">
        <v>35.5</v>
      </c>
      <c r="F97">
        <v>27.4</v>
      </c>
      <c r="G97">
        <v>44.7</v>
      </c>
      <c r="H97">
        <v>187.7</v>
      </c>
      <c r="I97">
        <v>178.5</v>
      </c>
      <c r="J97">
        <v>196.6</v>
      </c>
      <c r="K97">
        <v>1.02</v>
      </c>
      <c r="L97">
        <v>0.94</v>
      </c>
      <c r="M97">
        <v>1.1399999999999999</v>
      </c>
      <c r="N97">
        <v>0.8</v>
      </c>
      <c r="O97">
        <v>50.5</v>
      </c>
      <c r="P97">
        <v>45.1</v>
      </c>
      <c r="Q97">
        <v>55.9</v>
      </c>
      <c r="R97">
        <v>65.3</v>
      </c>
      <c r="S97">
        <v>61</v>
      </c>
      <c r="T97">
        <v>70</v>
      </c>
    </row>
    <row r="98" spans="1:20" x14ac:dyDescent="0.2">
      <c r="A98" t="s">
        <v>90</v>
      </c>
      <c r="B98">
        <v>0.21</v>
      </c>
      <c r="C98" s="1">
        <v>82.869500000000002</v>
      </c>
      <c r="D98" s="1">
        <v>-75.1768</v>
      </c>
      <c r="E98">
        <v>-63.2</v>
      </c>
      <c r="F98">
        <v>-71.5</v>
      </c>
      <c r="G98">
        <v>-51.3</v>
      </c>
      <c r="H98">
        <v>98.5</v>
      </c>
      <c r="I98">
        <v>92.3</v>
      </c>
      <c r="J98">
        <v>102.8</v>
      </c>
      <c r="K98">
        <v>0.67</v>
      </c>
      <c r="L98">
        <v>0.64</v>
      </c>
      <c r="M98">
        <v>0.74</v>
      </c>
      <c r="N98">
        <v>0.24</v>
      </c>
      <c r="O98">
        <v>-28</v>
      </c>
      <c r="P98">
        <v>-31.3</v>
      </c>
      <c r="Q98">
        <v>-24.7</v>
      </c>
      <c r="R98">
        <v>-8.1999999999999993</v>
      </c>
      <c r="S98">
        <v>-9.5</v>
      </c>
      <c r="T98">
        <v>-6.9</v>
      </c>
    </row>
    <row r="99" spans="1:20" x14ac:dyDescent="0.2">
      <c r="A99" t="s">
        <v>447</v>
      </c>
      <c r="B99">
        <v>0.154</v>
      </c>
      <c r="C99" s="1">
        <v>83.105699999999999</v>
      </c>
      <c r="D99" s="1">
        <v>-11.542199999999999</v>
      </c>
      <c r="E99">
        <v>212.2</v>
      </c>
      <c r="F99">
        <v>175.9</v>
      </c>
      <c r="G99">
        <v>230.4</v>
      </c>
      <c r="H99">
        <v>279.8</v>
      </c>
      <c r="I99">
        <v>271.7</v>
      </c>
      <c r="J99">
        <v>297</v>
      </c>
      <c r="K99">
        <v>1.1499999999999999</v>
      </c>
      <c r="L99">
        <v>0.88</v>
      </c>
      <c r="M99">
        <v>1.3</v>
      </c>
      <c r="N99">
        <v>0.71</v>
      </c>
      <c r="O99">
        <v>211.3</v>
      </c>
      <c r="P99">
        <v>188.3</v>
      </c>
      <c r="Q99">
        <v>234.5</v>
      </c>
      <c r="R99">
        <v>219.7</v>
      </c>
      <c r="S99">
        <v>199.7</v>
      </c>
      <c r="T99">
        <v>239.4</v>
      </c>
    </row>
    <row r="100" spans="1:20" x14ac:dyDescent="0.2">
      <c r="A100" t="s">
        <v>448</v>
      </c>
      <c r="B100">
        <v>0.27500000000000002</v>
      </c>
      <c r="C100" s="1">
        <v>83.231399999999994</v>
      </c>
      <c r="D100" s="1">
        <v>-37.026400000000002</v>
      </c>
      <c r="E100">
        <v>54</v>
      </c>
      <c r="F100">
        <v>17.2</v>
      </c>
      <c r="G100">
        <v>74.400000000000006</v>
      </c>
      <c r="H100">
        <v>220</v>
      </c>
      <c r="I100">
        <v>208.5</v>
      </c>
      <c r="J100">
        <v>242.3</v>
      </c>
      <c r="K100">
        <v>0.97</v>
      </c>
      <c r="L100">
        <v>0.8</v>
      </c>
      <c r="M100">
        <v>1.08</v>
      </c>
      <c r="N100">
        <v>0.13</v>
      </c>
      <c r="O100">
        <v>68.5</v>
      </c>
      <c r="P100">
        <v>47.6</v>
      </c>
      <c r="Q100">
        <v>88.8</v>
      </c>
      <c r="R100">
        <v>88</v>
      </c>
      <c r="S100">
        <v>72.7</v>
      </c>
      <c r="T100">
        <v>103.4</v>
      </c>
    </row>
    <row r="101" spans="1:20" x14ac:dyDescent="0.2">
      <c r="A101" t="s">
        <v>91</v>
      </c>
      <c r="B101">
        <v>3.5999999999999997E-2</v>
      </c>
      <c r="C101" s="1">
        <v>85.027799999999999</v>
      </c>
      <c r="D101" s="1">
        <v>-40.836599999999997</v>
      </c>
      <c r="E101">
        <v>-7.6</v>
      </c>
      <c r="F101">
        <v>-11.2</v>
      </c>
      <c r="G101">
        <v>-5</v>
      </c>
      <c r="H101">
        <v>161.69999999999999</v>
      </c>
      <c r="I101">
        <v>157.6</v>
      </c>
      <c r="J101">
        <v>168.7</v>
      </c>
      <c r="K101">
        <v>0.64</v>
      </c>
      <c r="L101">
        <v>0.59</v>
      </c>
      <c r="M101">
        <v>0.68</v>
      </c>
      <c r="N101">
        <v>4.29</v>
      </c>
      <c r="O101">
        <v>31.4</v>
      </c>
      <c r="P101">
        <v>29.8</v>
      </c>
      <c r="Q101">
        <v>33</v>
      </c>
      <c r="R101">
        <v>53.2</v>
      </c>
      <c r="S101">
        <v>50.8</v>
      </c>
      <c r="T101">
        <v>55.7</v>
      </c>
    </row>
    <row r="102" spans="1:20" x14ac:dyDescent="0.2">
      <c r="A102" t="s">
        <v>451</v>
      </c>
      <c r="B102">
        <v>0.21</v>
      </c>
      <c r="C102" s="1">
        <v>86.756299999999996</v>
      </c>
      <c r="D102" s="1">
        <v>-39.073999999999998</v>
      </c>
      <c r="E102">
        <v>11</v>
      </c>
      <c r="F102">
        <v>7.1</v>
      </c>
      <c r="G102">
        <v>14.6</v>
      </c>
      <c r="H102">
        <v>137.1</v>
      </c>
      <c r="I102">
        <v>125.6</v>
      </c>
      <c r="J102">
        <v>144.6</v>
      </c>
      <c r="K102">
        <v>1.2</v>
      </c>
      <c r="L102">
        <v>1.0900000000000001</v>
      </c>
      <c r="M102">
        <v>1.3</v>
      </c>
      <c r="N102">
        <v>0.35</v>
      </c>
      <c r="O102">
        <v>19.100000000000001</v>
      </c>
      <c r="P102">
        <v>17.100000000000001</v>
      </c>
      <c r="Q102">
        <v>21.2</v>
      </c>
      <c r="R102">
        <v>29.4</v>
      </c>
      <c r="S102">
        <v>27.3</v>
      </c>
      <c r="T102">
        <v>31.5</v>
      </c>
    </row>
    <row r="103" spans="1:20" x14ac:dyDescent="0.2">
      <c r="A103" t="s">
        <v>92</v>
      </c>
      <c r="B103">
        <v>0.14799999999999999</v>
      </c>
      <c r="C103" s="1">
        <v>86.906499999999994</v>
      </c>
      <c r="D103" s="1">
        <v>-31.871200000000002</v>
      </c>
      <c r="E103">
        <v>208.7</v>
      </c>
      <c r="F103">
        <v>177.2</v>
      </c>
      <c r="G103">
        <v>222.5</v>
      </c>
      <c r="H103">
        <v>244.9</v>
      </c>
      <c r="I103">
        <v>230.1</v>
      </c>
      <c r="J103">
        <v>260.60000000000002</v>
      </c>
      <c r="K103">
        <v>1.82</v>
      </c>
      <c r="L103">
        <v>1.51</v>
      </c>
      <c r="M103">
        <v>1.91</v>
      </c>
      <c r="N103">
        <v>0.53</v>
      </c>
      <c r="O103">
        <v>201.2</v>
      </c>
      <c r="P103">
        <v>178.6</v>
      </c>
      <c r="Q103">
        <v>223.1</v>
      </c>
      <c r="R103">
        <v>203.4</v>
      </c>
      <c r="S103">
        <v>181.8</v>
      </c>
      <c r="T103">
        <v>224.7</v>
      </c>
    </row>
    <row r="104" spans="1:20" x14ac:dyDescent="0.2">
      <c r="A104" t="s">
        <v>452</v>
      </c>
      <c r="B104">
        <v>0.04</v>
      </c>
      <c r="C104" s="1">
        <v>87.159599999999998</v>
      </c>
      <c r="D104" s="1">
        <v>-25.477900000000002</v>
      </c>
      <c r="E104">
        <v>6.1</v>
      </c>
      <c r="F104">
        <v>-7.4</v>
      </c>
      <c r="G104">
        <v>17.8</v>
      </c>
      <c r="H104">
        <v>196.9</v>
      </c>
      <c r="I104">
        <v>181.3</v>
      </c>
      <c r="J104">
        <v>208.2</v>
      </c>
      <c r="K104">
        <v>0.87</v>
      </c>
      <c r="L104">
        <v>0.74</v>
      </c>
      <c r="M104">
        <v>1.02</v>
      </c>
      <c r="N104">
        <v>0.34</v>
      </c>
      <c r="O104">
        <v>32.5</v>
      </c>
      <c r="P104">
        <v>27.9</v>
      </c>
      <c r="Q104">
        <v>37.299999999999997</v>
      </c>
      <c r="R104">
        <v>53.4</v>
      </c>
      <c r="S104">
        <v>48</v>
      </c>
      <c r="T104">
        <v>59.1</v>
      </c>
    </row>
    <row r="105" spans="1:20" x14ac:dyDescent="0.2">
      <c r="A105" t="s">
        <v>93</v>
      </c>
      <c r="B105">
        <v>9.9000000000000005E-2</v>
      </c>
      <c r="C105" s="1">
        <v>88.215900000000005</v>
      </c>
      <c r="D105" s="1">
        <v>-21.053599999999999</v>
      </c>
      <c r="E105">
        <v>-72.900000000000006</v>
      </c>
      <c r="F105">
        <v>-143</v>
      </c>
      <c r="G105">
        <v>-31.7</v>
      </c>
      <c r="H105">
        <v>198.1</v>
      </c>
      <c r="I105">
        <v>186.6</v>
      </c>
      <c r="J105">
        <v>211</v>
      </c>
      <c r="K105">
        <v>0.63</v>
      </c>
      <c r="L105">
        <v>0.51</v>
      </c>
      <c r="M105">
        <v>0.74</v>
      </c>
      <c r="N105">
        <v>0.62</v>
      </c>
      <c r="O105">
        <v>-11.1</v>
      </c>
      <c r="P105">
        <v>-33.5</v>
      </c>
      <c r="Q105">
        <v>10.7</v>
      </c>
      <c r="R105">
        <v>25</v>
      </c>
      <c r="S105">
        <v>11.4</v>
      </c>
      <c r="T105">
        <v>39.299999999999997</v>
      </c>
    </row>
    <row r="106" spans="1:20" x14ac:dyDescent="0.2">
      <c r="A106" t="s">
        <v>94</v>
      </c>
      <c r="B106">
        <v>0.40699999999999997</v>
      </c>
      <c r="C106" s="1">
        <v>88.357399999999998</v>
      </c>
      <c r="D106" s="1">
        <v>-33.708500000000001</v>
      </c>
      <c r="E106">
        <v>188.1</v>
      </c>
      <c r="F106">
        <v>157.80000000000001</v>
      </c>
      <c r="G106">
        <v>214.5</v>
      </c>
      <c r="H106">
        <v>291.7</v>
      </c>
      <c r="I106">
        <v>266</v>
      </c>
      <c r="J106">
        <v>306.60000000000002</v>
      </c>
      <c r="K106">
        <v>1.22</v>
      </c>
      <c r="L106">
        <v>1.1000000000000001</v>
      </c>
      <c r="M106">
        <v>1.39</v>
      </c>
      <c r="N106">
        <v>1.39</v>
      </c>
      <c r="O106">
        <v>193.8</v>
      </c>
      <c r="P106">
        <v>165.9</v>
      </c>
      <c r="Q106">
        <v>218.4</v>
      </c>
      <c r="R106">
        <v>201.9</v>
      </c>
      <c r="S106">
        <v>175.9</v>
      </c>
      <c r="T106">
        <v>225.1</v>
      </c>
    </row>
    <row r="107" spans="1:20" x14ac:dyDescent="0.2">
      <c r="A107" t="s">
        <v>458</v>
      </c>
      <c r="B107">
        <v>0.14099999999999999</v>
      </c>
      <c r="C107" s="1">
        <v>91.474900000000005</v>
      </c>
      <c r="D107" s="1">
        <v>-35.302199999999999</v>
      </c>
      <c r="E107">
        <v>3.4</v>
      </c>
      <c r="F107">
        <v>1.2</v>
      </c>
      <c r="G107">
        <v>5.3</v>
      </c>
      <c r="H107">
        <v>126.2</v>
      </c>
      <c r="I107">
        <v>120.4</v>
      </c>
      <c r="J107">
        <v>131.4</v>
      </c>
      <c r="K107">
        <v>1.05</v>
      </c>
      <c r="L107">
        <v>1</v>
      </c>
      <c r="M107">
        <v>1.1000000000000001</v>
      </c>
      <c r="N107">
        <v>0.53</v>
      </c>
      <c r="O107">
        <v>14.3</v>
      </c>
      <c r="P107">
        <v>13.1</v>
      </c>
      <c r="Q107">
        <v>15.5</v>
      </c>
      <c r="R107">
        <v>26</v>
      </c>
      <c r="S107">
        <v>24.3</v>
      </c>
      <c r="T107">
        <v>27.6</v>
      </c>
    </row>
    <row r="108" spans="1:20" x14ac:dyDescent="0.2">
      <c r="A108" t="s">
        <v>96</v>
      </c>
      <c r="B108">
        <v>0.97199999999999998</v>
      </c>
      <c r="C108" s="1">
        <v>93.966099999999997</v>
      </c>
      <c r="D108" s="1">
        <v>-57.779400000000003</v>
      </c>
      <c r="E108">
        <v>78.5</v>
      </c>
      <c r="F108">
        <v>56.8</v>
      </c>
      <c r="G108">
        <v>91</v>
      </c>
      <c r="H108">
        <v>154.5</v>
      </c>
      <c r="I108">
        <v>146</v>
      </c>
      <c r="J108">
        <v>167.2</v>
      </c>
      <c r="K108">
        <v>1.33</v>
      </c>
      <c r="L108">
        <v>1.1200000000000001</v>
      </c>
      <c r="M108">
        <v>1.46</v>
      </c>
      <c r="N108">
        <v>0.06</v>
      </c>
      <c r="O108">
        <v>79.3</v>
      </c>
      <c r="P108">
        <v>64.3</v>
      </c>
      <c r="Q108">
        <v>93.7</v>
      </c>
      <c r="R108">
        <v>85.7</v>
      </c>
      <c r="S108">
        <v>73.8</v>
      </c>
      <c r="T108">
        <v>97.4</v>
      </c>
    </row>
    <row r="109" spans="1:20" x14ac:dyDescent="0.2">
      <c r="A109" t="s">
        <v>460</v>
      </c>
      <c r="B109">
        <v>0.17100000000000001</v>
      </c>
      <c r="C109" s="1">
        <v>94.103300000000004</v>
      </c>
      <c r="D109" s="1">
        <v>-21.938300000000002</v>
      </c>
      <c r="E109">
        <v>264.3</v>
      </c>
      <c r="F109">
        <v>49.8</v>
      </c>
      <c r="G109">
        <v>307.39999999999998</v>
      </c>
      <c r="H109">
        <v>351.1</v>
      </c>
      <c r="I109">
        <v>334.5</v>
      </c>
      <c r="J109">
        <v>392</v>
      </c>
      <c r="K109">
        <v>1</v>
      </c>
      <c r="L109">
        <v>0.46</v>
      </c>
      <c r="M109">
        <v>1.1599999999999999</v>
      </c>
      <c r="N109">
        <v>0.57999999999999996</v>
      </c>
      <c r="O109">
        <v>241.3</v>
      </c>
      <c r="P109">
        <v>170.2</v>
      </c>
      <c r="Q109">
        <v>310.89999999999998</v>
      </c>
      <c r="R109">
        <v>261.7</v>
      </c>
      <c r="S109">
        <v>205.5</v>
      </c>
      <c r="T109">
        <v>318.8</v>
      </c>
    </row>
    <row r="110" spans="1:20" x14ac:dyDescent="0.2">
      <c r="A110" t="s">
        <v>97</v>
      </c>
      <c r="B110">
        <v>0.152</v>
      </c>
      <c r="C110" s="1">
        <v>94.133899999999997</v>
      </c>
      <c r="D110" s="1">
        <v>-39.796799999999998</v>
      </c>
      <c r="E110">
        <v>135.80000000000001</v>
      </c>
      <c r="F110">
        <v>87.6</v>
      </c>
      <c r="G110">
        <v>162.19999999999999</v>
      </c>
      <c r="H110">
        <v>199.7</v>
      </c>
      <c r="I110">
        <v>189.1</v>
      </c>
      <c r="J110">
        <v>215.8</v>
      </c>
      <c r="K110">
        <v>1.17</v>
      </c>
      <c r="L110">
        <v>0.88</v>
      </c>
      <c r="M110">
        <v>1.42</v>
      </c>
      <c r="N110">
        <v>0.35</v>
      </c>
      <c r="O110">
        <v>133.9</v>
      </c>
      <c r="P110">
        <v>102.4</v>
      </c>
      <c r="Q110">
        <v>165</v>
      </c>
      <c r="R110">
        <v>141.4</v>
      </c>
      <c r="S110">
        <v>114.5</v>
      </c>
      <c r="T110">
        <v>168.1</v>
      </c>
    </row>
    <row r="111" spans="1:20" x14ac:dyDescent="0.2">
      <c r="A111" t="s">
        <v>462</v>
      </c>
      <c r="B111">
        <v>0.27</v>
      </c>
      <c r="C111" s="1">
        <v>95.454099999999997</v>
      </c>
      <c r="D111" s="1">
        <v>74.701400000000007</v>
      </c>
      <c r="E111">
        <v>-7.8</v>
      </c>
      <c r="F111">
        <v>-14.9</v>
      </c>
      <c r="G111">
        <v>-2.5</v>
      </c>
      <c r="H111">
        <v>153.4</v>
      </c>
      <c r="I111">
        <v>142.4</v>
      </c>
      <c r="J111">
        <v>161.5</v>
      </c>
      <c r="K111">
        <v>0.91</v>
      </c>
      <c r="L111">
        <v>0.83</v>
      </c>
      <c r="M111">
        <v>0.97</v>
      </c>
      <c r="N111">
        <v>0.69</v>
      </c>
      <c r="O111">
        <v>12.1</v>
      </c>
      <c r="P111">
        <v>9.5</v>
      </c>
      <c r="Q111">
        <v>14.7</v>
      </c>
      <c r="R111">
        <v>29.6</v>
      </c>
      <c r="S111">
        <v>26.5</v>
      </c>
      <c r="T111">
        <v>32.6</v>
      </c>
    </row>
    <row r="112" spans="1:20" x14ac:dyDescent="0.2">
      <c r="A112" t="s">
        <v>463</v>
      </c>
      <c r="B112">
        <v>5.0999999999999997E-2</v>
      </c>
      <c r="C112" s="1">
        <v>96.578500000000005</v>
      </c>
      <c r="D112" s="1">
        <v>-53.692599999999999</v>
      </c>
      <c r="E112">
        <v>299.5</v>
      </c>
      <c r="F112">
        <v>186.3</v>
      </c>
      <c r="G112">
        <v>308</v>
      </c>
      <c r="H112">
        <v>347.1</v>
      </c>
      <c r="I112">
        <v>328.9</v>
      </c>
      <c r="J112">
        <v>366.4</v>
      </c>
      <c r="K112">
        <v>1.51</v>
      </c>
      <c r="L112">
        <v>0.8</v>
      </c>
      <c r="M112">
        <v>1.58</v>
      </c>
      <c r="N112">
        <v>1.97</v>
      </c>
      <c r="O112">
        <v>265.60000000000002</v>
      </c>
      <c r="P112">
        <v>214.8</v>
      </c>
      <c r="Q112">
        <v>309.5</v>
      </c>
      <c r="R112">
        <v>275.10000000000002</v>
      </c>
      <c r="S112">
        <v>236.6</v>
      </c>
      <c r="T112">
        <v>312.7</v>
      </c>
    </row>
    <row r="113" spans="1:20" x14ac:dyDescent="0.2">
      <c r="A113" t="s">
        <v>99</v>
      </c>
      <c r="B113">
        <v>5.0999999999999997E-2</v>
      </c>
      <c r="C113" s="1">
        <v>96.680599999999998</v>
      </c>
      <c r="D113" s="1">
        <v>-54.543500000000002</v>
      </c>
      <c r="E113">
        <v>13.4</v>
      </c>
      <c r="F113">
        <v>-139</v>
      </c>
      <c r="G113">
        <v>104.1</v>
      </c>
      <c r="H113">
        <v>313.39999999999998</v>
      </c>
      <c r="I113">
        <v>297.60000000000002</v>
      </c>
      <c r="J113">
        <v>326.60000000000002</v>
      </c>
      <c r="K113">
        <v>0.36</v>
      </c>
      <c r="L113">
        <v>0.25</v>
      </c>
      <c r="M113">
        <v>0.48</v>
      </c>
      <c r="N113">
        <v>2.34</v>
      </c>
      <c r="O113">
        <v>144.9</v>
      </c>
      <c r="P113">
        <v>109.5</v>
      </c>
      <c r="Q113">
        <v>179.1</v>
      </c>
      <c r="R113">
        <v>182.2</v>
      </c>
      <c r="S113">
        <v>155.9</v>
      </c>
      <c r="T113">
        <v>208.8</v>
      </c>
    </row>
    <row r="114" spans="1:20" x14ac:dyDescent="0.2">
      <c r="A114" t="s">
        <v>100</v>
      </c>
      <c r="B114">
        <v>0.20300000000000001</v>
      </c>
      <c r="C114" s="1">
        <v>99.308800000000005</v>
      </c>
      <c r="D114" s="1">
        <v>-48.471899999999998</v>
      </c>
      <c r="E114">
        <v>64.8</v>
      </c>
      <c r="F114">
        <v>37.200000000000003</v>
      </c>
      <c r="G114">
        <v>83</v>
      </c>
      <c r="H114">
        <v>223.8</v>
      </c>
      <c r="I114">
        <v>211.7</v>
      </c>
      <c r="J114">
        <v>240.9</v>
      </c>
      <c r="K114">
        <v>0.89</v>
      </c>
      <c r="L114">
        <v>0.77</v>
      </c>
      <c r="M114">
        <v>0.98</v>
      </c>
      <c r="N114">
        <v>0.94</v>
      </c>
      <c r="O114">
        <v>83.3</v>
      </c>
      <c r="P114">
        <v>69.5</v>
      </c>
      <c r="Q114">
        <v>98.7</v>
      </c>
      <c r="R114">
        <v>102.2</v>
      </c>
      <c r="S114">
        <v>90</v>
      </c>
      <c r="T114">
        <v>114.3</v>
      </c>
    </row>
    <row r="115" spans="1:20" x14ac:dyDescent="0.2">
      <c r="A115" t="s">
        <v>101</v>
      </c>
      <c r="B115">
        <v>0.17399999999999999</v>
      </c>
      <c r="C115" s="1">
        <v>99.516199999999998</v>
      </c>
      <c r="D115" s="1">
        <v>47.7986</v>
      </c>
      <c r="E115">
        <v>273.39999999999998</v>
      </c>
      <c r="F115">
        <v>199.4</v>
      </c>
      <c r="G115">
        <v>291.10000000000002</v>
      </c>
      <c r="H115">
        <v>286.89999999999998</v>
      </c>
      <c r="I115">
        <v>257.39999999999998</v>
      </c>
      <c r="J115">
        <v>307.10000000000002</v>
      </c>
      <c r="K115">
        <v>1.89</v>
      </c>
      <c r="L115">
        <v>1.1000000000000001</v>
      </c>
      <c r="M115">
        <v>1.92</v>
      </c>
      <c r="N115">
        <v>0.61</v>
      </c>
      <c r="O115">
        <v>249</v>
      </c>
      <c r="P115">
        <v>204.1</v>
      </c>
      <c r="Q115">
        <v>291.3</v>
      </c>
      <c r="R115">
        <v>251.4</v>
      </c>
      <c r="S115">
        <v>209.4</v>
      </c>
      <c r="T115">
        <v>291.7</v>
      </c>
    </row>
    <row r="116" spans="1:20" x14ac:dyDescent="0.2">
      <c r="A116" t="s">
        <v>102</v>
      </c>
      <c r="B116">
        <v>0.222</v>
      </c>
      <c r="C116" s="1">
        <v>99.701999999999998</v>
      </c>
      <c r="D116" s="1">
        <v>-53.974200000000003</v>
      </c>
      <c r="E116">
        <v>29</v>
      </c>
      <c r="F116">
        <v>18</v>
      </c>
      <c r="G116">
        <v>37</v>
      </c>
      <c r="H116">
        <v>172.3</v>
      </c>
      <c r="I116">
        <v>163.69999999999999</v>
      </c>
      <c r="J116">
        <v>180.6</v>
      </c>
      <c r="K116">
        <v>0.94</v>
      </c>
      <c r="L116">
        <v>0.84</v>
      </c>
      <c r="M116">
        <v>1.02</v>
      </c>
      <c r="N116">
        <v>0.68</v>
      </c>
      <c r="O116">
        <v>45.4</v>
      </c>
      <c r="P116">
        <v>39.6</v>
      </c>
      <c r="Q116">
        <v>50.7</v>
      </c>
      <c r="R116">
        <v>60.8</v>
      </c>
      <c r="S116">
        <v>55.8</v>
      </c>
      <c r="T116">
        <v>65.7</v>
      </c>
    </row>
    <row r="117" spans="1:20" x14ac:dyDescent="0.2">
      <c r="A117" t="s">
        <v>104</v>
      </c>
      <c r="B117">
        <v>0.16700000000000001</v>
      </c>
      <c r="C117" s="1">
        <v>101.37</v>
      </c>
      <c r="D117" s="1">
        <v>-54.228400000000001</v>
      </c>
      <c r="E117">
        <v>41.8</v>
      </c>
      <c r="F117">
        <v>15.9</v>
      </c>
      <c r="G117">
        <v>59.3</v>
      </c>
      <c r="H117">
        <v>214.5</v>
      </c>
      <c r="I117">
        <v>206.8</v>
      </c>
      <c r="J117">
        <v>230.7</v>
      </c>
      <c r="K117">
        <v>0.95</v>
      </c>
      <c r="L117">
        <v>0.83</v>
      </c>
      <c r="M117">
        <v>1.02</v>
      </c>
      <c r="N117">
        <v>0.54</v>
      </c>
      <c r="O117">
        <v>60.4</v>
      </c>
      <c r="P117">
        <v>44</v>
      </c>
      <c r="Q117">
        <v>76.099999999999994</v>
      </c>
      <c r="R117">
        <v>79.900000000000006</v>
      </c>
      <c r="S117">
        <v>66.599999999999994</v>
      </c>
      <c r="T117">
        <v>92.4</v>
      </c>
    </row>
    <row r="118" spans="1:20" x14ac:dyDescent="0.2">
      <c r="A118" t="s">
        <v>105</v>
      </c>
      <c r="B118">
        <v>0.5907</v>
      </c>
      <c r="C118" s="1">
        <v>101.9585</v>
      </c>
      <c r="D118" s="1">
        <v>70.247100000000003</v>
      </c>
      <c r="E118">
        <v>135.80000000000001</v>
      </c>
      <c r="F118">
        <v>79.599999999999994</v>
      </c>
      <c r="G118">
        <v>172.8</v>
      </c>
      <c r="H118">
        <v>196.5</v>
      </c>
      <c r="I118">
        <v>182.4</v>
      </c>
      <c r="J118">
        <v>234.9</v>
      </c>
      <c r="K118">
        <v>1.43</v>
      </c>
      <c r="L118">
        <v>1.1100000000000001</v>
      </c>
      <c r="M118">
        <v>1.61</v>
      </c>
      <c r="N118">
        <v>7.0000000000000007E-2</v>
      </c>
      <c r="O118">
        <v>135.19999999999999</v>
      </c>
      <c r="P118">
        <v>89</v>
      </c>
      <c r="Q118">
        <v>173.7</v>
      </c>
      <c r="R118">
        <v>141.30000000000001</v>
      </c>
      <c r="S118">
        <v>96.9</v>
      </c>
      <c r="T118">
        <v>175.6</v>
      </c>
    </row>
    <row r="119" spans="1:20" x14ac:dyDescent="0.2">
      <c r="A119" t="s">
        <v>106</v>
      </c>
      <c r="B119">
        <v>0.11</v>
      </c>
      <c r="C119" s="1">
        <v>103.3394</v>
      </c>
      <c r="D119" s="1">
        <v>69.331000000000003</v>
      </c>
      <c r="E119">
        <v>59.3</v>
      </c>
      <c r="F119">
        <v>-37.299999999999997</v>
      </c>
      <c r="G119">
        <v>111.5</v>
      </c>
      <c r="H119">
        <v>210</v>
      </c>
      <c r="I119">
        <v>196.7</v>
      </c>
      <c r="J119">
        <v>218.7</v>
      </c>
      <c r="K119">
        <v>0.51</v>
      </c>
      <c r="L119">
        <v>0.28999999999999998</v>
      </c>
      <c r="M119">
        <v>0.85</v>
      </c>
      <c r="N119">
        <v>1.04</v>
      </c>
      <c r="O119">
        <v>108.4</v>
      </c>
      <c r="P119">
        <v>89</v>
      </c>
      <c r="Q119">
        <v>127.2</v>
      </c>
      <c r="R119">
        <v>127.3</v>
      </c>
      <c r="S119">
        <v>113.7</v>
      </c>
      <c r="T119">
        <v>141.69999999999999</v>
      </c>
    </row>
    <row r="120" spans="1:20" x14ac:dyDescent="0.2">
      <c r="A120" t="s">
        <v>109</v>
      </c>
      <c r="B120">
        <v>0.54600000000000004</v>
      </c>
      <c r="C120" s="1">
        <v>109.37560000000001</v>
      </c>
      <c r="D120" s="1">
        <v>37.76</v>
      </c>
      <c r="E120">
        <v>146.9</v>
      </c>
      <c r="F120">
        <v>-83.3</v>
      </c>
      <c r="G120">
        <v>166.2</v>
      </c>
      <c r="H120">
        <v>372.6</v>
      </c>
      <c r="I120">
        <v>369.6</v>
      </c>
      <c r="J120">
        <v>404</v>
      </c>
      <c r="K120">
        <v>0.57999999999999996</v>
      </c>
      <c r="L120">
        <v>0.34</v>
      </c>
      <c r="M120">
        <v>0.62</v>
      </c>
      <c r="N120">
        <v>0.95</v>
      </c>
      <c r="O120">
        <v>171.7</v>
      </c>
      <c r="P120">
        <v>126</v>
      </c>
      <c r="Q120">
        <v>217.8</v>
      </c>
      <c r="R120">
        <v>215.9</v>
      </c>
      <c r="S120">
        <v>180.5</v>
      </c>
      <c r="T120">
        <v>250</v>
      </c>
    </row>
    <row r="121" spans="1:20" x14ac:dyDescent="0.2">
      <c r="A121" t="s">
        <v>468</v>
      </c>
      <c r="B121">
        <v>3.8899999999999997E-2</v>
      </c>
      <c r="C121" s="1">
        <v>110.3766</v>
      </c>
      <c r="D121" s="1">
        <v>55.761600000000001</v>
      </c>
      <c r="E121">
        <v>36.799999999999997</v>
      </c>
      <c r="F121">
        <v>13.5</v>
      </c>
      <c r="G121">
        <v>50.3</v>
      </c>
      <c r="H121">
        <v>216.3</v>
      </c>
      <c r="I121">
        <v>211</v>
      </c>
      <c r="J121">
        <v>222.6</v>
      </c>
      <c r="K121">
        <v>0.7</v>
      </c>
      <c r="L121">
        <v>0.56999999999999995</v>
      </c>
      <c r="M121">
        <v>0.81</v>
      </c>
      <c r="N121">
        <v>2.1800000000000002</v>
      </c>
      <c r="O121">
        <v>72.599999999999994</v>
      </c>
      <c r="P121">
        <v>66.7</v>
      </c>
      <c r="Q121">
        <v>78.8</v>
      </c>
      <c r="R121">
        <v>95.5</v>
      </c>
      <c r="S121">
        <v>91.1</v>
      </c>
      <c r="T121">
        <v>99.8</v>
      </c>
    </row>
    <row r="122" spans="1:20" x14ac:dyDescent="0.2">
      <c r="A122" t="s">
        <v>111</v>
      </c>
      <c r="B122">
        <v>8.6999999999999994E-2</v>
      </c>
      <c r="C122" s="1">
        <v>111.223</v>
      </c>
      <c r="D122" s="1">
        <v>66.985399999999998</v>
      </c>
      <c r="E122">
        <v>15.4</v>
      </c>
      <c r="F122">
        <v>-35.799999999999997</v>
      </c>
      <c r="G122">
        <v>44.8</v>
      </c>
      <c r="H122">
        <v>259.2</v>
      </c>
      <c r="I122">
        <v>222.2</v>
      </c>
      <c r="J122">
        <v>281.5</v>
      </c>
      <c r="K122">
        <v>1.06</v>
      </c>
      <c r="L122">
        <v>0.71</v>
      </c>
      <c r="M122">
        <v>1.42</v>
      </c>
      <c r="N122">
        <v>0.06</v>
      </c>
      <c r="O122">
        <v>36.799999999999997</v>
      </c>
      <c r="P122">
        <v>20.7</v>
      </c>
      <c r="Q122">
        <v>53.5</v>
      </c>
      <c r="R122">
        <v>61.4</v>
      </c>
      <c r="S122">
        <v>50.6</v>
      </c>
      <c r="T122">
        <v>72.8</v>
      </c>
    </row>
    <row r="123" spans="1:20" x14ac:dyDescent="0.2">
      <c r="A123" t="s">
        <v>112</v>
      </c>
      <c r="B123">
        <v>0.17100000000000001</v>
      </c>
      <c r="C123" s="1">
        <v>113.0847</v>
      </c>
      <c r="D123" s="1">
        <v>31.6325</v>
      </c>
      <c r="E123">
        <v>108.8</v>
      </c>
      <c r="F123">
        <v>93.7</v>
      </c>
      <c r="G123">
        <v>125.5</v>
      </c>
      <c r="H123">
        <v>186.1</v>
      </c>
      <c r="I123">
        <v>179.5</v>
      </c>
      <c r="J123">
        <v>196.4</v>
      </c>
      <c r="K123">
        <v>1.28</v>
      </c>
      <c r="L123">
        <v>1.17</v>
      </c>
      <c r="M123">
        <v>1.39</v>
      </c>
      <c r="N123">
        <v>1.01</v>
      </c>
      <c r="O123">
        <v>114.2</v>
      </c>
      <c r="P123">
        <v>100</v>
      </c>
      <c r="Q123">
        <v>128.30000000000001</v>
      </c>
      <c r="R123">
        <v>120.2</v>
      </c>
      <c r="S123">
        <v>107.2</v>
      </c>
      <c r="T123">
        <v>132.69999999999999</v>
      </c>
    </row>
    <row r="124" spans="1:20" x14ac:dyDescent="0.2">
      <c r="A124" t="s">
        <v>113</v>
      </c>
      <c r="B124">
        <v>0.216</v>
      </c>
      <c r="C124" s="1">
        <v>115.4346</v>
      </c>
      <c r="D124" s="1">
        <v>74.244</v>
      </c>
      <c r="E124">
        <v>16.2</v>
      </c>
      <c r="F124">
        <v>14.8</v>
      </c>
      <c r="G124">
        <v>17.5</v>
      </c>
      <c r="H124">
        <v>139.30000000000001</v>
      </c>
      <c r="I124">
        <v>136.19999999999999</v>
      </c>
      <c r="J124">
        <v>141.6</v>
      </c>
      <c r="K124">
        <v>1.1499999999999999</v>
      </c>
      <c r="L124">
        <v>1.1200000000000001</v>
      </c>
      <c r="M124">
        <v>1.19</v>
      </c>
      <c r="N124">
        <v>6.05</v>
      </c>
      <c r="O124">
        <v>24.8</v>
      </c>
      <c r="P124">
        <v>24.1</v>
      </c>
      <c r="Q124">
        <v>25.6</v>
      </c>
      <c r="R124">
        <v>35.4</v>
      </c>
      <c r="S124">
        <v>34.700000000000003</v>
      </c>
      <c r="T124">
        <v>36.200000000000003</v>
      </c>
    </row>
    <row r="125" spans="1:20" x14ac:dyDescent="0.2">
      <c r="A125" t="s">
        <v>114</v>
      </c>
      <c r="B125">
        <v>1.0686</v>
      </c>
      <c r="C125" s="1">
        <v>116.0724</v>
      </c>
      <c r="D125" s="1">
        <v>37.887799999999999</v>
      </c>
      <c r="E125">
        <v>-18</v>
      </c>
      <c r="F125">
        <v>-40</v>
      </c>
      <c r="G125">
        <v>-12.7</v>
      </c>
      <c r="H125">
        <v>143.6</v>
      </c>
      <c r="I125">
        <v>138.80000000000001</v>
      </c>
      <c r="J125">
        <v>154.19999999999999</v>
      </c>
      <c r="K125">
        <v>0.81</v>
      </c>
      <c r="L125">
        <v>0.67</v>
      </c>
      <c r="M125">
        <v>0.86</v>
      </c>
      <c r="N125">
        <v>0.1</v>
      </c>
      <c r="O125">
        <v>5.2</v>
      </c>
      <c r="P125">
        <v>0.8</v>
      </c>
      <c r="Q125">
        <v>9.1999999999999993</v>
      </c>
      <c r="R125">
        <v>25.8</v>
      </c>
      <c r="S125">
        <v>24.1</v>
      </c>
      <c r="T125">
        <v>27.7</v>
      </c>
    </row>
    <row r="126" spans="1:20" x14ac:dyDescent="0.2">
      <c r="A126" t="s">
        <v>473</v>
      </c>
      <c r="B126">
        <v>0.69799999999999995</v>
      </c>
      <c r="C126" s="1">
        <v>116.2201</v>
      </c>
      <c r="D126" s="1">
        <v>39.457299999999996</v>
      </c>
      <c r="E126">
        <v>56.9</v>
      </c>
      <c r="F126">
        <v>40.4</v>
      </c>
      <c r="G126">
        <v>65.599999999999994</v>
      </c>
      <c r="H126">
        <v>146.30000000000001</v>
      </c>
      <c r="I126">
        <v>140.30000000000001</v>
      </c>
      <c r="J126">
        <v>155.9</v>
      </c>
      <c r="K126">
        <v>1.1399999999999999</v>
      </c>
      <c r="L126">
        <v>0.99</v>
      </c>
      <c r="M126">
        <v>1.22</v>
      </c>
      <c r="N126">
        <v>0.26</v>
      </c>
      <c r="O126">
        <v>61.3</v>
      </c>
      <c r="P126">
        <v>51</v>
      </c>
      <c r="Q126">
        <v>71.599999999999994</v>
      </c>
      <c r="R126">
        <v>70</v>
      </c>
      <c r="S126">
        <v>61.6</v>
      </c>
      <c r="T126">
        <v>78.2</v>
      </c>
    </row>
    <row r="127" spans="1:20" x14ac:dyDescent="0.2">
      <c r="A127" t="s">
        <v>475</v>
      </c>
      <c r="B127">
        <v>0.10299999999999999</v>
      </c>
      <c r="C127" s="1">
        <v>116.87949999999999</v>
      </c>
      <c r="D127" s="1">
        <v>-19.294699999999999</v>
      </c>
      <c r="E127">
        <v>11.8</v>
      </c>
      <c r="F127">
        <v>11</v>
      </c>
      <c r="G127">
        <v>12.4</v>
      </c>
      <c r="H127">
        <v>127.1</v>
      </c>
      <c r="I127">
        <v>125.6</v>
      </c>
      <c r="J127">
        <v>128.30000000000001</v>
      </c>
      <c r="K127">
        <v>1.3</v>
      </c>
      <c r="L127">
        <v>1.28</v>
      </c>
      <c r="M127">
        <v>1.32</v>
      </c>
      <c r="N127">
        <v>5.65</v>
      </c>
      <c r="O127">
        <v>17.5</v>
      </c>
      <c r="P127">
        <v>17.100000000000001</v>
      </c>
      <c r="Q127">
        <v>18</v>
      </c>
      <c r="R127">
        <v>26</v>
      </c>
      <c r="S127">
        <v>25.7</v>
      </c>
      <c r="T127">
        <v>26.3</v>
      </c>
    </row>
    <row r="128" spans="1:20" x14ac:dyDescent="0.2">
      <c r="A128" t="s">
        <v>115</v>
      </c>
      <c r="B128">
        <v>0.189</v>
      </c>
      <c r="C128" s="1">
        <v>117.855</v>
      </c>
      <c r="D128" s="1">
        <v>17.5139</v>
      </c>
      <c r="E128">
        <v>7.8</v>
      </c>
      <c r="F128">
        <v>6.4</v>
      </c>
      <c r="G128">
        <v>9.3000000000000007</v>
      </c>
      <c r="H128">
        <v>113.6</v>
      </c>
      <c r="I128">
        <v>109.6</v>
      </c>
      <c r="J128">
        <v>117.8</v>
      </c>
      <c r="K128">
        <v>1.28</v>
      </c>
      <c r="L128">
        <v>1.23</v>
      </c>
      <c r="M128">
        <v>1.33</v>
      </c>
      <c r="N128">
        <v>1.42</v>
      </c>
      <c r="O128">
        <v>13.4</v>
      </c>
      <c r="P128">
        <v>12.4</v>
      </c>
      <c r="Q128">
        <v>14.4</v>
      </c>
      <c r="R128">
        <v>21.4</v>
      </c>
      <c r="S128">
        <v>20.399999999999999</v>
      </c>
      <c r="T128">
        <v>22.3</v>
      </c>
    </row>
    <row r="129" spans="1:20" x14ac:dyDescent="0.2">
      <c r="A129" t="s">
        <v>116</v>
      </c>
      <c r="B129">
        <v>0.28799999999999998</v>
      </c>
      <c r="C129" s="1">
        <v>120.23699999999999</v>
      </c>
      <c r="D129" s="1">
        <v>36.056600000000003</v>
      </c>
      <c r="E129">
        <v>50.8</v>
      </c>
      <c r="F129">
        <v>41</v>
      </c>
      <c r="G129">
        <v>60.7</v>
      </c>
      <c r="H129">
        <v>177.2</v>
      </c>
      <c r="I129">
        <v>167.3</v>
      </c>
      <c r="J129">
        <v>187.8</v>
      </c>
      <c r="K129">
        <v>1.19</v>
      </c>
      <c r="L129">
        <v>1.06</v>
      </c>
      <c r="M129">
        <v>1.3</v>
      </c>
      <c r="N129">
        <v>0.46</v>
      </c>
      <c r="O129">
        <v>59.6</v>
      </c>
      <c r="P129">
        <v>52</v>
      </c>
      <c r="Q129">
        <v>66.900000000000006</v>
      </c>
      <c r="R129">
        <v>70.3</v>
      </c>
      <c r="S129">
        <v>64</v>
      </c>
      <c r="T129">
        <v>76.599999999999994</v>
      </c>
    </row>
    <row r="130" spans="1:20" x14ac:dyDescent="0.2">
      <c r="A130" t="s">
        <v>118</v>
      </c>
      <c r="B130">
        <v>6.4000000000000001E-2</v>
      </c>
      <c r="C130" s="1">
        <v>122.5973</v>
      </c>
      <c r="D130" s="1">
        <v>42.273899999999998</v>
      </c>
      <c r="E130">
        <v>17.399999999999999</v>
      </c>
      <c r="F130">
        <v>-26.4</v>
      </c>
      <c r="G130">
        <v>35.799999999999997</v>
      </c>
      <c r="H130">
        <v>197.4</v>
      </c>
      <c r="I130">
        <v>182.4</v>
      </c>
      <c r="J130">
        <v>217.6</v>
      </c>
      <c r="K130">
        <v>0.89</v>
      </c>
      <c r="L130">
        <v>0.57999999999999996</v>
      </c>
      <c r="M130">
        <v>1.0900000000000001</v>
      </c>
      <c r="N130">
        <v>0.04</v>
      </c>
      <c r="O130">
        <v>40.6</v>
      </c>
      <c r="P130">
        <v>30.5</v>
      </c>
      <c r="Q130">
        <v>51.9</v>
      </c>
      <c r="R130">
        <v>63</v>
      </c>
      <c r="S130">
        <v>54.8</v>
      </c>
      <c r="T130">
        <v>71.2</v>
      </c>
    </row>
    <row r="131" spans="1:20" x14ac:dyDescent="0.2">
      <c r="A131" t="s">
        <v>119</v>
      </c>
      <c r="B131">
        <v>7.0000000000000007E-2</v>
      </c>
      <c r="C131" s="1">
        <v>124.35850000000001</v>
      </c>
      <c r="D131" s="1">
        <v>-7.5087999999999999</v>
      </c>
      <c r="E131">
        <v>97.3</v>
      </c>
      <c r="F131">
        <v>86.2</v>
      </c>
      <c r="G131">
        <v>106.1</v>
      </c>
      <c r="H131">
        <v>175.9</v>
      </c>
      <c r="I131">
        <v>170.5</v>
      </c>
      <c r="J131">
        <v>182.9</v>
      </c>
      <c r="K131">
        <v>1.49</v>
      </c>
      <c r="L131">
        <v>1.31</v>
      </c>
      <c r="M131">
        <v>1.65</v>
      </c>
      <c r="N131">
        <v>1.41</v>
      </c>
      <c r="O131">
        <v>99.2</v>
      </c>
      <c r="P131">
        <v>90</v>
      </c>
      <c r="Q131">
        <v>107.8</v>
      </c>
      <c r="R131">
        <v>104.2</v>
      </c>
      <c r="S131">
        <v>96.4</v>
      </c>
      <c r="T131">
        <v>111.4</v>
      </c>
    </row>
    <row r="132" spans="1:20" x14ac:dyDescent="0.2">
      <c r="A132" t="s">
        <v>120</v>
      </c>
      <c r="B132">
        <v>0.11899999999999999</v>
      </c>
      <c r="C132" s="1">
        <v>124.858</v>
      </c>
      <c r="D132" s="1">
        <v>63.623800000000003</v>
      </c>
      <c r="E132">
        <v>14.5</v>
      </c>
      <c r="F132">
        <v>-27.9</v>
      </c>
      <c r="G132">
        <v>27.4</v>
      </c>
      <c r="H132">
        <v>165</v>
      </c>
      <c r="I132">
        <v>152.80000000000001</v>
      </c>
      <c r="J132">
        <v>177.7</v>
      </c>
      <c r="K132">
        <v>0.75</v>
      </c>
      <c r="L132">
        <v>0.48</v>
      </c>
      <c r="M132">
        <v>0.89</v>
      </c>
      <c r="N132">
        <v>0.23</v>
      </c>
      <c r="O132">
        <v>40.200000000000003</v>
      </c>
      <c r="P132">
        <v>34</v>
      </c>
      <c r="Q132">
        <v>46.2</v>
      </c>
      <c r="R132">
        <v>60.4</v>
      </c>
      <c r="S132">
        <v>54.4</v>
      </c>
      <c r="T132">
        <v>66.400000000000006</v>
      </c>
    </row>
    <row r="133" spans="1:20" x14ac:dyDescent="0.2">
      <c r="A133" t="s">
        <v>477</v>
      </c>
      <c r="B133">
        <v>1.6299999999999999E-2</v>
      </c>
      <c r="C133" s="1">
        <v>125.1485</v>
      </c>
      <c r="D133" s="1">
        <v>21.067900000000002</v>
      </c>
      <c r="E133">
        <v>2.1</v>
      </c>
      <c r="F133">
        <v>1.5</v>
      </c>
      <c r="G133">
        <v>2.4</v>
      </c>
      <c r="H133">
        <v>352.2</v>
      </c>
      <c r="I133">
        <v>296.2</v>
      </c>
      <c r="J133">
        <v>392.7</v>
      </c>
      <c r="K133">
        <v>1.1000000000000001</v>
      </c>
      <c r="L133">
        <v>1.03</v>
      </c>
      <c r="M133">
        <v>1.1499999999999999</v>
      </c>
      <c r="N133">
        <v>0.21</v>
      </c>
      <c r="O133">
        <v>29.5</v>
      </c>
      <c r="P133">
        <v>27.7</v>
      </c>
      <c r="Q133">
        <v>31.4</v>
      </c>
      <c r="R133">
        <v>60.8</v>
      </c>
      <c r="S133">
        <v>56.5</v>
      </c>
      <c r="T133">
        <v>65.2</v>
      </c>
    </row>
    <row r="134" spans="1:20" x14ac:dyDescent="0.2">
      <c r="A134" t="s">
        <v>478</v>
      </c>
      <c r="B134">
        <v>2.9000000000000001E-2</v>
      </c>
      <c r="C134" s="1">
        <v>125.8402</v>
      </c>
      <c r="D134" s="1">
        <v>4.3726000000000003</v>
      </c>
      <c r="E134">
        <v>2.1</v>
      </c>
      <c r="F134">
        <v>1.3</v>
      </c>
      <c r="G134">
        <v>3.7</v>
      </c>
      <c r="H134">
        <v>167.3</v>
      </c>
      <c r="I134">
        <v>155.9</v>
      </c>
      <c r="J134">
        <v>188.3</v>
      </c>
      <c r="K134">
        <v>1.08</v>
      </c>
      <c r="L134">
        <v>1.02</v>
      </c>
      <c r="M134">
        <v>1.21</v>
      </c>
      <c r="N134">
        <v>0.17</v>
      </c>
      <c r="O134">
        <v>15.6</v>
      </c>
      <c r="P134">
        <v>14.3</v>
      </c>
      <c r="Q134">
        <v>16.899999999999999</v>
      </c>
      <c r="R134">
        <v>30.7</v>
      </c>
      <c r="S134">
        <v>28.1</v>
      </c>
      <c r="T134">
        <v>33.299999999999997</v>
      </c>
    </row>
    <row r="135" spans="1:20" x14ac:dyDescent="0.2">
      <c r="A135" t="s">
        <v>121</v>
      </c>
      <c r="B135">
        <v>0.22500000000000001</v>
      </c>
      <c r="C135" s="1">
        <v>126.4913</v>
      </c>
      <c r="D135" s="1">
        <v>4.2466999999999997</v>
      </c>
      <c r="E135">
        <v>34.700000000000003</v>
      </c>
      <c r="F135">
        <v>-9.8000000000000007</v>
      </c>
      <c r="G135">
        <v>52.5</v>
      </c>
      <c r="H135">
        <v>166.6</v>
      </c>
      <c r="I135">
        <v>152.6</v>
      </c>
      <c r="J135">
        <v>189.1</v>
      </c>
      <c r="K135">
        <v>1</v>
      </c>
      <c r="L135">
        <v>0.7</v>
      </c>
      <c r="M135">
        <v>1.1599999999999999</v>
      </c>
      <c r="N135">
        <v>0.05</v>
      </c>
      <c r="O135">
        <v>44.4</v>
      </c>
      <c r="P135">
        <v>26.2</v>
      </c>
      <c r="Q135">
        <v>61.7</v>
      </c>
      <c r="R135">
        <v>60.7</v>
      </c>
      <c r="S135">
        <v>47.5</v>
      </c>
      <c r="T135">
        <v>74.099999999999994</v>
      </c>
    </row>
    <row r="136" spans="1:20" x14ac:dyDescent="0.2">
      <c r="A136" t="s">
        <v>123</v>
      </c>
      <c r="B136">
        <v>0.24099999999999999</v>
      </c>
      <c r="C136" s="1">
        <v>128.72839999999999</v>
      </c>
      <c r="D136" s="1">
        <v>55.572200000000002</v>
      </c>
      <c r="E136">
        <v>14.5</v>
      </c>
      <c r="F136">
        <v>13.1</v>
      </c>
      <c r="G136">
        <v>16.399999999999999</v>
      </c>
      <c r="H136">
        <v>107.3</v>
      </c>
      <c r="I136">
        <v>101.9</v>
      </c>
      <c r="J136">
        <v>110</v>
      </c>
      <c r="K136">
        <v>1.25</v>
      </c>
      <c r="L136">
        <v>1.21</v>
      </c>
      <c r="M136">
        <v>1.31</v>
      </c>
      <c r="N136">
        <v>1.82</v>
      </c>
      <c r="O136">
        <v>19.899999999999999</v>
      </c>
      <c r="P136">
        <v>18.8</v>
      </c>
      <c r="Q136">
        <v>20.9</v>
      </c>
      <c r="R136">
        <v>26.9</v>
      </c>
      <c r="S136">
        <v>26</v>
      </c>
      <c r="T136">
        <v>27.9</v>
      </c>
    </row>
    <row r="137" spans="1:20" x14ac:dyDescent="0.2">
      <c r="A137" t="s">
        <v>480</v>
      </c>
      <c r="B137">
        <v>0.16900000000000001</v>
      </c>
      <c r="C137" s="1">
        <v>130.46639999999999</v>
      </c>
      <c r="D137" s="1">
        <v>-17.462700000000002</v>
      </c>
      <c r="E137">
        <v>74.8</v>
      </c>
      <c r="F137">
        <v>33.1</v>
      </c>
      <c r="G137">
        <v>97.3</v>
      </c>
      <c r="H137">
        <v>241.8</v>
      </c>
      <c r="I137">
        <v>232.1</v>
      </c>
      <c r="J137">
        <v>255.5</v>
      </c>
      <c r="K137">
        <v>0.98</v>
      </c>
      <c r="L137">
        <v>0.77</v>
      </c>
      <c r="M137">
        <v>1.1200000000000001</v>
      </c>
      <c r="N137">
        <v>0.52</v>
      </c>
      <c r="O137">
        <v>88.8</v>
      </c>
      <c r="P137">
        <v>67.599999999999994</v>
      </c>
      <c r="Q137">
        <v>108.3</v>
      </c>
      <c r="R137">
        <v>107.8</v>
      </c>
      <c r="S137">
        <v>92</v>
      </c>
      <c r="T137">
        <v>123.8</v>
      </c>
    </row>
    <row r="138" spans="1:20" x14ac:dyDescent="0.2">
      <c r="A138" t="s">
        <v>125</v>
      </c>
      <c r="B138">
        <v>0.19400000000000001</v>
      </c>
      <c r="C138" s="1">
        <v>130.7329</v>
      </c>
      <c r="D138" s="1">
        <v>29.457599999999999</v>
      </c>
      <c r="E138">
        <v>22.4</v>
      </c>
      <c r="F138">
        <v>19.600000000000001</v>
      </c>
      <c r="G138">
        <v>24.8</v>
      </c>
      <c r="H138">
        <v>125.5</v>
      </c>
      <c r="I138">
        <v>118.2</v>
      </c>
      <c r="J138">
        <v>131.6</v>
      </c>
      <c r="K138">
        <v>1.48</v>
      </c>
      <c r="L138">
        <v>1.39</v>
      </c>
      <c r="M138">
        <v>1.59</v>
      </c>
      <c r="N138">
        <v>0.55000000000000004</v>
      </c>
      <c r="O138">
        <v>25.7</v>
      </c>
      <c r="P138">
        <v>23.4</v>
      </c>
      <c r="Q138">
        <v>28</v>
      </c>
      <c r="R138">
        <v>31.8</v>
      </c>
      <c r="S138">
        <v>29.7</v>
      </c>
      <c r="T138">
        <v>33.700000000000003</v>
      </c>
    </row>
    <row r="139" spans="1:20" x14ac:dyDescent="0.2">
      <c r="A139" t="s">
        <v>126</v>
      </c>
      <c r="B139">
        <v>0.28199999999999997</v>
      </c>
      <c r="C139" s="1">
        <v>130.73990000000001</v>
      </c>
      <c r="D139" s="1">
        <v>36.366399999999999</v>
      </c>
      <c r="E139">
        <v>223.7</v>
      </c>
      <c r="F139">
        <v>184.7</v>
      </c>
      <c r="G139">
        <v>248.5</v>
      </c>
      <c r="H139">
        <v>283.2</v>
      </c>
      <c r="I139">
        <v>264.8</v>
      </c>
      <c r="J139">
        <v>304.2</v>
      </c>
      <c r="K139">
        <v>1.58</v>
      </c>
      <c r="L139">
        <v>1.39</v>
      </c>
      <c r="M139">
        <v>1.68</v>
      </c>
      <c r="N139">
        <v>0.52</v>
      </c>
      <c r="O139">
        <v>218.1</v>
      </c>
      <c r="P139">
        <v>187.8</v>
      </c>
      <c r="Q139">
        <v>250.2</v>
      </c>
      <c r="R139">
        <v>222.2</v>
      </c>
      <c r="S139">
        <v>193.3</v>
      </c>
      <c r="T139">
        <v>253</v>
      </c>
    </row>
    <row r="140" spans="1:20" x14ac:dyDescent="0.2">
      <c r="A140" t="s">
        <v>759</v>
      </c>
      <c r="B140">
        <v>0.378</v>
      </c>
      <c r="C140" s="1">
        <v>132.52780000000001</v>
      </c>
      <c r="D140" s="1">
        <v>36.071199999999997</v>
      </c>
      <c r="E140">
        <v>231</v>
      </c>
      <c r="F140">
        <v>196.7</v>
      </c>
      <c r="G140">
        <v>313.5</v>
      </c>
      <c r="H140">
        <v>294.8</v>
      </c>
      <c r="I140">
        <v>280.89999999999998</v>
      </c>
      <c r="J140">
        <v>352.9</v>
      </c>
      <c r="K140">
        <v>1.46</v>
      </c>
      <c r="L140">
        <v>1.26</v>
      </c>
      <c r="M140">
        <v>1.71</v>
      </c>
      <c r="N140">
        <v>0.24</v>
      </c>
      <c r="O140">
        <v>257.39999999999998</v>
      </c>
      <c r="P140">
        <v>202</v>
      </c>
      <c r="Q140">
        <v>313.89999999999998</v>
      </c>
      <c r="R140">
        <v>261.7</v>
      </c>
      <c r="S140">
        <v>210.3</v>
      </c>
      <c r="T140">
        <v>316.60000000000002</v>
      </c>
    </row>
    <row r="141" spans="1:20" x14ac:dyDescent="0.2">
      <c r="A141" t="s">
        <v>129</v>
      </c>
      <c r="B141">
        <v>0.23</v>
      </c>
      <c r="C141" s="1">
        <v>135.15350000000001</v>
      </c>
      <c r="D141" s="1">
        <v>20.894400000000001</v>
      </c>
      <c r="E141">
        <v>11.9</v>
      </c>
      <c r="F141">
        <v>7</v>
      </c>
      <c r="G141">
        <v>15.5</v>
      </c>
      <c r="H141">
        <v>98.4</v>
      </c>
      <c r="I141">
        <v>93.6</v>
      </c>
      <c r="J141">
        <v>103.4</v>
      </c>
      <c r="K141">
        <v>1.31</v>
      </c>
      <c r="L141">
        <v>1.2</v>
      </c>
      <c r="M141">
        <v>1.4</v>
      </c>
      <c r="N141">
        <v>2.8</v>
      </c>
      <c r="O141">
        <v>16</v>
      </c>
      <c r="P141">
        <v>12.8</v>
      </c>
      <c r="Q141">
        <v>19</v>
      </c>
      <c r="R141">
        <v>22.4</v>
      </c>
      <c r="S141">
        <v>20.3</v>
      </c>
      <c r="T141">
        <v>24.4</v>
      </c>
    </row>
    <row r="142" spans="1:20" x14ac:dyDescent="0.2">
      <c r="A142" t="s">
        <v>130</v>
      </c>
      <c r="B142">
        <v>7.2999999999999995E-2</v>
      </c>
      <c r="C142" s="1">
        <v>136.8355</v>
      </c>
      <c r="D142" s="1">
        <v>16.651700000000002</v>
      </c>
      <c r="E142">
        <v>7.6</v>
      </c>
      <c r="F142">
        <v>-31.1</v>
      </c>
      <c r="G142">
        <v>35.1</v>
      </c>
      <c r="H142">
        <v>180.4</v>
      </c>
      <c r="I142">
        <v>168.6</v>
      </c>
      <c r="J142">
        <v>185.5</v>
      </c>
      <c r="K142">
        <v>0.5</v>
      </c>
      <c r="L142">
        <v>0.36</v>
      </c>
      <c r="M142">
        <v>0.66</v>
      </c>
      <c r="N142">
        <v>0.71</v>
      </c>
      <c r="O142">
        <v>63.2</v>
      </c>
      <c r="P142">
        <v>55.8</v>
      </c>
      <c r="Q142">
        <v>70.2</v>
      </c>
      <c r="R142">
        <v>85.1</v>
      </c>
      <c r="S142">
        <v>78.400000000000006</v>
      </c>
      <c r="T142">
        <v>91</v>
      </c>
    </row>
    <row r="143" spans="1:20" x14ac:dyDescent="0.2">
      <c r="A143" t="s">
        <v>131</v>
      </c>
      <c r="B143">
        <v>0.18</v>
      </c>
      <c r="C143" s="1">
        <v>137.3031</v>
      </c>
      <c r="D143" s="1">
        <v>10.9748</v>
      </c>
      <c r="E143">
        <v>57.9</v>
      </c>
      <c r="F143">
        <v>5.2</v>
      </c>
      <c r="G143">
        <v>81.5</v>
      </c>
      <c r="H143">
        <v>196.7</v>
      </c>
      <c r="I143">
        <v>188.4</v>
      </c>
      <c r="J143">
        <v>209</v>
      </c>
      <c r="K143">
        <v>0.72</v>
      </c>
      <c r="L143">
        <v>0.55000000000000004</v>
      </c>
      <c r="M143">
        <v>0.81</v>
      </c>
      <c r="N143">
        <v>1.42</v>
      </c>
      <c r="O143">
        <v>78.599999999999994</v>
      </c>
      <c r="P143">
        <v>58.6</v>
      </c>
      <c r="Q143">
        <v>99.5</v>
      </c>
      <c r="R143">
        <v>98.5</v>
      </c>
      <c r="S143">
        <v>83.7</v>
      </c>
      <c r="T143">
        <v>114.2</v>
      </c>
    </row>
    <row r="144" spans="1:20" x14ac:dyDescent="0.2">
      <c r="A144" t="s">
        <v>132</v>
      </c>
      <c r="B144">
        <v>0.442</v>
      </c>
      <c r="C144" s="1">
        <v>138.43950000000001</v>
      </c>
      <c r="D144" s="1">
        <v>40.941299999999998</v>
      </c>
      <c r="E144">
        <v>23.5</v>
      </c>
      <c r="F144">
        <v>18.8</v>
      </c>
      <c r="G144">
        <v>27.4</v>
      </c>
      <c r="H144">
        <v>119.8</v>
      </c>
      <c r="I144">
        <v>115.7</v>
      </c>
      <c r="J144">
        <v>126.5</v>
      </c>
      <c r="K144">
        <v>1.17</v>
      </c>
      <c r="L144">
        <v>1.0900000000000001</v>
      </c>
      <c r="M144">
        <v>1.22</v>
      </c>
      <c r="N144">
        <v>0.25</v>
      </c>
      <c r="O144">
        <v>30.1</v>
      </c>
      <c r="P144">
        <v>26.9</v>
      </c>
      <c r="Q144">
        <v>33</v>
      </c>
      <c r="R144">
        <v>38.6</v>
      </c>
      <c r="S144">
        <v>36.1</v>
      </c>
      <c r="T144">
        <v>41</v>
      </c>
    </row>
    <row r="145" spans="1:20" x14ac:dyDescent="0.2">
      <c r="A145" t="s">
        <v>133</v>
      </c>
      <c r="B145">
        <v>0.217</v>
      </c>
      <c r="C145" s="1">
        <v>139.47110000000001</v>
      </c>
      <c r="D145" s="1">
        <v>51.728000000000002</v>
      </c>
      <c r="E145">
        <v>206</v>
      </c>
      <c r="F145">
        <v>180.1</v>
      </c>
      <c r="G145">
        <v>232.7</v>
      </c>
      <c r="H145">
        <v>246.4</v>
      </c>
      <c r="I145">
        <v>234.8</v>
      </c>
      <c r="J145">
        <v>263.2</v>
      </c>
      <c r="K145">
        <v>1.68</v>
      </c>
      <c r="L145">
        <v>1.52</v>
      </c>
      <c r="M145">
        <v>1.94</v>
      </c>
      <c r="N145">
        <v>0.91</v>
      </c>
      <c r="O145">
        <v>208.6</v>
      </c>
      <c r="P145">
        <v>181.7</v>
      </c>
      <c r="Q145">
        <v>233.5</v>
      </c>
      <c r="R145">
        <v>210.7</v>
      </c>
      <c r="S145">
        <v>184.8</v>
      </c>
      <c r="T145">
        <v>235</v>
      </c>
    </row>
    <row r="146" spans="1:20" x14ac:dyDescent="0.2">
      <c r="A146" t="s">
        <v>490</v>
      </c>
      <c r="B146">
        <v>5.5E-2</v>
      </c>
      <c r="C146" s="1">
        <v>139.52459999999999</v>
      </c>
      <c r="D146" s="1">
        <v>-12.095700000000001</v>
      </c>
      <c r="E146">
        <v>13</v>
      </c>
      <c r="F146">
        <v>12.4</v>
      </c>
      <c r="G146">
        <v>13.4</v>
      </c>
      <c r="H146">
        <v>115.1</v>
      </c>
      <c r="I146">
        <v>114.3</v>
      </c>
      <c r="J146">
        <v>116.1</v>
      </c>
      <c r="K146">
        <v>1.0900000000000001</v>
      </c>
      <c r="L146">
        <v>1.07</v>
      </c>
      <c r="M146">
        <v>1.1100000000000001</v>
      </c>
      <c r="N146">
        <v>8.01</v>
      </c>
      <c r="O146">
        <v>21.3</v>
      </c>
      <c r="P146">
        <v>21</v>
      </c>
      <c r="Q146">
        <v>21.5</v>
      </c>
      <c r="R146">
        <v>30.6</v>
      </c>
      <c r="S146">
        <v>30.4</v>
      </c>
      <c r="T146">
        <v>30.9</v>
      </c>
    </row>
    <row r="147" spans="1:20" x14ac:dyDescent="0.2">
      <c r="A147" t="s">
        <v>135</v>
      </c>
      <c r="B147">
        <v>0.25800000000000001</v>
      </c>
      <c r="C147" s="1">
        <v>140.11179999999999</v>
      </c>
      <c r="D147" s="1">
        <v>30.492699999999999</v>
      </c>
      <c r="E147">
        <v>169.3</v>
      </c>
      <c r="F147">
        <v>-116</v>
      </c>
      <c r="G147">
        <v>197.6</v>
      </c>
      <c r="H147">
        <v>330.4</v>
      </c>
      <c r="I147">
        <v>318.8</v>
      </c>
      <c r="J147">
        <v>380.2</v>
      </c>
      <c r="K147">
        <v>0.7</v>
      </c>
      <c r="L147">
        <v>0.32</v>
      </c>
      <c r="M147">
        <v>0.72</v>
      </c>
      <c r="N147">
        <v>0.32</v>
      </c>
      <c r="O147">
        <v>166.8</v>
      </c>
      <c r="P147">
        <v>107.2</v>
      </c>
      <c r="Q147">
        <v>226.2</v>
      </c>
      <c r="R147">
        <v>203.8</v>
      </c>
      <c r="S147">
        <v>160.6</v>
      </c>
      <c r="T147">
        <v>246.2</v>
      </c>
    </row>
    <row r="148" spans="1:20" x14ac:dyDescent="0.2">
      <c r="A148" t="s">
        <v>137</v>
      </c>
      <c r="B148">
        <v>0.13600000000000001</v>
      </c>
      <c r="C148" s="1">
        <v>141.0241</v>
      </c>
      <c r="D148" s="1">
        <v>14.1739</v>
      </c>
      <c r="E148">
        <v>20.3</v>
      </c>
      <c r="F148">
        <v>17</v>
      </c>
      <c r="G148">
        <v>24</v>
      </c>
      <c r="H148">
        <v>140.9</v>
      </c>
      <c r="I148">
        <v>135.69999999999999</v>
      </c>
      <c r="J148">
        <v>144.80000000000001</v>
      </c>
      <c r="K148">
        <v>1.07</v>
      </c>
      <c r="L148">
        <v>1.01</v>
      </c>
      <c r="M148">
        <v>1.1200000000000001</v>
      </c>
      <c r="N148">
        <v>1.29</v>
      </c>
      <c r="O148">
        <v>30.8</v>
      </c>
      <c r="P148">
        <v>28.5</v>
      </c>
      <c r="Q148">
        <v>33.299999999999997</v>
      </c>
      <c r="R148">
        <v>42.1</v>
      </c>
      <c r="S148">
        <v>40.1</v>
      </c>
      <c r="T148">
        <v>44.1</v>
      </c>
    </row>
    <row r="149" spans="1:20" x14ac:dyDescent="0.2">
      <c r="A149" t="s">
        <v>138</v>
      </c>
      <c r="B149">
        <v>2.7E-2</v>
      </c>
      <c r="C149" s="1">
        <v>143.35730000000001</v>
      </c>
      <c r="D149" s="1">
        <v>34.048099999999998</v>
      </c>
      <c r="E149">
        <v>-0.4</v>
      </c>
      <c r="F149">
        <v>-45.8</v>
      </c>
      <c r="G149">
        <v>-6.7</v>
      </c>
      <c r="H149">
        <v>87.3</v>
      </c>
      <c r="I149">
        <v>63.5</v>
      </c>
      <c r="J149">
        <v>81.2</v>
      </c>
      <c r="K149">
        <v>0.62</v>
      </c>
      <c r="L149">
        <v>0.21</v>
      </c>
      <c r="M149">
        <v>0.5</v>
      </c>
      <c r="N149">
        <v>0.1</v>
      </c>
      <c r="O149">
        <v>22.4</v>
      </c>
      <c r="P149">
        <v>20.9</v>
      </c>
      <c r="Q149">
        <v>23.9</v>
      </c>
      <c r="R149">
        <v>33.299999999999997</v>
      </c>
      <c r="S149">
        <v>31.4</v>
      </c>
      <c r="T149">
        <v>35.299999999999997</v>
      </c>
    </row>
    <row r="150" spans="1:20" x14ac:dyDescent="0.2">
      <c r="A150" t="s">
        <v>139</v>
      </c>
      <c r="B150">
        <v>0.36</v>
      </c>
      <c r="C150" s="1">
        <v>144.5847</v>
      </c>
      <c r="D150" s="1">
        <v>52.048400000000001</v>
      </c>
      <c r="E150">
        <v>107.9</v>
      </c>
      <c r="F150">
        <v>84</v>
      </c>
      <c r="G150">
        <v>119.8</v>
      </c>
      <c r="H150">
        <v>152.6</v>
      </c>
      <c r="I150">
        <v>143.5</v>
      </c>
      <c r="J150">
        <v>168.3</v>
      </c>
      <c r="K150">
        <v>2.34</v>
      </c>
      <c r="L150">
        <v>1.63</v>
      </c>
      <c r="M150">
        <v>2.68</v>
      </c>
      <c r="N150">
        <v>0.1</v>
      </c>
      <c r="O150">
        <v>103.4</v>
      </c>
      <c r="P150">
        <v>85.7</v>
      </c>
      <c r="Q150">
        <v>120.2</v>
      </c>
      <c r="R150">
        <v>105.4</v>
      </c>
      <c r="S150">
        <v>88.6</v>
      </c>
      <c r="T150">
        <v>120.7</v>
      </c>
    </row>
    <row r="151" spans="1:20" x14ac:dyDescent="0.2">
      <c r="A151" t="s">
        <v>496</v>
      </c>
      <c r="B151">
        <v>0.153</v>
      </c>
      <c r="C151" s="1">
        <v>146.35890000000001</v>
      </c>
      <c r="D151" s="1">
        <v>-8.6568000000000005</v>
      </c>
      <c r="E151">
        <v>229.2</v>
      </c>
      <c r="F151">
        <v>219.8</v>
      </c>
      <c r="G151">
        <v>232.7</v>
      </c>
      <c r="H151">
        <v>231</v>
      </c>
      <c r="I151">
        <v>221.7</v>
      </c>
      <c r="J151">
        <v>234.5</v>
      </c>
      <c r="K151">
        <v>3.07</v>
      </c>
      <c r="L151">
        <v>3.07</v>
      </c>
      <c r="M151">
        <v>3.09</v>
      </c>
      <c r="N151">
        <v>0.65</v>
      </c>
      <c r="O151">
        <v>225.2</v>
      </c>
      <c r="P151">
        <v>219.8</v>
      </c>
      <c r="Q151">
        <v>232.7</v>
      </c>
      <c r="R151">
        <v>225.2</v>
      </c>
      <c r="S151">
        <v>219.8</v>
      </c>
      <c r="T151">
        <v>232.7</v>
      </c>
    </row>
    <row r="152" spans="1:20" x14ac:dyDescent="0.2">
      <c r="A152" t="s">
        <v>497</v>
      </c>
      <c r="B152">
        <v>0.35399999999999998</v>
      </c>
      <c r="C152" s="1">
        <v>146.80279999999999</v>
      </c>
      <c r="D152" s="1">
        <v>76.387100000000004</v>
      </c>
      <c r="E152">
        <v>22.5</v>
      </c>
      <c r="F152">
        <v>19.7</v>
      </c>
      <c r="G152">
        <v>24.8</v>
      </c>
      <c r="H152">
        <v>99.1</v>
      </c>
      <c r="I152">
        <v>93.5</v>
      </c>
      <c r="J152">
        <v>103</v>
      </c>
      <c r="K152">
        <v>1.64</v>
      </c>
      <c r="L152">
        <v>1.57</v>
      </c>
      <c r="M152">
        <v>1.72</v>
      </c>
      <c r="N152">
        <v>2.1</v>
      </c>
      <c r="O152">
        <v>24.1</v>
      </c>
      <c r="P152">
        <v>21.8</v>
      </c>
      <c r="Q152">
        <v>26.4</v>
      </c>
      <c r="R152">
        <v>27.8</v>
      </c>
      <c r="S152">
        <v>26</v>
      </c>
      <c r="T152">
        <v>29.7</v>
      </c>
    </row>
    <row r="153" spans="1:20" x14ac:dyDescent="0.2">
      <c r="A153" t="s">
        <v>140</v>
      </c>
      <c r="B153">
        <v>0.214</v>
      </c>
      <c r="C153" s="1">
        <v>148.2056</v>
      </c>
      <c r="D153" s="1">
        <v>51.8842</v>
      </c>
      <c r="E153">
        <v>29.6</v>
      </c>
      <c r="F153">
        <v>27.1</v>
      </c>
      <c r="G153">
        <v>32</v>
      </c>
      <c r="H153">
        <v>125.8</v>
      </c>
      <c r="I153">
        <v>121.6</v>
      </c>
      <c r="J153">
        <v>129.5</v>
      </c>
      <c r="K153">
        <v>1.37</v>
      </c>
      <c r="L153">
        <v>1.31</v>
      </c>
      <c r="M153">
        <v>1.42</v>
      </c>
      <c r="N153">
        <v>1.04</v>
      </c>
      <c r="O153">
        <v>33.700000000000003</v>
      </c>
      <c r="P153">
        <v>31.7</v>
      </c>
      <c r="Q153">
        <v>35.700000000000003</v>
      </c>
      <c r="R153">
        <v>40.200000000000003</v>
      </c>
      <c r="S153">
        <v>38.6</v>
      </c>
      <c r="T153">
        <v>41.8</v>
      </c>
    </row>
    <row r="154" spans="1:20" x14ac:dyDescent="0.2">
      <c r="A154" t="s">
        <v>143</v>
      </c>
      <c r="B154">
        <v>0.153</v>
      </c>
      <c r="C154" s="1">
        <v>149.5917</v>
      </c>
      <c r="D154" s="1">
        <v>-11.064</v>
      </c>
      <c r="E154">
        <v>12.5</v>
      </c>
      <c r="F154">
        <v>9.6999999999999993</v>
      </c>
      <c r="G154">
        <v>14.8</v>
      </c>
      <c r="H154">
        <v>151.80000000000001</v>
      </c>
      <c r="I154">
        <v>147.5</v>
      </c>
      <c r="J154">
        <v>155</v>
      </c>
      <c r="K154">
        <v>0.94</v>
      </c>
      <c r="L154">
        <v>0.91</v>
      </c>
      <c r="M154">
        <v>0.96</v>
      </c>
      <c r="N154">
        <v>3.49</v>
      </c>
      <c r="O154">
        <v>28.5</v>
      </c>
      <c r="P154">
        <v>26.9</v>
      </c>
      <c r="Q154">
        <v>30</v>
      </c>
      <c r="R154">
        <v>43.2</v>
      </c>
      <c r="S154">
        <v>41.6</v>
      </c>
      <c r="T154">
        <v>44.8</v>
      </c>
    </row>
    <row r="155" spans="1:20" x14ac:dyDescent="0.2">
      <c r="A155" t="s">
        <v>144</v>
      </c>
      <c r="B155">
        <v>0.24</v>
      </c>
      <c r="C155" s="1">
        <v>150.0067</v>
      </c>
      <c r="D155" s="1">
        <v>-30.277200000000001</v>
      </c>
      <c r="E155">
        <v>96.5</v>
      </c>
      <c r="F155">
        <v>21.3</v>
      </c>
      <c r="G155">
        <v>143.69999999999999</v>
      </c>
      <c r="H155">
        <v>273.39999999999998</v>
      </c>
      <c r="I155">
        <v>256.89999999999998</v>
      </c>
      <c r="J155">
        <v>292.39999999999998</v>
      </c>
      <c r="K155">
        <v>0.79</v>
      </c>
      <c r="L155">
        <v>0.61</v>
      </c>
      <c r="M155">
        <v>0.95</v>
      </c>
      <c r="N155">
        <v>0.6</v>
      </c>
      <c r="O155">
        <v>122.7</v>
      </c>
      <c r="P155">
        <v>84.5</v>
      </c>
      <c r="Q155">
        <v>159.69999999999999</v>
      </c>
      <c r="R155">
        <v>145.80000000000001</v>
      </c>
      <c r="S155">
        <v>116.6</v>
      </c>
      <c r="T155">
        <v>174</v>
      </c>
    </row>
    <row r="156" spans="1:20" x14ac:dyDescent="0.2">
      <c r="A156" t="s">
        <v>504</v>
      </c>
      <c r="B156">
        <v>1.3299999999999999E-2</v>
      </c>
      <c r="C156" s="1">
        <v>150.05930000000001</v>
      </c>
      <c r="D156" s="1">
        <v>-19.636299999999999</v>
      </c>
      <c r="E156">
        <v>0.4</v>
      </c>
      <c r="F156">
        <v>0.8</v>
      </c>
      <c r="G156">
        <v>1.7</v>
      </c>
      <c r="H156">
        <v>111.9</v>
      </c>
      <c r="I156">
        <v>118.7</v>
      </c>
      <c r="J156">
        <v>172.6</v>
      </c>
      <c r="K156">
        <v>0.77</v>
      </c>
      <c r="L156">
        <v>0.83</v>
      </c>
      <c r="M156">
        <v>0.97</v>
      </c>
      <c r="N156">
        <v>0.56999999999999995</v>
      </c>
      <c r="O156">
        <v>19.399999999999999</v>
      </c>
      <c r="P156">
        <v>18.3</v>
      </c>
      <c r="Q156">
        <v>20.5</v>
      </c>
      <c r="R156">
        <v>35</v>
      </c>
      <c r="S156">
        <v>32.200000000000003</v>
      </c>
      <c r="T156">
        <v>37.9</v>
      </c>
    </row>
    <row r="157" spans="1:20" x14ac:dyDescent="0.2">
      <c r="A157" t="s">
        <v>145</v>
      </c>
      <c r="B157">
        <v>0.154</v>
      </c>
      <c r="C157" s="1">
        <v>150.13069999999999</v>
      </c>
      <c r="D157" s="1">
        <v>44.145800000000001</v>
      </c>
      <c r="E157">
        <v>24.4</v>
      </c>
      <c r="F157">
        <v>15.1</v>
      </c>
      <c r="G157">
        <v>32.6</v>
      </c>
      <c r="H157">
        <v>126.7</v>
      </c>
      <c r="I157">
        <v>118.6</v>
      </c>
      <c r="J157">
        <v>134.69999999999999</v>
      </c>
      <c r="K157">
        <v>1.03</v>
      </c>
      <c r="L157">
        <v>0.9</v>
      </c>
      <c r="M157">
        <v>1.18</v>
      </c>
      <c r="N157">
        <v>0.11</v>
      </c>
      <c r="O157">
        <v>34.4</v>
      </c>
      <c r="P157">
        <v>28.7</v>
      </c>
      <c r="Q157">
        <v>40.1</v>
      </c>
      <c r="R157">
        <v>44.4</v>
      </c>
      <c r="S157">
        <v>40.299999999999997</v>
      </c>
      <c r="T157">
        <v>48.3</v>
      </c>
    </row>
    <row r="158" spans="1:20" x14ac:dyDescent="0.2">
      <c r="A158" t="s">
        <v>147</v>
      </c>
      <c r="B158">
        <v>0.221</v>
      </c>
      <c r="C158" s="1">
        <v>152.19810000000001</v>
      </c>
      <c r="D158" s="1">
        <v>11.790800000000001</v>
      </c>
      <c r="E158">
        <v>133.4</v>
      </c>
      <c r="F158">
        <v>110.2</v>
      </c>
      <c r="G158">
        <v>153.5</v>
      </c>
      <c r="H158">
        <v>201.8</v>
      </c>
      <c r="I158">
        <v>191.3</v>
      </c>
      <c r="J158">
        <v>214.7</v>
      </c>
      <c r="K158">
        <v>1.34</v>
      </c>
      <c r="L158">
        <v>1.17</v>
      </c>
      <c r="M158">
        <v>1.5</v>
      </c>
      <c r="N158">
        <v>0.99</v>
      </c>
      <c r="O158">
        <v>135.80000000000001</v>
      </c>
      <c r="P158">
        <v>116</v>
      </c>
      <c r="Q158">
        <v>155.6</v>
      </c>
      <c r="R158">
        <v>141.19999999999999</v>
      </c>
      <c r="S158">
        <v>123</v>
      </c>
      <c r="T158">
        <v>159.9</v>
      </c>
    </row>
    <row r="159" spans="1:20" x14ac:dyDescent="0.2">
      <c r="A159" t="s">
        <v>148</v>
      </c>
      <c r="B159">
        <v>0.30099999999999999</v>
      </c>
      <c r="C159" s="1">
        <v>152.63550000000001</v>
      </c>
      <c r="D159" s="1">
        <v>-12.6633</v>
      </c>
      <c r="E159">
        <v>53.4</v>
      </c>
      <c r="F159">
        <v>-47</v>
      </c>
      <c r="G159">
        <v>60.3</v>
      </c>
      <c r="H159">
        <v>243.6</v>
      </c>
      <c r="I159">
        <v>238</v>
      </c>
      <c r="J159">
        <v>263.3</v>
      </c>
      <c r="K159">
        <v>0.64</v>
      </c>
      <c r="L159">
        <v>0.43</v>
      </c>
      <c r="M159">
        <v>0.66</v>
      </c>
      <c r="N159">
        <v>0.91</v>
      </c>
      <c r="O159">
        <v>84.7</v>
      </c>
      <c r="P159">
        <v>62.9</v>
      </c>
      <c r="Q159">
        <v>105.6</v>
      </c>
      <c r="R159">
        <v>115.7</v>
      </c>
      <c r="S159">
        <v>101.4</v>
      </c>
      <c r="T159">
        <v>131.5</v>
      </c>
    </row>
    <row r="160" spans="1:20" x14ac:dyDescent="0.2">
      <c r="A160" t="s">
        <v>149</v>
      </c>
      <c r="B160">
        <v>0.20599999999999999</v>
      </c>
      <c r="C160" s="1">
        <v>154.26519999999999</v>
      </c>
      <c r="D160" s="1">
        <v>39.0471</v>
      </c>
      <c r="E160">
        <v>39.6</v>
      </c>
      <c r="F160">
        <v>26.8</v>
      </c>
      <c r="G160">
        <v>50.8</v>
      </c>
      <c r="H160">
        <v>190.2</v>
      </c>
      <c r="I160">
        <v>179.3</v>
      </c>
      <c r="J160">
        <v>198.7</v>
      </c>
      <c r="K160">
        <v>0.82</v>
      </c>
      <c r="L160">
        <v>0.74</v>
      </c>
      <c r="M160">
        <v>0.91</v>
      </c>
      <c r="N160">
        <v>0.74</v>
      </c>
      <c r="O160">
        <v>62.2</v>
      </c>
      <c r="P160">
        <v>55.7</v>
      </c>
      <c r="Q160">
        <v>69</v>
      </c>
      <c r="R160">
        <v>79.599999999999994</v>
      </c>
      <c r="S160">
        <v>74</v>
      </c>
      <c r="T160">
        <v>85</v>
      </c>
    </row>
    <row r="161" spans="1:20" x14ac:dyDescent="0.2">
      <c r="A161" t="s">
        <v>506</v>
      </c>
      <c r="B161">
        <v>5.8999999999999997E-2</v>
      </c>
      <c r="C161" s="1">
        <v>154.34809999999999</v>
      </c>
      <c r="D161" s="1">
        <v>-10.6851</v>
      </c>
      <c r="E161">
        <v>91.6</v>
      </c>
      <c r="F161">
        <v>62.5</v>
      </c>
      <c r="G161">
        <v>111.9</v>
      </c>
      <c r="H161">
        <v>208.1</v>
      </c>
      <c r="I161">
        <v>200.7</v>
      </c>
      <c r="J161">
        <v>221.9</v>
      </c>
      <c r="K161">
        <v>1.1000000000000001</v>
      </c>
      <c r="L161">
        <v>0.9</v>
      </c>
      <c r="M161">
        <v>1.24</v>
      </c>
      <c r="N161">
        <v>0.64</v>
      </c>
      <c r="O161">
        <v>100.1</v>
      </c>
      <c r="P161">
        <v>81.3</v>
      </c>
      <c r="Q161">
        <v>117.9</v>
      </c>
      <c r="R161">
        <v>112.2</v>
      </c>
      <c r="S161">
        <v>96.2</v>
      </c>
      <c r="T161">
        <v>126.9</v>
      </c>
    </row>
    <row r="162" spans="1:20" x14ac:dyDescent="0.2">
      <c r="A162" t="s">
        <v>507</v>
      </c>
      <c r="B162">
        <v>4.9000000000000002E-2</v>
      </c>
      <c r="C162" s="1">
        <v>155.54159999999999</v>
      </c>
      <c r="D162" s="1">
        <v>38.523000000000003</v>
      </c>
      <c r="E162">
        <v>13</v>
      </c>
      <c r="F162">
        <v>-1.5</v>
      </c>
      <c r="G162">
        <v>26.3</v>
      </c>
      <c r="H162">
        <v>219.1</v>
      </c>
      <c r="I162">
        <v>197.4</v>
      </c>
      <c r="J162">
        <v>245</v>
      </c>
      <c r="K162">
        <v>0.8</v>
      </c>
      <c r="L162">
        <v>0.6</v>
      </c>
      <c r="M162">
        <v>1.08</v>
      </c>
      <c r="N162">
        <v>0.36</v>
      </c>
      <c r="O162">
        <v>46.4</v>
      </c>
      <c r="P162">
        <v>42.1</v>
      </c>
      <c r="Q162">
        <v>50.3</v>
      </c>
      <c r="R162">
        <v>69.8</v>
      </c>
      <c r="S162">
        <v>63.4</v>
      </c>
      <c r="T162">
        <v>76.5</v>
      </c>
    </row>
    <row r="163" spans="1:20" x14ac:dyDescent="0.2">
      <c r="A163" t="s">
        <v>508</v>
      </c>
      <c r="B163">
        <v>0.158</v>
      </c>
      <c r="C163" s="1">
        <v>155.6182</v>
      </c>
      <c r="D163" s="1">
        <v>50.106099999999998</v>
      </c>
      <c r="E163">
        <v>141.30000000000001</v>
      </c>
      <c r="F163">
        <v>99.5</v>
      </c>
      <c r="G163">
        <v>150.80000000000001</v>
      </c>
      <c r="H163">
        <v>212.4</v>
      </c>
      <c r="I163">
        <v>199.7</v>
      </c>
      <c r="J163">
        <v>234.1</v>
      </c>
      <c r="K163">
        <v>1.32</v>
      </c>
      <c r="L163">
        <v>0.93</v>
      </c>
      <c r="M163">
        <v>1.42</v>
      </c>
      <c r="N163">
        <v>0.28999999999999998</v>
      </c>
      <c r="O163">
        <v>133</v>
      </c>
      <c r="P163">
        <v>111.4</v>
      </c>
      <c r="Q163">
        <v>156</v>
      </c>
      <c r="R163">
        <v>141.69999999999999</v>
      </c>
      <c r="S163">
        <v>122.9</v>
      </c>
      <c r="T163">
        <v>163.19999999999999</v>
      </c>
    </row>
    <row r="164" spans="1:20" x14ac:dyDescent="0.2">
      <c r="A164" t="s">
        <v>509</v>
      </c>
      <c r="B164">
        <v>0.29099999999999998</v>
      </c>
      <c r="C164" s="1">
        <v>155.91540000000001</v>
      </c>
      <c r="D164" s="1">
        <v>4.1863000000000001</v>
      </c>
      <c r="E164">
        <v>14.3</v>
      </c>
      <c r="F164">
        <v>12.5</v>
      </c>
      <c r="G164">
        <v>15.4</v>
      </c>
      <c r="H164">
        <v>104.2</v>
      </c>
      <c r="I164">
        <v>101.4</v>
      </c>
      <c r="J164">
        <v>108.1</v>
      </c>
      <c r="K164">
        <v>1.38</v>
      </c>
      <c r="L164">
        <v>1.33</v>
      </c>
      <c r="M164">
        <v>1.41</v>
      </c>
      <c r="N164">
        <v>4.22</v>
      </c>
      <c r="O164">
        <v>17.899999999999999</v>
      </c>
      <c r="P164">
        <v>16.8</v>
      </c>
      <c r="Q164">
        <v>18.899999999999999</v>
      </c>
      <c r="R164">
        <v>24</v>
      </c>
      <c r="S164">
        <v>23.2</v>
      </c>
      <c r="T164">
        <v>24.8</v>
      </c>
    </row>
    <row r="165" spans="1:20" x14ac:dyDescent="0.2">
      <c r="A165" t="s">
        <v>511</v>
      </c>
      <c r="B165">
        <v>0.14399999999999999</v>
      </c>
      <c r="C165" s="1">
        <v>155.9162</v>
      </c>
      <c r="D165" s="1">
        <v>49.144500000000001</v>
      </c>
      <c r="E165">
        <v>156.69999999999999</v>
      </c>
      <c r="F165">
        <v>127.5</v>
      </c>
      <c r="G165">
        <v>181.4</v>
      </c>
      <c r="H165">
        <v>199.8</v>
      </c>
      <c r="I165">
        <v>194.2</v>
      </c>
      <c r="J165">
        <v>220.7</v>
      </c>
      <c r="K165">
        <v>1.48</v>
      </c>
      <c r="L165">
        <v>1.1499999999999999</v>
      </c>
      <c r="M165">
        <v>1.63</v>
      </c>
      <c r="N165">
        <v>0.66</v>
      </c>
      <c r="O165">
        <v>157</v>
      </c>
      <c r="P165">
        <v>132.6</v>
      </c>
      <c r="Q165">
        <v>182.7</v>
      </c>
      <c r="R165">
        <v>161</v>
      </c>
      <c r="S165">
        <v>138.5</v>
      </c>
      <c r="T165">
        <v>185</v>
      </c>
    </row>
    <row r="166" spans="1:20" x14ac:dyDescent="0.2">
      <c r="A166" t="s">
        <v>150</v>
      </c>
      <c r="B166">
        <v>0.253</v>
      </c>
      <c r="C166" s="1">
        <v>155.95920000000001</v>
      </c>
      <c r="D166" s="1">
        <v>-27.256399999999999</v>
      </c>
      <c r="E166">
        <v>18.2</v>
      </c>
      <c r="F166">
        <v>15.7</v>
      </c>
      <c r="G166">
        <v>20.7</v>
      </c>
      <c r="H166">
        <v>96</v>
      </c>
      <c r="I166">
        <v>91.8</v>
      </c>
      <c r="J166">
        <v>99.3</v>
      </c>
      <c r="K166">
        <v>1.4</v>
      </c>
      <c r="L166">
        <v>1.34</v>
      </c>
      <c r="M166">
        <v>1.47</v>
      </c>
      <c r="N166">
        <v>0.87</v>
      </c>
      <c r="O166">
        <v>21.4</v>
      </c>
      <c r="P166">
        <v>19.399999999999999</v>
      </c>
      <c r="Q166">
        <v>23.3</v>
      </c>
      <c r="R166">
        <v>26.4</v>
      </c>
      <c r="S166">
        <v>25</v>
      </c>
      <c r="T166">
        <v>28</v>
      </c>
    </row>
    <row r="167" spans="1:20" x14ac:dyDescent="0.2">
      <c r="A167" t="s">
        <v>151</v>
      </c>
      <c r="B167">
        <v>0.126</v>
      </c>
      <c r="C167" s="1">
        <v>157.93629999999999</v>
      </c>
      <c r="D167" s="1">
        <v>35.040700000000001</v>
      </c>
      <c r="E167">
        <v>91.9</v>
      </c>
      <c r="F167">
        <v>68.5</v>
      </c>
      <c r="G167">
        <v>113.3</v>
      </c>
      <c r="H167">
        <v>235.7</v>
      </c>
      <c r="I167">
        <v>230.1</v>
      </c>
      <c r="J167">
        <v>245</v>
      </c>
      <c r="K167">
        <v>0.85</v>
      </c>
      <c r="L167">
        <v>0.75</v>
      </c>
      <c r="M167">
        <v>0.94</v>
      </c>
      <c r="N167">
        <v>2.2599999999999998</v>
      </c>
      <c r="O167">
        <v>115.1</v>
      </c>
      <c r="P167">
        <v>98.2</v>
      </c>
      <c r="Q167">
        <v>128.5</v>
      </c>
      <c r="R167">
        <v>131.6</v>
      </c>
      <c r="S167">
        <v>119</v>
      </c>
      <c r="T167">
        <v>142.19999999999999</v>
      </c>
    </row>
    <row r="168" spans="1:20" x14ac:dyDescent="0.2">
      <c r="A168" t="s">
        <v>514</v>
      </c>
      <c r="B168">
        <v>1.26E-2</v>
      </c>
      <c r="C168" s="1">
        <v>159.1782</v>
      </c>
      <c r="D168" s="1">
        <v>-27.526900000000001</v>
      </c>
      <c r="E168">
        <v>5.4</v>
      </c>
      <c r="F168">
        <v>-17.100000000000001</v>
      </c>
      <c r="G168">
        <v>14.6</v>
      </c>
      <c r="H168">
        <v>172.8</v>
      </c>
      <c r="I168">
        <v>168.1</v>
      </c>
      <c r="J168">
        <v>176.4</v>
      </c>
      <c r="K168">
        <v>0.4</v>
      </c>
      <c r="L168">
        <v>0.32</v>
      </c>
      <c r="M168">
        <v>0.45</v>
      </c>
      <c r="N168">
        <v>6.09</v>
      </c>
      <c r="O168">
        <v>72</v>
      </c>
      <c r="P168">
        <v>68.900000000000006</v>
      </c>
      <c r="Q168">
        <v>75</v>
      </c>
      <c r="R168">
        <v>93.5</v>
      </c>
      <c r="S168">
        <v>90</v>
      </c>
      <c r="T168">
        <v>97</v>
      </c>
    </row>
    <row r="169" spans="1:20" x14ac:dyDescent="0.2">
      <c r="A169" t="s">
        <v>153</v>
      </c>
      <c r="B169">
        <v>0.13800000000000001</v>
      </c>
      <c r="C169" s="1">
        <v>160.18549999999999</v>
      </c>
      <c r="D169" s="1">
        <v>39.953400000000002</v>
      </c>
      <c r="E169">
        <v>7.6</v>
      </c>
      <c r="F169">
        <v>6.8</v>
      </c>
      <c r="G169">
        <v>8.6</v>
      </c>
      <c r="H169">
        <v>114.2</v>
      </c>
      <c r="I169">
        <v>110.2</v>
      </c>
      <c r="J169">
        <v>117.2</v>
      </c>
      <c r="K169">
        <v>1.2</v>
      </c>
      <c r="L169">
        <v>1.17</v>
      </c>
      <c r="M169">
        <v>1.25</v>
      </c>
      <c r="N169">
        <v>1.47</v>
      </c>
      <c r="O169">
        <v>14.3</v>
      </c>
      <c r="P169">
        <v>13.8</v>
      </c>
      <c r="Q169">
        <v>14.9</v>
      </c>
      <c r="R169">
        <v>23</v>
      </c>
      <c r="S169">
        <v>22.2</v>
      </c>
      <c r="T169">
        <v>23.7</v>
      </c>
    </row>
    <row r="170" spans="1:20" x14ac:dyDescent="0.2">
      <c r="A170" t="s">
        <v>517</v>
      </c>
      <c r="B170">
        <v>1.4999999999999999E-2</v>
      </c>
      <c r="C170" s="1">
        <v>162.6086</v>
      </c>
      <c r="D170" s="1">
        <v>-12.845000000000001</v>
      </c>
      <c r="E170">
        <v>1.6</v>
      </c>
      <c r="F170">
        <v>1.4</v>
      </c>
      <c r="G170">
        <v>1.8</v>
      </c>
      <c r="H170">
        <v>101.9</v>
      </c>
      <c r="I170">
        <v>97.7</v>
      </c>
      <c r="J170">
        <v>105.6</v>
      </c>
      <c r="K170">
        <v>0.92</v>
      </c>
      <c r="L170">
        <v>0.89</v>
      </c>
      <c r="M170">
        <v>0.95</v>
      </c>
      <c r="N170">
        <v>3.61</v>
      </c>
      <c r="O170">
        <v>13.6</v>
      </c>
      <c r="P170">
        <v>13.4</v>
      </c>
      <c r="Q170">
        <v>13.9</v>
      </c>
      <c r="R170">
        <v>24.3</v>
      </c>
      <c r="S170">
        <v>24</v>
      </c>
      <c r="T170">
        <v>24.7</v>
      </c>
    </row>
    <row r="171" spans="1:20" x14ac:dyDescent="0.2">
      <c r="A171" t="s">
        <v>518</v>
      </c>
      <c r="B171">
        <v>7.0000000000000007E-2</v>
      </c>
      <c r="C171" s="1">
        <v>163.38419999999999</v>
      </c>
      <c r="D171" s="1">
        <v>54.875399999999999</v>
      </c>
      <c r="E171">
        <v>-8.5</v>
      </c>
      <c r="F171">
        <v>-29.8</v>
      </c>
      <c r="G171">
        <v>8.9</v>
      </c>
      <c r="H171">
        <v>118.7</v>
      </c>
      <c r="I171">
        <v>111</v>
      </c>
      <c r="J171">
        <v>124.9</v>
      </c>
      <c r="K171">
        <v>0.72</v>
      </c>
      <c r="L171">
        <v>0.62</v>
      </c>
      <c r="M171">
        <v>0.84</v>
      </c>
      <c r="N171">
        <v>0.63</v>
      </c>
      <c r="O171">
        <v>15.4</v>
      </c>
      <c r="P171">
        <v>5.4</v>
      </c>
      <c r="Q171">
        <v>25.7</v>
      </c>
      <c r="R171">
        <v>31.2</v>
      </c>
      <c r="S171">
        <v>23.9</v>
      </c>
      <c r="T171">
        <v>38.5</v>
      </c>
    </row>
    <row r="172" spans="1:20" x14ac:dyDescent="0.2">
      <c r="A172" t="s">
        <v>154</v>
      </c>
      <c r="B172">
        <v>0.82299999999999995</v>
      </c>
      <c r="C172" s="1">
        <v>164.23269999999999</v>
      </c>
      <c r="D172" s="1">
        <v>-3.6272000000000002</v>
      </c>
      <c r="E172">
        <v>157.6</v>
      </c>
      <c r="F172">
        <v>29.8</v>
      </c>
      <c r="G172">
        <v>178.9</v>
      </c>
      <c r="H172">
        <v>206</v>
      </c>
      <c r="I172">
        <v>192.4</v>
      </c>
      <c r="J172">
        <v>241.5</v>
      </c>
      <c r="K172">
        <v>1.85</v>
      </c>
      <c r="L172">
        <v>0.53</v>
      </c>
      <c r="M172">
        <v>2.0099999999999998</v>
      </c>
      <c r="N172">
        <v>0.13</v>
      </c>
      <c r="O172">
        <v>131.30000000000001</v>
      </c>
      <c r="P172">
        <v>77.099999999999994</v>
      </c>
      <c r="Q172">
        <v>181.5</v>
      </c>
      <c r="R172">
        <v>142.80000000000001</v>
      </c>
      <c r="S172">
        <v>102.3</v>
      </c>
      <c r="T172">
        <v>184</v>
      </c>
    </row>
    <row r="173" spans="1:20" x14ac:dyDescent="0.2">
      <c r="A173" t="s">
        <v>156</v>
      </c>
      <c r="B173">
        <v>0.44900000000000001</v>
      </c>
      <c r="C173" s="1">
        <v>167.2304</v>
      </c>
      <c r="D173" s="1">
        <v>9.0989000000000004</v>
      </c>
      <c r="E173">
        <v>-210.9</v>
      </c>
      <c r="F173">
        <v>-251.6</v>
      </c>
      <c r="G173">
        <v>-116.6</v>
      </c>
      <c r="H173">
        <v>169.4</v>
      </c>
      <c r="I173">
        <v>149.19999999999999</v>
      </c>
      <c r="J173">
        <v>174.7</v>
      </c>
      <c r="K173">
        <v>0.44</v>
      </c>
      <c r="L173">
        <v>0.4</v>
      </c>
      <c r="M173">
        <v>0.6</v>
      </c>
      <c r="N173">
        <v>0.18</v>
      </c>
      <c r="O173">
        <v>-66</v>
      </c>
      <c r="P173">
        <v>-79.900000000000006</v>
      </c>
      <c r="Q173">
        <v>-50.9</v>
      </c>
      <c r="R173">
        <v>-21.5</v>
      </c>
      <c r="S173">
        <v>-27.2</v>
      </c>
      <c r="T173">
        <v>-15.4</v>
      </c>
    </row>
    <row r="174" spans="1:20" x14ac:dyDescent="0.2">
      <c r="A174" t="s">
        <v>157</v>
      </c>
      <c r="B174">
        <v>3.2000000000000001E-2</v>
      </c>
      <c r="C174" s="1">
        <v>167.43520000000001</v>
      </c>
      <c r="D174" s="1">
        <v>21.7591</v>
      </c>
      <c r="E174">
        <v>-53.6</v>
      </c>
      <c r="F174">
        <v>-190.5</v>
      </c>
      <c r="G174">
        <v>-26.5</v>
      </c>
      <c r="H174">
        <v>166.1</v>
      </c>
      <c r="I174">
        <v>154.9</v>
      </c>
      <c r="J174">
        <v>170.4</v>
      </c>
      <c r="K174">
        <v>0.33</v>
      </c>
      <c r="L174">
        <v>0.15</v>
      </c>
      <c r="M174">
        <v>0.43</v>
      </c>
      <c r="N174">
        <v>0.33</v>
      </c>
      <c r="O174">
        <v>50.3</v>
      </c>
      <c r="P174">
        <v>45.4</v>
      </c>
      <c r="Q174">
        <v>55.6</v>
      </c>
      <c r="R174">
        <v>76.5</v>
      </c>
      <c r="S174">
        <v>70.5</v>
      </c>
      <c r="T174">
        <v>83.5</v>
      </c>
    </row>
    <row r="175" spans="1:20" x14ac:dyDescent="0.2">
      <c r="A175" t="s">
        <v>521</v>
      </c>
      <c r="B175">
        <v>2.1999999999999999E-2</v>
      </c>
      <c r="C175" s="1">
        <v>167.66900000000001</v>
      </c>
      <c r="D175" s="1">
        <v>28.713799999999999</v>
      </c>
      <c r="E175">
        <v>75.900000000000006</v>
      </c>
      <c r="F175">
        <v>70.3</v>
      </c>
      <c r="G175">
        <v>85.6</v>
      </c>
      <c r="H175">
        <v>552.9</v>
      </c>
      <c r="I175">
        <v>498.5</v>
      </c>
      <c r="J175">
        <v>1698.3</v>
      </c>
      <c r="K175">
        <v>4.42</v>
      </c>
      <c r="L175">
        <v>4.8600000000000003</v>
      </c>
      <c r="M175">
        <v>8.3800000000000008</v>
      </c>
      <c r="N175">
        <v>0.41</v>
      </c>
      <c r="O175">
        <v>77.900000000000006</v>
      </c>
      <c r="P175">
        <v>70.3</v>
      </c>
      <c r="Q175">
        <v>85.6</v>
      </c>
      <c r="R175">
        <v>78.099999999999994</v>
      </c>
      <c r="S175">
        <v>70.599999999999994</v>
      </c>
      <c r="T175">
        <v>85.6</v>
      </c>
    </row>
    <row r="176" spans="1:20" x14ac:dyDescent="0.2">
      <c r="A176" t="s">
        <v>522</v>
      </c>
      <c r="B176">
        <v>7.4999999999999997E-2</v>
      </c>
      <c r="C176" s="1">
        <v>167.91589999999999</v>
      </c>
      <c r="D176" s="1">
        <v>40.840200000000003</v>
      </c>
      <c r="E176">
        <v>255</v>
      </c>
      <c r="F176">
        <v>160.19999999999999</v>
      </c>
      <c r="G176">
        <v>440.9</v>
      </c>
      <c r="H176">
        <v>275.8</v>
      </c>
      <c r="I176">
        <v>280</v>
      </c>
      <c r="J176">
        <v>327.10000000000002</v>
      </c>
      <c r="K176">
        <v>1.89</v>
      </c>
      <c r="L176">
        <v>-0.28999999999999998</v>
      </c>
      <c r="M176">
        <v>1.33</v>
      </c>
      <c r="N176">
        <v>0.15</v>
      </c>
      <c r="O176">
        <v>232.8</v>
      </c>
      <c r="P176">
        <v>176.9</v>
      </c>
      <c r="Q176">
        <v>290.8</v>
      </c>
      <c r="R176">
        <v>253.8</v>
      </c>
      <c r="S176">
        <v>206.1</v>
      </c>
      <c r="T176">
        <v>298.60000000000002</v>
      </c>
    </row>
    <row r="177" spans="1:20" x14ac:dyDescent="0.2">
      <c r="A177" t="s">
        <v>158</v>
      </c>
      <c r="B177">
        <v>0.16900000000000001</v>
      </c>
      <c r="C177" s="1">
        <v>168.2278</v>
      </c>
      <c r="D177" s="1">
        <v>13.4339</v>
      </c>
      <c r="E177">
        <v>9.8000000000000007</v>
      </c>
      <c r="F177">
        <v>-47.8</v>
      </c>
      <c r="G177">
        <v>42.1</v>
      </c>
      <c r="H177">
        <v>216.9</v>
      </c>
      <c r="I177">
        <v>202.8</v>
      </c>
      <c r="J177">
        <v>226.6</v>
      </c>
      <c r="K177">
        <v>0.66</v>
      </c>
      <c r="L177">
        <v>0.46</v>
      </c>
      <c r="M177">
        <v>0.89</v>
      </c>
      <c r="N177">
        <v>0.37</v>
      </c>
      <c r="O177">
        <v>55.3</v>
      </c>
      <c r="P177">
        <v>44.6</v>
      </c>
      <c r="Q177">
        <v>65.7</v>
      </c>
      <c r="R177">
        <v>81.7</v>
      </c>
      <c r="S177">
        <v>75.3</v>
      </c>
      <c r="T177">
        <v>88.4</v>
      </c>
    </row>
    <row r="178" spans="1:20" x14ac:dyDescent="0.2">
      <c r="A178" t="s">
        <v>160</v>
      </c>
      <c r="B178">
        <v>0.17100000000000001</v>
      </c>
      <c r="C178" s="1">
        <v>168.33510000000001</v>
      </c>
      <c r="D178" s="1">
        <v>17.5944</v>
      </c>
      <c r="E178">
        <v>13.1</v>
      </c>
      <c r="F178">
        <v>10.9</v>
      </c>
      <c r="G178">
        <v>15</v>
      </c>
      <c r="H178">
        <v>95.1</v>
      </c>
      <c r="I178">
        <v>91.5</v>
      </c>
      <c r="J178">
        <v>99.6</v>
      </c>
      <c r="K178">
        <v>1.3</v>
      </c>
      <c r="L178">
        <v>1.23</v>
      </c>
      <c r="M178">
        <v>1.35</v>
      </c>
      <c r="N178">
        <v>0.8</v>
      </c>
      <c r="O178">
        <v>17.2</v>
      </c>
      <c r="P178">
        <v>15.6</v>
      </c>
      <c r="Q178">
        <v>18.7</v>
      </c>
      <c r="R178">
        <v>23.3</v>
      </c>
      <c r="S178">
        <v>22.1</v>
      </c>
      <c r="T178">
        <v>24.5</v>
      </c>
    </row>
    <row r="179" spans="1:20" x14ac:dyDescent="0.2">
      <c r="A179" t="s">
        <v>161</v>
      </c>
      <c r="B179">
        <v>0.46600000000000003</v>
      </c>
      <c r="C179" s="1">
        <v>168.8116</v>
      </c>
      <c r="D179" s="1">
        <v>53.333300000000001</v>
      </c>
      <c r="E179">
        <v>206.2</v>
      </c>
      <c r="F179">
        <v>265.7</v>
      </c>
      <c r="G179">
        <v>406.3</v>
      </c>
      <c r="H179">
        <v>275.7</v>
      </c>
      <c r="I179">
        <v>306.2</v>
      </c>
      <c r="J179">
        <v>429.5</v>
      </c>
      <c r="K179">
        <v>1.28</v>
      </c>
      <c r="L179">
        <v>1.32</v>
      </c>
      <c r="M179">
        <v>2.17</v>
      </c>
      <c r="N179">
        <v>0.15</v>
      </c>
      <c r="O179">
        <v>343.3</v>
      </c>
      <c r="P179">
        <v>267.10000000000002</v>
      </c>
      <c r="Q179">
        <v>406.4</v>
      </c>
      <c r="R179">
        <v>345.3</v>
      </c>
      <c r="S179">
        <v>270.7</v>
      </c>
      <c r="T179">
        <v>407.5</v>
      </c>
    </row>
    <row r="180" spans="1:20" x14ac:dyDescent="0.2">
      <c r="A180" t="s">
        <v>162</v>
      </c>
      <c r="B180">
        <v>0.35199999999999998</v>
      </c>
      <c r="C180" s="1">
        <v>168.96610000000001</v>
      </c>
      <c r="D180" s="1">
        <v>1.4990000000000001</v>
      </c>
      <c r="E180">
        <v>22.9</v>
      </c>
      <c r="F180">
        <v>19.2</v>
      </c>
      <c r="G180">
        <v>26.4</v>
      </c>
      <c r="H180">
        <v>128.6</v>
      </c>
      <c r="I180">
        <v>122.4</v>
      </c>
      <c r="J180">
        <v>137.1</v>
      </c>
      <c r="K180">
        <v>1.54</v>
      </c>
      <c r="L180">
        <v>1.39</v>
      </c>
      <c r="M180">
        <v>1.66</v>
      </c>
      <c r="N180">
        <v>0.2</v>
      </c>
      <c r="O180">
        <v>26.1</v>
      </c>
      <c r="P180">
        <v>23.4</v>
      </c>
      <c r="Q180">
        <v>28.9</v>
      </c>
      <c r="R180">
        <v>32.200000000000003</v>
      </c>
      <c r="S180">
        <v>29.8</v>
      </c>
      <c r="T180">
        <v>34.700000000000003</v>
      </c>
    </row>
    <row r="181" spans="1:20" x14ac:dyDescent="0.2">
      <c r="A181" t="s">
        <v>526</v>
      </c>
      <c r="B181">
        <v>2.5999999999999999E-2</v>
      </c>
      <c r="C181" s="1">
        <v>170.60980000000001</v>
      </c>
      <c r="D181" s="1">
        <v>24.2986</v>
      </c>
      <c r="E181">
        <v>-6.6</v>
      </c>
      <c r="F181">
        <v>-8.3000000000000007</v>
      </c>
      <c r="G181">
        <v>-3</v>
      </c>
      <c r="H181">
        <v>125.4</v>
      </c>
      <c r="I181">
        <v>122.3</v>
      </c>
      <c r="J181">
        <v>142.1</v>
      </c>
      <c r="K181">
        <v>0.56999999999999995</v>
      </c>
      <c r="L181">
        <v>0.54</v>
      </c>
      <c r="M181">
        <v>0.67</v>
      </c>
      <c r="N181">
        <v>0.26</v>
      </c>
      <c r="O181">
        <v>28.7</v>
      </c>
      <c r="P181">
        <v>26.9</v>
      </c>
      <c r="Q181">
        <v>30.5</v>
      </c>
      <c r="R181">
        <v>46.4</v>
      </c>
      <c r="S181">
        <v>44.1</v>
      </c>
      <c r="T181">
        <v>48.8</v>
      </c>
    </row>
    <row r="182" spans="1:20" x14ac:dyDescent="0.2">
      <c r="A182" t="s">
        <v>164</v>
      </c>
      <c r="B182">
        <v>0.06</v>
      </c>
      <c r="C182" s="1">
        <v>172.51310000000001</v>
      </c>
      <c r="D182" s="1">
        <v>36.637</v>
      </c>
      <c r="E182">
        <v>5.4</v>
      </c>
      <c r="F182">
        <v>-16</v>
      </c>
      <c r="G182">
        <v>9.6999999999999993</v>
      </c>
      <c r="H182">
        <v>123.6</v>
      </c>
      <c r="I182">
        <v>112.8</v>
      </c>
      <c r="J182">
        <v>130.6</v>
      </c>
      <c r="K182">
        <v>0.65</v>
      </c>
      <c r="L182">
        <v>0.42</v>
      </c>
      <c r="M182">
        <v>0.73</v>
      </c>
      <c r="N182">
        <v>0.97</v>
      </c>
      <c r="O182">
        <v>32.1</v>
      </c>
      <c r="P182">
        <v>30.2</v>
      </c>
      <c r="Q182">
        <v>33.9</v>
      </c>
      <c r="R182">
        <v>47.7</v>
      </c>
      <c r="S182">
        <v>45.1</v>
      </c>
      <c r="T182">
        <v>50.4</v>
      </c>
    </row>
    <row r="183" spans="1:20" x14ac:dyDescent="0.2">
      <c r="A183" t="s">
        <v>528</v>
      </c>
      <c r="B183">
        <v>0.106</v>
      </c>
      <c r="C183" s="1">
        <v>172.5932</v>
      </c>
      <c r="D183" s="1">
        <v>-14.5807</v>
      </c>
      <c r="E183">
        <v>249.7</v>
      </c>
      <c r="F183">
        <v>212.7</v>
      </c>
      <c r="G183">
        <v>268.8</v>
      </c>
      <c r="H183">
        <v>288.8</v>
      </c>
      <c r="I183">
        <v>278.3</v>
      </c>
      <c r="J183">
        <v>307.39999999999998</v>
      </c>
      <c r="K183">
        <v>1.44</v>
      </c>
      <c r="L183">
        <v>1.1000000000000001</v>
      </c>
      <c r="M183">
        <v>1.62</v>
      </c>
      <c r="N183">
        <v>1.19</v>
      </c>
      <c r="O183">
        <v>245.5</v>
      </c>
      <c r="P183">
        <v>218.1</v>
      </c>
      <c r="Q183">
        <v>270.2</v>
      </c>
      <c r="R183">
        <v>249.3</v>
      </c>
      <c r="S183">
        <v>224.1</v>
      </c>
      <c r="T183">
        <v>271.8</v>
      </c>
    </row>
    <row r="184" spans="1:20" x14ac:dyDescent="0.2">
      <c r="A184" t="s">
        <v>530</v>
      </c>
      <c r="B184">
        <v>0.307</v>
      </c>
      <c r="C184" s="1">
        <v>172.97749999999999</v>
      </c>
      <c r="D184" s="1">
        <v>-19.929099999999998</v>
      </c>
      <c r="E184">
        <v>74.7</v>
      </c>
      <c r="F184">
        <v>23.4</v>
      </c>
      <c r="G184">
        <v>103.6</v>
      </c>
      <c r="H184">
        <v>275.5</v>
      </c>
      <c r="I184">
        <v>256.39999999999998</v>
      </c>
      <c r="J184">
        <v>305</v>
      </c>
      <c r="K184">
        <v>0.93</v>
      </c>
      <c r="L184">
        <v>0.8</v>
      </c>
      <c r="M184">
        <v>1.02</v>
      </c>
      <c r="N184">
        <v>0.4</v>
      </c>
      <c r="O184">
        <v>92.2</v>
      </c>
      <c r="P184">
        <v>61.3</v>
      </c>
      <c r="Q184">
        <v>123.1</v>
      </c>
      <c r="R184">
        <v>116</v>
      </c>
      <c r="S184">
        <v>90.6</v>
      </c>
      <c r="T184">
        <v>141.19999999999999</v>
      </c>
    </row>
    <row r="185" spans="1:20" x14ac:dyDescent="0.2">
      <c r="A185" t="s">
        <v>166</v>
      </c>
      <c r="B185">
        <v>0.311</v>
      </c>
      <c r="C185" s="1">
        <v>175.59800000000001</v>
      </c>
      <c r="D185" s="1">
        <v>58.520299999999999</v>
      </c>
      <c r="E185">
        <v>567.9</v>
      </c>
      <c r="F185">
        <v>567.79999999999995</v>
      </c>
      <c r="G185">
        <v>568.5</v>
      </c>
      <c r="H185">
        <v>567.9</v>
      </c>
      <c r="I185">
        <v>567.9</v>
      </c>
      <c r="J185">
        <v>568.6</v>
      </c>
      <c r="K185">
        <v>4.5999999999999996</v>
      </c>
      <c r="L185">
        <v>4.5999999999999996</v>
      </c>
      <c r="M185">
        <v>4.6100000000000003</v>
      </c>
      <c r="N185">
        <v>0.27</v>
      </c>
      <c r="O185">
        <v>568.1</v>
      </c>
      <c r="P185">
        <v>567.79999999999995</v>
      </c>
      <c r="Q185">
        <v>568.5</v>
      </c>
      <c r="R185">
        <v>568.1</v>
      </c>
      <c r="S185">
        <v>567.79999999999995</v>
      </c>
      <c r="T185">
        <v>568.5</v>
      </c>
    </row>
    <row r="186" spans="1:20" x14ac:dyDescent="0.2">
      <c r="A186" t="s">
        <v>532</v>
      </c>
      <c r="B186">
        <v>0.1171</v>
      </c>
      <c r="C186" s="1">
        <v>175.9151</v>
      </c>
      <c r="D186" s="1">
        <v>46.355699999999999</v>
      </c>
      <c r="E186">
        <v>15.9</v>
      </c>
      <c r="F186">
        <v>10.9</v>
      </c>
      <c r="G186">
        <v>19.899999999999999</v>
      </c>
      <c r="H186">
        <v>161.19999999999999</v>
      </c>
      <c r="I186">
        <v>151.5</v>
      </c>
      <c r="J186">
        <v>170.8</v>
      </c>
      <c r="K186">
        <v>1.39</v>
      </c>
      <c r="L186">
        <v>1.24</v>
      </c>
      <c r="M186">
        <v>1.5</v>
      </c>
      <c r="N186">
        <v>0.22</v>
      </c>
      <c r="O186">
        <v>21.9</v>
      </c>
      <c r="P186">
        <v>18.8</v>
      </c>
      <c r="Q186">
        <v>24.8</v>
      </c>
      <c r="R186">
        <v>31.9</v>
      </c>
      <c r="S186">
        <v>29.3</v>
      </c>
      <c r="T186">
        <v>34.299999999999997</v>
      </c>
    </row>
    <row r="187" spans="1:20" x14ac:dyDescent="0.2">
      <c r="A187" t="s">
        <v>533</v>
      </c>
      <c r="B187">
        <v>5.0999999999999997E-2</v>
      </c>
      <c r="C187" s="1">
        <v>176.80459999999999</v>
      </c>
      <c r="D187" s="1">
        <v>55.729100000000003</v>
      </c>
      <c r="E187">
        <v>105.4</v>
      </c>
      <c r="F187">
        <v>96</v>
      </c>
      <c r="G187">
        <v>150.30000000000001</v>
      </c>
      <c r="H187">
        <v>192.7</v>
      </c>
      <c r="I187">
        <v>175.1</v>
      </c>
      <c r="J187">
        <v>202.1</v>
      </c>
      <c r="K187">
        <v>1.03</v>
      </c>
      <c r="L187">
        <v>0.84</v>
      </c>
      <c r="M187">
        <v>2</v>
      </c>
      <c r="N187">
        <v>0.45</v>
      </c>
      <c r="O187">
        <v>130.1</v>
      </c>
      <c r="P187">
        <v>107.6</v>
      </c>
      <c r="Q187">
        <v>152.4</v>
      </c>
      <c r="R187">
        <v>135.69999999999999</v>
      </c>
      <c r="S187">
        <v>115.6</v>
      </c>
      <c r="T187">
        <v>155.69999999999999</v>
      </c>
    </row>
    <row r="188" spans="1:20" x14ac:dyDescent="0.2">
      <c r="A188" t="s">
        <v>167</v>
      </c>
      <c r="B188">
        <v>0.5444</v>
      </c>
      <c r="C188" s="1">
        <v>177.39940000000001</v>
      </c>
      <c r="D188" s="1">
        <v>22.398599999999998</v>
      </c>
      <c r="E188">
        <v>340</v>
      </c>
      <c r="F188">
        <v>329.2</v>
      </c>
      <c r="G188">
        <v>361.6</v>
      </c>
      <c r="H188">
        <v>343.2</v>
      </c>
      <c r="I188">
        <v>342.5</v>
      </c>
      <c r="J188">
        <v>370.1</v>
      </c>
      <c r="K188">
        <v>2.56</v>
      </c>
      <c r="L188">
        <v>1.7</v>
      </c>
      <c r="M188">
        <v>2.5499999999999998</v>
      </c>
      <c r="N188">
        <v>0.6</v>
      </c>
      <c r="O188">
        <v>347.7</v>
      </c>
      <c r="P188">
        <v>329.5</v>
      </c>
      <c r="Q188">
        <v>361.6</v>
      </c>
      <c r="R188">
        <v>348.1</v>
      </c>
      <c r="S188">
        <v>329.9</v>
      </c>
      <c r="T188">
        <v>361.6</v>
      </c>
    </row>
    <row r="189" spans="1:20" x14ac:dyDescent="0.2">
      <c r="A189" t="s">
        <v>168</v>
      </c>
      <c r="B189">
        <v>0.14299999999999999</v>
      </c>
      <c r="C189" s="1">
        <v>178.82470000000001</v>
      </c>
      <c r="D189" s="1">
        <v>23.4057</v>
      </c>
      <c r="E189">
        <v>57</v>
      </c>
      <c r="F189">
        <v>50.5</v>
      </c>
      <c r="G189">
        <v>64.7</v>
      </c>
      <c r="H189">
        <v>189.5</v>
      </c>
      <c r="I189">
        <v>182.1</v>
      </c>
      <c r="J189">
        <v>194.3</v>
      </c>
      <c r="K189">
        <v>1.04</v>
      </c>
      <c r="L189">
        <v>0.99</v>
      </c>
      <c r="M189">
        <v>1.1200000000000001</v>
      </c>
      <c r="N189">
        <v>1.5</v>
      </c>
      <c r="O189">
        <v>69.7</v>
      </c>
      <c r="P189">
        <v>64.3</v>
      </c>
      <c r="Q189">
        <v>74.7</v>
      </c>
      <c r="R189">
        <v>82.1</v>
      </c>
      <c r="S189">
        <v>78.099999999999994</v>
      </c>
      <c r="T189">
        <v>86.2</v>
      </c>
    </row>
    <row r="190" spans="1:20" x14ac:dyDescent="0.2">
      <c r="A190" t="s">
        <v>169</v>
      </c>
      <c r="B190">
        <v>0.21299999999999999</v>
      </c>
      <c r="C190" s="1">
        <v>179.3218</v>
      </c>
      <c r="D190" s="1">
        <v>33.610999999999997</v>
      </c>
      <c r="E190">
        <v>35.700000000000003</v>
      </c>
      <c r="F190">
        <v>24.7</v>
      </c>
      <c r="G190">
        <v>48.5</v>
      </c>
      <c r="H190">
        <v>185.8</v>
      </c>
      <c r="I190">
        <v>172.9</v>
      </c>
      <c r="J190">
        <v>193.3</v>
      </c>
      <c r="K190">
        <v>0.99</v>
      </c>
      <c r="L190">
        <v>0.9</v>
      </c>
      <c r="M190">
        <v>1.17</v>
      </c>
      <c r="N190">
        <v>0.51</v>
      </c>
      <c r="O190">
        <v>51.8</v>
      </c>
      <c r="P190">
        <v>44.6</v>
      </c>
      <c r="Q190">
        <v>58.7</v>
      </c>
      <c r="R190">
        <v>66.099999999999994</v>
      </c>
      <c r="S190">
        <v>60.9</v>
      </c>
      <c r="T190">
        <v>71.900000000000006</v>
      </c>
    </row>
    <row r="191" spans="1:20" x14ac:dyDescent="0.2">
      <c r="A191" t="s">
        <v>170</v>
      </c>
      <c r="B191">
        <v>8.1000000000000003E-2</v>
      </c>
      <c r="C191" s="1">
        <v>179.9675</v>
      </c>
      <c r="D191" s="1">
        <v>55.534799999999997</v>
      </c>
      <c r="E191">
        <v>3</v>
      </c>
      <c r="F191">
        <v>1.4</v>
      </c>
      <c r="G191">
        <v>4.3</v>
      </c>
      <c r="H191">
        <v>390.7</v>
      </c>
      <c r="I191">
        <v>316.5</v>
      </c>
      <c r="J191">
        <v>497.8</v>
      </c>
      <c r="K191">
        <v>1.43</v>
      </c>
      <c r="L191">
        <v>1.27</v>
      </c>
      <c r="M191">
        <v>1.62</v>
      </c>
      <c r="N191">
        <v>0.6</v>
      </c>
      <c r="O191">
        <v>17.3</v>
      </c>
      <c r="P191">
        <v>15.8</v>
      </c>
      <c r="Q191">
        <v>19</v>
      </c>
      <c r="R191">
        <v>41.5</v>
      </c>
      <c r="S191">
        <v>38.6</v>
      </c>
      <c r="T191">
        <v>44.4</v>
      </c>
    </row>
    <row r="192" spans="1:20" x14ac:dyDescent="0.2">
      <c r="A192" t="s">
        <v>172</v>
      </c>
      <c r="B192">
        <v>0.10299999999999999</v>
      </c>
      <c r="C192" s="1">
        <v>180.51759999999999</v>
      </c>
      <c r="D192" s="1">
        <v>58.033200000000001</v>
      </c>
      <c r="E192">
        <v>172</v>
      </c>
      <c r="F192">
        <v>129.5</v>
      </c>
      <c r="G192">
        <v>190.7</v>
      </c>
      <c r="H192">
        <v>217.9</v>
      </c>
      <c r="I192">
        <v>209</v>
      </c>
      <c r="J192">
        <v>235.2</v>
      </c>
      <c r="K192">
        <v>1.9</v>
      </c>
      <c r="L192">
        <v>0.83</v>
      </c>
      <c r="M192">
        <v>2.71</v>
      </c>
      <c r="N192">
        <v>0.26</v>
      </c>
      <c r="O192">
        <v>168.1</v>
      </c>
      <c r="P192">
        <v>143.80000000000001</v>
      </c>
      <c r="Q192">
        <v>192</v>
      </c>
      <c r="R192">
        <v>172.9</v>
      </c>
      <c r="S192">
        <v>152.4</v>
      </c>
      <c r="T192">
        <v>192.9</v>
      </c>
    </row>
    <row r="193" spans="1:20" x14ac:dyDescent="0.2">
      <c r="A193" t="s">
        <v>538</v>
      </c>
      <c r="B193">
        <v>0.02</v>
      </c>
      <c r="C193" s="1">
        <v>181.11340000000001</v>
      </c>
      <c r="D193" s="1">
        <v>1.8952</v>
      </c>
      <c r="E193">
        <v>2.9</v>
      </c>
      <c r="F193">
        <v>2.2999999999999998</v>
      </c>
      <c r="G193">
        <v>3.6</v>
      </c>
      <c r="H193">
        <v>171.1</v>
      </c>
      <c r="I193">
        <v>162.30000000000001</v>
      </c>
      <c r="J193">
        <v>180.3</v>
      </c>
      <c r="K193">
        <v>0.86</v>
      </c>
      <c r="L193">
        <v>0.82</v>
      </c>
      <c r="M193">
        <v>0.89</v>
      </c>
      <c r="N193">
        <v>3.11</v>
      </c>
      <c r="O193">
        <v>26.4</v>
      </c>
      <c r="P193">
        <v>25.8</v>
      </c>
      <c r="Q193">
        <v>27</v>
      </c>
      <c r="R193">
        <v>45.3</v>
      </c>
      <c r="S193">
        <v>44.3</v>
      </c>
      <c r="T193">
        <v>46.3</v>
      </c>
    </row>
    <row r="194" spans="1:20" x14ac:dyDescent="0.2">
      <c r="A194" t="s">
        <v>174</v>
      </c>
      <c r="B194">
        <v>0.44</v>
      </c>
      <c r="C194" s="1">
        <v>181.5504</v>
      </c>
      <c r="D194" s="1">
        <v>-8.8004999999999995</v>
      </c>
      <c r="E194">
        <v>66.900000000000006</v>
      </c>
      <c r="F194">
        <v>48.4</v>
      </c>
      <c r="G194">
        <v>82.5</v>
      </c>
      <c r="H194">
        <v>184</v>
      </c>
      <c r="I194">
        <v>169.2</v>
      </c>
      <c r="J194">
        <v>197.2</v>
      </c>
      <c r="K194">
        <v>1.21</v>
      </c>
      <c r="L194">
        <v>1.07</v>
      </c>
      <c r="M194">
        <v>1.35</v>
      </c>
      <c r="N194">
        <v>0.14000000000000001</v>
      </c>
      <c r="O194">
        <v>73.599999999999994</v>
      </c>
      <c r="P194">
        <v>59.8</v>
      </c>
      <c r="Q194">
        <v>87.6</v>
      </c>
      <c r="R194">
        <v>83.5</v>
      </c>
      <c r="S194">
        <v>71.7</v>
      </c>
      <c r="T194">
        <v>95.9</v>
      </c>
    </row>
    <row r="195" spans="1:20" x14ac:dyDescent="0.2">
      <c r="A195" t="s">
        <v>539</v>
      </c>
      <c r="B195">
        <v>2.8000000000000001E-2</v>
      </c>
      <c r="C195" s="1">
        <v>181.66210000000001</v>
      </c>
      <c r="D195" s="1">
        <v>28.174199999999999</v>
      </c>
      <c r="E195">
        <v>0.6</v>
      </c>
      <c r="F195">
        <v>0.3</v>
      </c>
      <c r="G195">
        <v>1.1000000000000001</v>
      </c>
      <c r="H195">
        <v>1268.3</v>
      </c>
      <c r="I195">
        <v>1095.0999999999999</v>
      </c>
      <c r="J195">
        <v>1498.6</v>
      </c>
      <c r="K195">
        <v>1.44</v>
      </c>
      <c r="L195">
        <v>1.39</v>
      </c>
      <c r="M195">
        <v>1.51</v>
      </c>
      <c r="N195">
        <v>0.34</v>
      </c>
      <c r="O195">
        <v>45.9</v>
      </c>
      <c r="P195">
        <v>42.7</v>
      </c>
      <c r="Q195">
        <v>49</v>
      </c>
      <c r="R195">
        <v>124.2</v>
      </c>
      <c r="S195">
        <v>112.8</v>
      </c>
      <c r="T195">
        <v>133.69999999999999</v>
      </c>
    </row>
    <row r="196" spans="1:20" x14ac:dyDescent="0.2">
      <c r="A196" t="s">
        <v>176</v>
      </c>
      <c r="B196">
        <v>0.11899999999999999</v>
      </c>
      <c r="C196" s="1">
        <v>183.85300000000001</v>
      </c>
      <c r="D196" s="1">
        <v>-39.035499999999999</v>
      </c>
      <c r="E196">
        <v>347.6</v>
      </c>
      <c r="F196">
        <v>244</v>
      </c>
      <c r="G196">
        <v>423.9</v>
      </c>
      <c r="H196">
        <v>371.9</v>
      </c>
      <c r="I196">
        <v>352.3</v>
      </c>
      <c r="J196">
        <v>463.6</v>
      </c>
      <c r="K196">
        <v>1.69</v>
      </c>
      <c r="L196">
        <v>0.53</v>
      </c>
      <c r="M196">
        <v>1.42</v>
      </c>
      <c r="N196">
        <v>0.28999999999999998</v>
      </c>
      <c r="O196">
        <v>349.3</v>
      </c>
      <c r="P196">
        <v>264.89999999999998</v>
      </c>
      <c r="Q196">
        <v>431.2</v>
      </c>
      <c r="R196">
        <v>357.7</v>
      </c>
      <c r="S196">
        <v>277</v>
      </c>
      <c r="T196">
        <v>433.7</v>
      </c>
    </row>
    <row r="197" spans="1:20" x14ac:dyDescent="0.2">
      <c r="A197" t="s">
        <v>540</v>
      </c>
      <c r="B197">
        <v>7.6999999999999999E-2</v>
      </c>
      <c r="C197" s="1">
        <v>184.42150000000001</v>
      </c>
      <c r="D197" s="1">
        <v>3.6555</v>
      </c>
      <c r="E197">
        <v>175.3</v>
      </c>
      <c r="F197">
        <v>136.6</v>
      </c>
      <c r="G197">
        <v>194.3</v>
      </c>
      <c r="H197">
        <v>263.7</v>
      </c>
      <c r="I197">
        <v>251.1</v>
      </c>
      <c r="J197">
        <v>279.10000000000002</v>
      </c>
      <c r="K197">
        <v>1.25</v>
      </c>
      <c r="L197">
        <v>1.01</v>
      </c>
      <c r="M197">
        <v>1.39</v>
      </c>
      <c r="N197">
        <v>1.56</v>
      </c>
      <c r="O197">
        <v>173.5</v>
      </c>
      <c r="P197">
        <v>148.69999999999999</v>
      </c>
      <c r="Q197">
        <v>197.7</v>
      </c>
      <c r="R197">
        <v>182</v>
      </c>
      <c r="S197">
        <v>160</v>
      </c>
      <c r="T197">
        <v>203.5</v>
      </c>
    </row>
    <row r="198" spans="1:20" x14ac:dyDescent="0.2">
      <c r="A198" t="s">
        <v>542</v>
      </c>
      <c r="B198">
        <v>2.5000000000000001E-2</v>
      </c>
      <c r="C198" s="1">
        <v>185.77760000000001</v>
      </c>
      <c r="D198" s="1">
        <v>10.6213</v>
      </c>
      <c r="E198">
        <v>3.9</v>
      </c>
      <c r="F198">
        <v>3.7</v>
      </c>
      <c r="G198">
        <v>4.4000000000000004</v>
      </c>
      <c r="H198">
        <v>92.4</v>
      </c>
      <c r="I198">
        <v>87.9</v>
      </c>
      <c r="J198">
        <v>97.4</v>
      </c>
      <c r="K198">
        <v>1.35</v>
      </c>
      <c r="L198">
        <v>1.3</v>
      </c>
      <c r="M198">
        <v>1.42</v>
      </c>
      <c r="N198">
        <v>1.18</v>
      </c>
      <c r="O198">
        <v>7.9</v>
      </c>
      <c r="P198">
        <v>7.7</v>
      </c>
      <c r="Q198">
        <v>8.1</v>
      </c>
      <c r="R198">
        <v>13.9</v>
      </c>
      <c r="S198">
        <v>13.6</v>
      </c>
      <c r="T198">
        <v>14.3</v>
      </c>
    </row>
    <row r="199" spans="1:20" x14ac:dyDescent="0.2">
      <c r="A199" t="s">
        <v>178</v>
      </c>
      <c r="B199">
        <v>0.37</v>
      </c>
      <c r="C199" s="1">
        <v>186.7123</v>
      </c>
      <c r="D199" s="1">
        <v>21.8323</v>
      </c>
      <c r="E199">
        <v>33.200000000000003</v>
      </c>
      <c r="F199">
        <v>7.6</v>
      </c>
      <c r="G199">
        <v>59.7</v>
      </c>
      <c r="H199">
        <v>184.3</v>
      </c>
      <c r="I199">
        <v>175</v>
      </c>
      <c r="J199">
        <v>195.4</v>
      </c>
      <c r="K199">
        <v>0.68</v>
      </c>
      <c r="L199">
        <v>0.57999999999999996</v>
      </c>
      <c r="M199">
        <v>0.79</v>
      </c>
      <c r="N199">
        <v>0.98</v>
      </c>
      <c r="O199">
        <v>67.400000000000006</v>
      </c>
      <c r="P199">
        <v>52.7</v>
      </c>
      <c r="Q199">
        <v>80.400000000000006</v>
      </c>
      <c r="R199">
        <v>86.2</v>
      </c>
      <c r="S199">
        <v>75.900000000000006</v>
      </c>
      <c r="T199">
        <v>96.5</v>
      </c>
    </row>
    <row r="200" spans="1:20" x14ac:dyDescent="0.2">
      <c r="A200" t="s">
        <v>543</v>
      </c>
      <c r="B200">
        <v>0.89</v>
      </c>
      <c r="C200" s="1">
        <v>186.7423</v>
      </c>
      <c r="D200" s="1">
        <v>33.546300000000002</v>
      </c>
      <c r="E200">
        <v>73.900000000000006</v>
      </c>
      <c r="F200">
        <v>32.5</v>
      </c>
      <c r="G200">
        <v>105.8</v>
      </c>
      <c r="H200">
        <v>214.7</v>
      </c>
      <c r="I200">
        <v>197.9</v>
      </c>
      <c r="J200">
        <v>241.9</v>
      </c>
      <c r="K200">
        <v>1.27</v>
      </c>
      <c r="L200">
        <v>1.02</v>
      </c>
      <c r="M200">
        <v>1.48</v>
      </c>
      <c r="N200">
        <v>0.03</v>
      </c>
      <c r="O200">
        <v>79.900000000000006</v>
      </c>
      <c r="P200">
        <v>48.6</v>
      </c>
      <c r="Q200">
        <v>110.3</v>
      </c>
      <c r="R200">
        <v>92.4</v>
      </c>
      <c r="S200">
        <v>65.3</v>
      </c>
      <c r="T200">
        <v>118.4</v>
      </c>
    </row>
    <row r="201" spans="1:20" x14ac:dyDescent="0.2">
      <c r="A201" t="s">
        <v>545</v>
      </c>
      <c r="B201">
        <v>3.3E-3</v>
      </c>
      <c r="C201" s="1">
        <v>187.4452</v>
      </c>
      <c r="D201" s="1">
        <v>8.0006000000000004</v>
      </c>
      <c r="E201">
        <v>0.4</v>
      </c>
      <c r="F201">
        <v>0.4</v>
      </c>
      <c r="G201">
        <v>0.5</v>
      </c>
      <c r="H201">
        <v>317.89999999999998</v>
      </c>
      <c r="I201">
        <v>314.3</v>
      </c>
      <c r="J201">
        <v>323.89999999999998</v>
      </c>
      <c r="K201">
        <v>0.99</v>
      </c>
      <c r="L201">
        <v>0.98</v>
      </c>
      <c r="M201">
        <v>0.99</v>
      </c>
      <c r="N201">
        <v>141.86000000000001</v>
      </c>
      <c r="O201">
        <v>33.200000000000003</v>
      </c>
      <c r="P201">
        <v>33</v>
      </c>
      <c r="Q201">
        <v>33.4</v>
      </c>
      <c r="R201">
        <v>65.400000000000006</v>
      </c>
      <c r="S201">
        <v>64.8</v>
      </c>
      <c r="T201">
        <v>65.900000000000006</v>
      </c>
    </row>
    <row r="202" spans="1:20" x14ac:dyDescent="0.2">
      <c r="A202" t="s">
        <v>548</v>
      </c>
      <c r="B202">
        <v>0.16500000000000001</v>
      </c>
      <c r="C202" s="1">
        <v>187.697</v>
      </c>
      <c r="D202" s="1">
        <v>10.554</v>
      </c>
      <c r="E202">
        <v>217.3</v>
      </c>
      <c r="F202">
        <v>164.5</v>
      </c>
      <c r="G202">
        <v>241</v>
      </c>
      <c r="H202">
        <v>252.5</v>
      </c>
      <c r="I202">
        <v>219</v>
      </c>
      <c r="J202">
        <v>274.39999999999998</v>
      </c>
      <c r="K202">
        <v>1.68</v>
      </c>
      <c r="L202">
        <v>1.35</v>
      </c>
      <c r="M202">
        <v>1.82</v>
      </c>
      <c r="N202">
        <v>0.55000000000000004</v>
      </c>
      <c r="O202">
        <v>203.3</v>
      </c>
      <c r="P202">
        <v>167.5</v>
      </c>
      <c r="Q202">
        <v>241.9</v>
      </c>
      <c r="R202">
        <v>206.1</v>
      </c>
      <c r="S202">
        <v>170.5</v>
      </c>
      <c r="T202">
        <v>243.9</v>
      </c>
    </row>
    <row r="203" spans="1:20" x14ac:dyDescent="0.2">
      <c r="A203" t="s">
        <v>180</v>
      </c>
      <c r="B203">
        <v>0.22900000000000001</v>
      </c>
      <c r="C203" s="1">
        <v>188.60079999999999</v>
      </c>
      <c r="D203" s="1">
        <v>9.7875999999999994</v>
      </c>
      <c r="E203">
        <v>255.3</v>
      </c>
      <c r="F203">
        <v>-84.9</v>
      </c>
      <c r="G203">
        <v>219.2</v>
      </c>
      <c r="H203">
        <v>295.89999999999998</v>
      </c>
      <c r="I203">
        <v>246.3</v>
      </c>
      <c r="J203">
        <v>331.6</v>
      </c>
      <c r="K203">
        <v>1.19</v>
      </c>
      <c r="L203">
        <v>0.31</v>
      </c>
      <c r="M203">
        <v>0.83</v>
      </c>
      <c r="N203">
        <v>0.16</v>
      </c>
      <c r="O203">
        <v>156.5</v>
      </c>
      <c r="P203">
        <v>68.099999999999994</v>
      </c>
      <c r="Q203">
        <v>234.6</v>
      </c>
      <c r="R203">
        <v>182.8</v>
      </c>
      <c r="S203">
        <v>108.8</v>
      </c>
      <c r="T203">
        <v>246.1</v>
      </c>
    </row>
    <row r="204" spans="1:20" x14ac:dyDescent="0.2">
      <c r="A204" t="s">
        <v>549</v>
      </c>
      <c r="B204">
        <v>1.1000000000000001E-3</v>
      </c>
      <c r="C204" s="1">
        <v>188.91569999999999</v>
      </c>
      <c r="D204" s="1">
        <v>12.556699999999999</v>
      </c>
      <c r="E204">
        <v>1.3</v>
      </c>
      <c r="F204">
        <v>1.3</v>
      </c>
      <c r="G204">
        <v>1.3</v>
      </c>
      <c r="H204">
        <v>1976.8</v>
      </c>
      <c r="I204">
        <v>1391.2</v>
      </c>
      <c r="J204">
        <v>1938.5</v>
      </c>
      <c r="K204">
        <v>1.36</v>
      </c>
      <c r="L204">
        <v>1.29</v>
      </c>
      <c r="M204">
        <v>1.36</v>
      </c>
      <c r="N204">
        <v>3.28</v>
      </c>
      <c r="O204">
        <v>79.400000000000006</v>
      </c>
      <c r="P204">
        <v>71.900000000000006</v>
      </c>
      <c r="Q204">
        <v>86.3</v>
      </c>
      <c r="R204">
        <v>197.7</v>
      </c>
      <c r="S204">
        <v>175.6</v>
      </c>
      <c r="T204">
        <v>219.3</v>
      </c>
    </row>
    <row r="205" spans="1:20" x14ac:dyDescent="0.2">
      <c r="A205" t="s">
        <v>181</v>
      </c>
      <c r="B205">
        <v>7.2999999999999995E-2</v>
      </c>
      <c r="C205" s="1">
        <v>189.1027</v>
      </c>
      <c r="D205" s="1">
        <v>16.5398</v>
      </c>
      <c r="E205">
        <v>102</v>
      </c>
      <c r="F205">
        <v>-104.2</v>
      </c>
      <c r="G205">
        <v>109.6</v>
      </c>
      <c r="H205">
        <v>177.5</v>
      </c>
      <c r="I205">
        <v>170.7</v>
      </c>
      <c r="J205">
        <v>193.5</v>
      </c>
      <c r="K205">
        <v>0.65</v>
      </c>
      <c r="L205">
        <v>0.15</v>
      </c>
      <c r="M205">
        <v>0.82</v>
      </c>
      <c r="N205">
        <v>0.33</v>
      </c>
      <c r="O205">
        <v>110.7</v>
      </c>
      <c r="P205">
        <v>88</v>
      </c>
      <c r="Q205">
        <v>133.19999999999999</v>
      </c>
      <c r="R205">
        <v>126.2</v>
      </c>
      <c r="S205">
        <v>109.1</v>
      </c>
      <c r="T205">
        <v>146</v>
      </c>
    </row>
    <row r="206" spans="1:20" x14ac:dyDescent="0.2">
      <c r="A206" t="s">
        <v>551</v>
      </c>
      <c r="B206">
        <v>0.27900000000000003</v>
      </c>
      <c r="C206" s="1">
        <v>189.24359999999999</v>
      </c>
      <c r="D206" s="1">
        <v>63.186799999999998</v>
      </c>
      <c r="E206">
        <v>71</v>
      </c>
      <c r="F206">
        <v>38.299999999999997</v>
      </c>
      <c r="G206">
        <v>110.6</v>
      </c>
      <c r="H206">
        <v>240.9</v>
      </c>
      <c r="I206">
        <v>222.8</v>
      </c>
      <c r="J206">
        <v>254.8</v>
      </c>
      <c r="K206">
        <v>0.79</v>
      </c>
      <c r="L206">
        <v>0.69</v>
      </c>
      <c r="M206">
        <v>0.96</v>
      </c>
      <c r="N206">
        <v>1.1200000000000001</v>
      </c>
      <c r="O206">
        <v>101.1</v>
      </c>
      <c r="P206">
        <v>78.5</v>
      </c>
      <c r="Q206">
        <v>124.8</v>
      </c>
      <c r="R206">
        <v>120.7</v>
      </c>
      <c r="S206">
        <v>102.5</v>
      </c>
      <c r="T206">
        <v>139</v>
      </c>
    </row>
    <row r="207" spans="1:20" x14ac:dyDescent="0.2">
      <c r="A207" t="s">
        <v>553</v>
      </c>
      <c r="B207">
        <v>3.0999999999999999E-3</v>
      </c>
      <c r="C207" s="1">
        <v>190.70769999999999</v>
      </c>
      <c r="D207" s="1">
        <v>2.6877</v>
      </c>
      <c r="E207">
        <v>0.6</v>
      </c>
      <c r="F207">
        <v>0.5</v>
      </c>
      <c r="G207">
        <v>0.8</v>
      </c>
      <c r="H207">
        <v>208.2</v>
      </c>
      <c r="I207">
        <v>187.7</v>
      </c>
      <c r="J207">
        <v>244.9</v>
      </c>
      <c r="K207">
        <v>0.97</v>
      </c>
      <c r="L207">
        <v>0.94</v>
      </c>
      <c r="M207">
        <v>1.03</v>
      </c>
      <c r="N207">
        <v>7.88</v>
      </c>
      <c r="O207">
        <v>22.9</v>
      </c>
      <c r="P207">
        <v>22.1</v>
      </c>
      <c r="Q207">
        <v>23.7</v>
      </c>
      <c r="R207">
        <v>44.8</v>
      </c>
      <c r="S207">
        <v>42</v>
      </c>
      <c r="T207">
        <v>47.4</v>
      </c>
    </row>
    <row r="208" spans="1:20" x14ac:dyDescent="0.2">
      <c r="A208" t="s">
        <v>554</v>
      </c>
      <c r="B208">
        <v>1.14E-2</v>
      </c>
      <c r="C208" s="1">
        <v>192.20529999999999</v>
      </c>
      <c r="D208" s="1">
        <v>-41.311</v>
      </c>
      <c r="E208">
        <v>1.7</v>
      </c>
      <c r="F208">
        <v>1.6</v>
      </c>
      <c r="G208">
        <v>1.7</v>
      </c>
      <c r="H208">
        <v>440</v>
      </c>
      <c r="I208">
        <v>432.9</v>
      </c>
      <c r="J208">
        <v>451</v>
      </c>
      <c r="K208">
        <v>1.39</v>
      </c>
      <c r="L208">
        <v>1.38</v>
      </c>
      <c r="M208">
        <v>1.4</v>
      </c>
      <c r="N208">
        <v>149.46</v>
      </c>
      <c r="O208">
        <v>19.600000000000001</v>
      </c>
      <c r="P208">
        <v>19.5</v>
      </c>
      <c r="Q208">
        <v>19.7</v>
      </c>
      <c r="R208">
        <v>48.6</v>
      </c>
      <c r="S208">
        <v>48.4</v>
      </c>
      <c r="T208">
        <v>48.9</v>
      </c>
    </row>
    <row r="209" spans="1:20" x14ac:dyDescent="0.2">
      <c r="A209" t="s">
        <v>557</v>
      </c>
      <c r="B209">
        <v>1.47E-2</v>
      </c>
      <c r="C209" s="1">
        <v>193.2739</v>
      </c>
      <c r="D209" s="1">
        <v>-9.2042999999999999</v>
      </c>
      <c r="E209">
        <v>2.2999999999999998</v>
      </c>
      <c r="F209">
        <v>2.2999999999999998</v>
      </c>
      <c r="G209">
        <v>2.5</v>
      </c>
      <c r="H209">
        <v>152.69999999999999</v>
      </c>
      <c r="I209">
        <v>149.30000000000001</v>
      </c>
      <c r="J209">
        <v>169.7</v>
      </c>
      <c r="K209">
        <v>1.1000000000000001</v>
      </c>
      <c r="L209">
        <v>1.0900000000000001</v>
      </c>
      <c r="M209">
        <v>1.1499999999999999</v>
      </c>
      <c r="N209">
        <v>10.46</v>
      </c>
      <c r="O209">
        <v>14.3</v>
      </c>
      <c r="P209">
        <v>14.2</v>
      </c>
      <c r="Q209">
        <v>14.4</v>
      </c>
      <c r="R209">
        <v>28.2</v>
      </c>
      <c r="S209">
        <v>27.7</v>
      </c>
      <c r="T209">
        <v>28.7</v>
      </c>
    </row>
    <row r="210" spans="1:20" x14ac:dyDescent="0.2">
      <c r="A210" t="s">
        <v>182</v>
      </c>
      <c r="B210">
        <v>5.2999999999999999E-2</v>
      </c>
      <c r="C210" s="1">
        <v>193.5924</v>
      </c>
      <c r="D210" s="1">
        <v>-29.013000000000002</v>
      </c>
      <c r="E210">
        <v>11.8</v>
      </c>
      <c r="F210">
        <v>8.1</v>
      </c>
      <c r="G210">
        <v>15.8</v>
      </c>
      <c r="H210">
        <v>225.4</v>
      </c>
      <c r="I210">
        <v>216.1</v>
      </c>
      <c r="J210">
        <v>235.2</v>
      </c>
      <c r="K210">
        <v>1.04</v>
      </c>
      <c r="L210">
        <v>0.99</v>
      </c>
      <c r="M210">
        <v>1.1100000000000001</v>
      </c>
      <c r="N210">
        <v>1.06</v>
      </c>
      <c r="O210">
        <v>31.4</v>
      </c>
      <c r="P210">
        <v>29.3</v>
      </c>
      <c r="Q210">
        <v>33.5</v>
      </c>
      <c r="R210">
        <v>51.9</v>
      </c>
      <c r="S210">
        <v>49</v>
      </c>
      <c r="T210">
        <v>54.6</v>
      </c>
    </row>
    <row r="211" spans="1:20" x14ac:dyDescent="0.2">
      <c r="A211" t="s">
        <v>559</v>
      </c>
      <c r="B211">
        <v>1.54E-2</v>
      </c>
      <c r="C211" s="1">
        <v>193.65039999999999</v>
      </c>
      <c r="D211" s="1">
        <v>-12.560700000000001</v>
      </c>
      <c r="E211">
        <v>3.5</v>
      </c>
      <c r="F211">
        <v>2.7</v>
      </c>
      <c r="G211">
        <v>4.5999999999999996</v>
      </c>
      <c r="H211">
        <v>335.3</v>
      </c>
      <c r="I211">
        <v>299.60000000000002</v>
      </c>
      <c r="J211">
        <v>433.4</v>
      </c>
      <c r="K211">
        <v>1.27</v>
      </c>
      <c r="L211">
        <v>1.21</v>
      </c>
      <c r="M211">
        <v>1.43</v>
      </c>
      <c r="N211">
        <v>1.41</v>
      </c>
      <c r="O211">
        <v>20.9</v>
      </c>
      <c r="P211">
        <v>19.8</v>
      </c>
      <c r="Q211">
        <v>22</v>
      </c>
      <c r="R211">
        <v>46.7</v>
      </c>
      <c r="S211">
        <v>44.6</v>
      </c>
      <c r="T211">
        <v>48.9</v>
      </c>
    </row>
    <row r="212" spans="1:20" x14ac:dyDescent="0.2">
      <c r="A212" t="s">
        <v>560</v>
      </c>
      <c r="B212">
        <v>4.7E-2</v>
      </c>
      <c r="C212" s="1">
        <v>194.3015</v>
      </c>
      <c r="D212" s="1">
        <v>-17.409199999999998</v>
      </c>
      <c r="E212">
        <v>5.2</v>
      </c>
      <c r="F212">
        <v>-3.7</v>
      </c>
      <c r="G212">
        <v>9.6</v>
      </c>
      <c r="H212">
        <v>225.5</v>
      </c>
      <c r="I212">
        <v>218.3</v>
      </c>
      <c r="J212">
        <v>231.4</v>
      </c>
      <c r="K212">
        <v>0.84</v>
      </c>
      <c r="L212">
        <v>0.75</v>
      </c>
      <c r="M212">
        <v>0.89</v>
      </c>
      <c r="N212">
        <v>2.42</v>
      </c>
      <c r="O212">
        <v>36.700000000000003</v>
      </c>
      <c r="P212">
        <v>34.6</v>
      </c>
      <c r="Q212">
        <v>38.700000000000003</v>
      </c>
      <c r="R212">
        <v>62.2</v>
      </c>
      <c r="S212">
        <v>59.7</v>
      </c>
      <c r="T212">
        <v>64.900000000000006</v>
      </c>
    </row>
    <row r="213" spans="1:20" x14ac:dyDescent="0.2">
      <c r="A213" t="s">
        <v>183</v>
      </c>
      <c r="B213">
        <v>5.5E-2</v>
      </c>
      <c r="C213" s="1">
        <v>194.34180000000001</v>
      </c>
      <c r="D213" s="1">
        <v>-30.363399999999999</v>
      </c>
      <c r="E213">
        <v>88.6</v>
      </c>
      <c r="F213">
        <v>40.5</v>
      </c>
      <c r="G213">
        <v>131.4</v>
      </c>
      <c r="H213">
        <v>270.7</v>
      </c>
      <c r="I213">
        <v>243.5</v>
      </c>
      <c r="J213">
        <v>289.3</v>
      </c>
      <c r="K213">
        <v>0.91</v>
      </c>
      <c r="L213">
        <v>0.59</v>
      </c>
      <c r="M213">
        <v>1.44</v>
      </c>
      <c r="N213">
        <v>0.09</v>
      </c>
      <c r="O213">
        <v>115.8</v>
      </c>
      <c r="P213">
        <v>90.3</v>
      </c>
      <c r="Q213">
        <v>140.6</v>
      </c>
      <c r="R213">
        <v>133.6</v>
      </c>
      <c r="S213">
        <v>114.2</v>
      </c>
      <c r="T213">
        <v>153.1</v>
      </c>
    </row>
    <row r="214" spans="1:20" x14ac:dyDescent="0.2">
      <c r="A214" t="s">
        <v>562</v>
      </c>
      <c r="B214">
        <v>2.46E-2</v>
      </c>
      <c r="C214" s="1">
        <v>194.35169999999999</v>
      </c>
      <c r="D214" s="1">
        <v>27.497699999999998</v>
      </c>
      <c r="E214">
        <v>-0.7</v>
      </c>
      <c r="F214">
        <v>-17.600000000000001</v>
      </c>
      <c r="G214">
        <v>4.4000000000000004</v>
      </c>
      <c r="H214">
        <v>1020</v>
      </c>
      <c r="I214">
        <v>447</v>
      </c>
      <c r="J214">
        <v>1638.8</v>
      </c>
      <c r="K214">
        <v>1.25</v>
      </c>
      <c r="L214">
        <v>0.77</v>
      </c>
      <c r="M214">
        <v>1.55</v>
      </c>
      <c r="N214">
        <v>0.05</v>
      </c>
      <c r="O214">
        <v>55.7</v>
      </c>
      <c r="P214">
        <v>47.1</v>
      </c>
      <c r="Q214">
        <v>64.2</v>
      </c>
      <c r="R214">
        <v>132.30000000000001</v>
      </c>
      <c r="S214">
        <v>111.4</v>
      </c>
      <c r="T214">
        <v>152.1</v>
      </c>
    </row>
    <row r="215" spans="1:20" x14ac:dyDescent="0.2">
      <c r="A215" t="s">
        <v>185</v>
      </c>
      <c r="B215">
        <v>8.5000000000000006E-2</v>
      </c>
      <c r="C215" s="1">
        <v>194.84270000000001</v>
      </c>
      <c r="D215" s="1">
        <v>-4.1966000000000001</v>
      </c>
      <c r="E215">
        <v>103.3</v>
      </c>
      <c r="F215">
        <v>88.3</v>
      </c>
      <c r="G215">
        <v>114.7</v>
      </c>
      <c r="H215">
        <v>190.6</v>
      </c>
      <c r="I215">
        <v>184.4</v>
      </c>
      <c r="J215">
        <v>198.9</v>
      </c>
      <c r="K215">
        <v>1.26</v>
      </c>
      <c r="L215">
        <v>1.1299999999999999</v>
      </c>
      <c r="M215">
        <v>1.35</v>
      </c>
      <c r="N215">
        <v>1.31</v>
      </c>
      <c r="O215">
        <v>106.3</v>
      </c>
      <c r="P215">
        <v>95</v>
      </c>
      <c r="Q215">
        <v>118.3</v>
      </c>
      <c r="R215">
        <v>113.6</v>
      </c>
      <c r="S215">
        <v>103.6</v>
      </c>
      <c r="T215">
        <v>123.9</v>
      </c>
    </row>
    <row r="216" spans="1:20" x14ac:dyDescent="0.2">
      <c r="A216" t="s">
        <v>186</v>
      </c>
      <c r="B216">
        <v>0.33</v>
      </c>
      <c r="C216" s="1">
        <v>194.8877</v>
      </c>
      <c r="D216" s="1">
        <v>60.070599999999999</v>
      </c>
      <c r="E216">
        <v>402.1</v>
      </c>
      <c r="F216">
        <v>373.8</v>
      </c>
      <c r="G216">
        <v>399.5</v>
      </c>
      <c r="H216">
        <v>407.3</v>
      </c>
      <c r="I216">
        <v>381</v>
      </c>
      <c r="J216">
        <v>418.4</v>
      </c>
      <c r="K216">
        <v>2.34</v>
      </c>
      <c r="L216">
        <v>1.37</v>
      </c>
      <c r="M216">
        <v>2.44</v>
      </c>
      <c r="N216">
        <v>0.65</v>
      </c>
      <c r="O216">
        <v>388.1</v>
      </c>
      <c r="P216">
        <v>373.9</v>
      </c>
      <c r="Q216">
        <v>399.6</v>
      </c>
      <c r="R216">
        <v>388.9</v>
      </c>
      <c r="S216">
        <v>374.1</v>
      </c>
      <c r="T216">
        <v>399.9</v>
      </c>
    </row>
    <row r="217" spans="1:20" x14ac:dyDescent="0.2">
      <c r="A217" t="s">
        <v>188</v>
      </c>
      <c r="B217">
        <v>0.128</v>
      </c>
      <c r="C217" s="1">
        <v>195.9271</v>
      </c>
      <c r="D217" s="1">
        <v>-24.245200000000001</v>
      </c>
      <c r="E217">
        <v>11.7</v>
      </c>
      <c r="F217">
        <v>10.199999999999999</v>
      </c>
      <c r="G217">
        <v>12.8</v>
      </c>
      <c r="H217">
        <v>105.9</v>
      </c>
      <c r="I217">
        <v>102.9</v>
      </c>
      <c r="J217">
        <v>109.6</v>
      </c>
      <c r="K217">
        <v>1.33</v>
      </c>
      <c r="L217">
        <v>1.26</v>
      </c>
      <c r="M217">
        <v>1.38</v>
      </c>
      <c r="N217">
        <v>3.74</v>
      </c>
      <c r="O217">
        <v>16.100000000000001</v>
      </c>
      <c r="P217">
        <v>15.3</v>
      </c>
      <c r="Q217">
        <v>16.899999999999999</v>
      </c>
      <c r="R217">
        <v>22.8</v>
      </c>
      <c r="S217">
        <v>22.1</v>
      </c>
      <c r="T217">
        <v>23.6</v>
      </c>
    </row>
    <row r="218" spans="1:20" x14ac:dyDescent="0.2">
      <c r="A218" t="s">
        <v>566</v>
      </c>
      <c r="B218">
        <v>6.3E-2</v>
      </c>
      <c r="C218" s="1">
        <v>195.9442</v>
      </c>
      <c r="D218" s="1">
        <v>19.270299999999999</v>
      </c>
      <c r="E218">
        <v>13.4</v>
      </c>
      <c r="F218">
        <v>11.8</v>
      </c>
      <c r="G218">
        <v>15.6</v>
      </c>
      <c r="H218">
        <v>155.80000000000001</v>
      </c>
      <c r="I218">
        <v>149.6</v>
      </c>
      <c r="J218">
        <v>162.1</v>
      </c>
      <c r="K218">
        <v>1.22</v>
      </c>
      <c r="L218">
        <v>1.1499999999999999</v>
      </c>
      <c r="M218">
        <v>1.3</v>
      </c>
      <c r="N218">
        <v>0.59</v>
      </c>
      <c r="O218">
        <v>22.1</v>
      </c>
      <c r="P218">
        <v>21</v>
      </c>
      <c r="Q218">
        <v>23.2</v>
      </c>
      <c r="R218">
        <v>33.4</v>
      </c>
      <c r="S218">
        <v>31.9</v>
      </c>
      <c r="T218">
        <v>34.9</v>
      </c>
    </row>
    <row r="219" spans="1:20" x14ac:dyDescent="0.2">
      <c r="A219" t="s">
        <v>567</v>
      </c>
      <c r="B219">
        <v>1.03E-2</v>
      </c>
      <c r="C219" s="1">
        <v>196.07149999999999</v>
      </c>
      <c r="D219" s="1">
        <v>-30.5261</v>
      </c>
      <c r="E219">
        <v>-4.5999999999999996</v>
      </c>
      <c r="F219">
        <v>-7.8</v>
      </c>
      <c r="G219">
        <v>0.2</v>
      </c>
      <c r="H219">
        <v>77.900000000000006</v>
      </c>
      <c r="I219">
        <v>70.599999999999994</v>
      </c>
      <c r="J219">
        <v>93.1</v>
      </c>
      <c r="K219">
        <v>0.5</v>
      </c>
      <c r="L219">
        <v>0.43</v>
      </c>
      <c r="M219">
        <v>0.67</v>
      </c>
      <c r="N219">
        <v>0.36</v>
      </c>
      <c r="O219">
        <v>20.5</v>
      </c>
      <c r="P219">
        <v>18.2</v>
      </c>
      <c r="Q219">
        <v>22.9</v>
      </c>
      <c r="R219">
        <v>31.3</v>
      </c>
      <c r="S219">
        <v>28.4</v>
      </c>
      <c r="T219">
        <v>34.200000000000003</v>
      </c>
    </row>
    <row r="220" spans="1:20" x14ac:dyDescent="0.2">
      <c r="A220" t="s">
        <v>570</v>
      </c>
      <c r="B220">
        <v>0.49399999999999999</v>
      </c>
      <c r="C220" s="1">
        <v>197.7569</v>
      </c>
      <c r="D220" s="1">
        <v>-3.1772999999999998</v>
      </c>
      <c r="E220">
        <v>34.299999999999997</v>
      </c>
      <c r="F220">
        <v>29</v>
      </c>
      <c r="G220">
        <v>40</v>
      </c>
      <c r="H220">
        <v>115.3</v>
      </c>
      <c r="I220">
        <v>106.9</v>
      </c>
      <c r="J220">
        <v>120.9</v>
      </c>
      <c r="K220">
        <v>1.36</v>
      </c>
      <c r="L220">
        <v>1.26</v>
      </c>
      <c r="M220">
        <v>1.5</v>
      </c>
      <c r="N220">
        <v>0.2</v>
      </c>
      <c r="O220">
        <v>38</v>
      </c>
      <c r="P220">
        <v>33.6</v>
      </c>
      <c r="Q220">
        <v>42.8</v>
      </c>
      <c r="R220">
        <v>43.4</v>
      </c>
      <c r="S220">
        <v>39.4</v>
      </c>
      <c r="T220">
        <v>47.6</v>
      </c>
    </row>
    <row r="221" spans="1:20" x14ac:dyDescent="0.2">
      <c r="A221" t="s">
        <v>190</v>
      </c>
      <c r="B221">
        <v>0.183</v>
      </c>
      <c r="C221" s="1">
        <v>197.87299999999999</v>
      </c>
      <c r="D221" s="1">
        <v>-1.3411999999999999</v>
      </c>
      <c r="E221">
        <v>55.3</v>
      </c>
      <c r="F221">
        <v>48.5</v>
      </c>
      <c r="G221">
        <v>62.1</v>
      </c>
      <c r="H221">
        <v>192.6</v>
      </c>
      <c r="I221">
        <v>188.2</v>
      </c>
      <c r="J221">
        <v>198.9</v>
      </c>
      <c r="K221">
        <v>1.07</v>
      </c>
      <c r="L221">
        <v>1.03</v>
      </c>
      <c r="M221">
        <v>1.1200000000000001</v>
      </c>
      <c r="N221">
        <v>2.2400000000000002</v>
      </c>
      <c r="O221">
        <v>67.599999999999994</v>
      </c>
      <c r="P221">
        <v>62</v>
      </c>
      <c r="Q221">
        <v>72.400000000000006</v>
      </c>
      <c r="R221">
        <v>80.599999999999994</v>
      </c>
      <c r="S221">
        <v>76.5</v>
      </c>
      <c r="T221">
        <v>84.6</v>
      </c>
    </row>
    <row r="222" spans="1:20" x14ac:dyDescent="0.2">
      <c r="A222" t="s">
        <v>191</v>
      </c>
      <c r="B222">
        <v>0.29099999999999998</v>
      </c>
      <c r="C222" s="1">
        <v>198.76820000000001</v>
      </c>
      <c r="D222" s="1">
        <v>51.820099999999996</v>
      </c>
      <c r="E222">
        <v>169.2</v>
      </c>
      <c r="F222">
        <v>111.4</v>
      </c>
      <c r="G222">
        <v>202.2</v>
      </c>
      <c r="H222">
        <v>259.89999999999998</v>
      </c>
      <c r="I222">
        <v>249.8</v>
      </c>
      <c r="J222">
        <v>283.89999999999998</v>
      </c>
      <c r="K222">
        <v>1.23</v>
      </c>
      <c r="L222">
        <v>0.95</v>
      </c>
      <c r="M222">
        <v>1.36</v>
      </c>
      <c r="N222">
        <v>0.23</v>
      </c>
      <c r="O222">
        <v>165.8</v>
      </c>
      <c r="P222">
        <v>129.69999999999999</v>
      </c>
      <c r="Q222">
        <v>205.3</v>
      </c>
      <c r="R222">
        <v>176</v>
      </c>
      <c r="S222">
        <v>143.69999999999999</v>
      </c>
      <c r="T222">
        <v>211</v>
      </c>
    </row>
    <row r="223" spans="1:20" x14ac:dyDescent="0.2">
      <c r="A223" t="s">
        <v>574</v>
      </c>
      <c r="B223">
        <v>8.9999999999999993E-3</v>
      </c>
      <c r="C223" s="1">
        <v>198.84970000000001</v>
      </c>
      <c r="D223" s="1">
        <v>-16.385400000000001</v>
      </c>
      <c r="E223">
        <v>2</v>
      </c>
      <c r="F223">
        <v>1.9</v>
      </c>
      <c r="G223">
        <v>2.4</v>
      </c>
      <c r="H223">
        <v>61.3</v>
      </c>
      <c r="I223">
        <v>58.6</v>
      </c>
      <c r="J223">
        <v>68.400000000000006</v>
      </c>
      <c r="K223">
        <v>0.85</v>
      </c>
      <c r="L223">
        <v>0.82</v>
      </c>
      <c r="M223">
        <v>0.92</v>
      </c>
      <c r="N223">
        <v>16.559999999999999</v>
      </c>
      <c r="O223">
        <v>10.4</v>
      </c>
      <c r="P223">
        <v>10.3</v>
      </c>
      <c r="Q223">
        <v>10.5</v>
      </c>
      <c r="R223">
        <v>17.2</v>
      </c>
      <c r="S223">
        <v>17</v>
      </c>
      <c r="T223">
        <v>17.5</v>
      </c>
    </row>
    <row r="224" spans="1:20" x14ac:dyDescent="0.2">
      <c r="A224" t="s">
        <v>576</v>
      </c>
      <c r="B224">
        <v>3.6999999999999998E-2</v>
      </c>
      <c r="C224" s="1">
        <v>200.06100000000001</v>
      </c>
      <c r="D224" s="1">
        <v>33.143099999999997</v>
      </c>
      <c r="E224">
        <v>3.1</v>
      </c>
      <c r="F224">
        <v>2.6</v>
      </c>
      <c r="G224">
        <v>3.7</v>
      </c>
      <c r="H224">
        <v>119.2</v>
      </c>
      <c r="I224">
        <v>113.3</v>
      </c>
      <c r="J224">
        <v>126.8</v>
      </c>
      <c r="K224">
        <v>1.03</v>
      </c>
      <c r="L224">
        <v>0.99</v>
      </c>
      <c r="M224">
        <v>1.0900000000000001</v>
      </c>
      <c r="N224">
        <v>3.45</v>
      </c>
      <c r="O224">
        <v>13.9</v>
      </c>
      <c r="P224">
        <v>13.4</v>
      </c>
      <c r="Q224">
        <v>14.3</v>
      </c>
      <c r="R224">
        <v>25.2</v>
      </c>
      <c r="S224">
        <v>24.4</v>
      </c>
      <c r="T224">
        <v>26</v>
      </c>
    </row>
    <row r="225" spans="1:20" x14ac:dyDescent="0.2">
      <c r="A225" t="s">
        <v>577</v>
      </c>
      <c r="B225">
        <v>2.3E-2</v>
      </c>
      <c r="C225" s="1">
        <v>201.04159999999999</v>
      </c>
      <c r="D225" s="1">
        <v>13.9755</v>
      </c>
      <c r="E225">
        <v>-0.1</v>
      </c>
      <c r="F225">
        <v>-0.7</v>
      </c>
      <c r="G225">
        <v>0.7</v>
      </c>
      <c r="H225">
        <v>112.6</v>
      </c>
      <c r="I225">
        <v>107</v>
      </c>
      <c r="J225">
        <v>121.2</v>
      </c>
      <c r="K225">
        <v>0.77</v>
      </c>
      <c r="L225">
        <v>0.73</v>
      </c>
      <c r="M225">
        <v>0.83</v>
      </c>
      <c r="N225">
        <v>0.72</v>
      </c>
      <c r="O225">
        <v>18.899999999999999</v>
      </c>
      <c r="P225">
        <v>18.100000000000001</v>
      </c>
      <c r="Q225">
        <v>19.600000000000001</v>
      </c>
      <c r="R225">
        <v>32.4</v>
      </c>
      <c r="S225">
        <v>31.4</v>
      </c>
      <c r="T225">
        <v>33.4</v>
      </c>
    </row>
    <row r="226" spans="1:20" x14ac:dyDescent="0.2">
      <c r="A226" t="s">
        <v>192</v>
      </c>
      <c r="B226">
        <v>4.5999999999999999E-2</v>
      </c>
      <c r="C226" s="1">
        <v>201.72040000000001</v>
      </c>
      <c r="D226" s="1">
        <v>-27.170999999999999</v>
      </c>
      <c r="E226">
        <v>-180</v>
      </c>
      <c r="F226">
        <v>-81.400000000000006</v>
      </c>
      <c r="G226">
        <v>140.1</v>
      </c>
      <c r="H226">
        <v>212.3</v>
      </c>
      <c r="I226">
        <v>197.5</v>
      </c>
      <c r="J226">
        <v>217.1</v>
      </c>
      <c r="K226">
        <v>0.13</v>
      </c>
      <c r="L226">
        <v>0.18</v>
      </c>
      <c r="M226">
        <v>0.56000000000000005</v>
      </c>
      <c r="N226">
        <v>2.25</v>
      </c>
      <c r="O226">
        <v>130.5</v>
      </c>
      <c r="P226">
        <v>99.3</v>
      </c>
      <c r="Q226">
        <v>162.5</v>
      </c>
      <c r="R226">
        <v>147.69999999999999</v>
      </c>
      <c r="S226">
        <v>123.7</v>
      </c>
      <c r="T226">
        <v>172.2</v>
      </c>
    </row>
    <row r="227" spans="1:20" x14ac:dyDescent="0.2">
      <c r="A227" t="s">
        <v>579</v>
      </c>
      <c r="B227">
        <v>4.8000000000000001E-2</v>
      </c>
      <c r="C227" s="1">
        <v>201.98689999999999</v>
      </c>
      <c r="D227" s="1">
        <v>-31.4955</v>
      </c>
      <c r="E227">
        <v>-36.6</v>
      </c>
      <c r="F227">
        <v>-200.2</v>
      </c>
      <c r="G227">
        <v>7.3</v>
      </c>
      <c r="H227">
        <v>221.5</v>
      </c>
      <c r="I227">
        <v>207.2</v>
      </c>
      <c r="J227">
        <v>239</v>
      </c>
      <c r="K227">
        <v>0.35</v>
      </c>
      <c r="L227">
        <v>0.15</v>
      </c>
      <c r="M227">
        <v>0.57999999999999996</v>
      </c>
      <c r="N227">
        <v>0.94</v>
      </c>
      <c r="O227">
        <v>78</v>
      </c>
      <c r="P227">
        <v>68.099999999999994</v>
      </c>
      <c r="Q227">
        <v>87.6</v>
      </c>
      <c r="R227">
        <v>109.4</v>
      </c>
      <c r="S227">
        <v>98.2</v>
      </c>
      <c r="T227">
        <v>120.7</v>
      </c>
    </row>
    <row r="228" spans="1:20" x14ac:dyDescent="0.2">
      <c r="A228" t="s">
        <v>580</v>
      </c>
      <c r="B228">
        <v>2.29E-2</v>
      </c>
      <c r="C228" s="1">
        <v>202.35400000000001</v>
      </c>
      <c r="D228" s="1">
        <v>11.762600000000001</v>
      </c>
      <c r="E228">
        <v>36.6</v>
      </c>
      <c r="F228">
        <v>32.799999999999997</v>
      </c>
      <c r="G228">
        <v>39.9</v>
      </c>
      <c r="H228">
        <v>1756.2</v>
      </c>
      <c r="I228">
        <v>656.9</v>
      </c>
      <c r="J228">
        <v>1716.4</v>
      </c>
      <c r="K228">
        <v>9.08</v>
      </c>
      <c r="L228">
        <v>6.8</v>
      </c>
      <c r="M228">
        <v>9.3000000000000007</v>
      </c>
      <c r="N228">
        <v>0.5</v>
      </c>
      <c r="O228">
        <v>36.1</v>
      </c>
      <c r="P228">
        <v>32.799999999999997</v>
      </c>
      <c r="Q228">
        <v>39.9</v>
      </c>
      <c r="R228">
        <v>36.1</v>
      </c>
      <c r="S228">
        <v>32.799999999999997</v>
      </c>
      <c r="T228">
        <v>39.9</v>
      </c>
    </row>
    <row r="229" spans="1:20" x14ac:dyDescent="0.2">
      <c r="A229" t="s">
        <v>581</v>
      </c>
      <c r="B229">
        <v>0.05</v>
      </c>
      <c r="C229" s="1">
        <v>202.44900000000001</v>
      </c>
      <c r="D229" s="1">
        <v>-31.6069</v>
      </c>
      <c r="E229">
        <v>21.2</v>
      </c>
      <c r="F229">
        <v>-19.899999999999999</v>
      </c>
      <c r="G229">
        <v>42.8</v>
      </c>
      <c r="H229">
        <v>224.4</v>
      </c>
      <c r="I229">
        <v>214.2</v>
      </c>
      <c r="J229">
        <v>232.8</v>
      </c>
      <c r="K229">
        <v>0.55000000000000004</v>
      </c>
      <c r="L229">
        <v>0.41</v>
      </c>
      <c r="M229">
        <v>0.64</v>
      </c>
      <c r="N229">
        <v>1.54</v>
      </c>
      <c r="O229">
        <v>80</v>
      </c>
      <c r="P229">
        <v>72</v>
      </c>
      <c r="Q229">
        <v>87.9</v>
      </c>
      <c r="R229">
        <v>107</v>
      </c>
      <c r="S229">
        <v>99.9</v>
      </c>
      <c r="T229">
        <v>114.4</v>
      </c>
    </row>
    <row r="230" spans="1:20" x14ac:dyDescent="0.2">
      <c r="A230" t="s">
        <v>193</v>
      </c>
      <c r="B230">
        <v>9.0999999999999998E-2</v>
      </c>
      <c r="C230" s="1">
        <v>202.53970000000001</v>
      </c>
      <c r="D230" s="1">
        <v>-2.0985999999999998</v>
      </c>
      <c r="E230">
        <v>-27.7</v>
      </c>
      <c r="F230">
        <v>-128</v>
      </c>
      <c r="G230">
        <v>-22.3</v>
      </c>
      <c r="H230">
        <v>38.1</v>
      </c>
      <c r="I230">
        <v>35.299999999999997</v>
      </c>
      <c r="J230">
        <v>46.5</v>
      </c>
      <c r="K230">
        <v>0.7</v>
      </c>
      <c r="L230">
        <v>0.26</v>
      </c>
      <c r="M230">
        <v>0.78</v>
      </c>
      <c r="N230">
        <v>0.08</v>
      </c>
      <c r="O230">
        <v>-20.2</v>
      </c>
      <c r="P230">
        <v>-31.3</v>
      </c>
      <c r="Q230">
        <v>-10.6</v>
      </c>
      <c r="R230">
        <v>-8.1999999999999993</v>
      </c>
      <c r="S230">
        <v>-13.5</v>
      </c>
      <c r="T230">
        <v>-2.7</v>
      </c>
    </row>
    <row r="231" spans="1:20" x14ac:dyDescent="0.2">
      <c r="A231" t="s">
        <v>194</v>
      </c>
      <c r="B231">
        <v>6.8000000000000005E-2</v>
      </c>
      <c r="C231" s="1">
        <v>202.7107</v>
      </c>
      <c r="D231" s="1">
        <v>-1.8617999999999999</v>
      </c>
      <c r="E231">
        <v>159.4</v>
      </c>
      <c r="F231">
        <v>112.8</v>
      </c>
      <c r="G231">
        <v>179.7</v>
      </c>
      <c r="H231">
        <v>251.2</v>
      </c>
      <c r="I231">
        <v>240.4</v>
      </c>
      <c r="J231">
        <v>267.60000000000002</v>
      </c>
      <c r="K231">
        <v>1.17</v>
      </c>
      <c r="L231">
        <v>0.82</v>
      </c>
      <c r="M231">
        <v>1.35</v>
      </c>
      <c r="N231">
        <v>0.25</v>
      </c>
      <c r="O231">
        <v>158.6</v>
      </c>
      <c r="P231">
        <v>133.6</v>
      </c>
      <c r="Q231">
        <v>183.9</v>
      </c>
      <c r="R231">
        <v>169.6</v>
      </c>
      <c r="S231">
        <v>149.4</v>
      </c>
      <c r="T231">
        <v>190.4</v>
      </c>
    </row>
    <row r="232" spans="1:20" x14ac:dyDescent="0.2">
      <c r="A232" t="s">
        <v>582</v>
      </c>
      <c r="B232">
        <v>8.4000000000000005E-2</v>
      </c>
      <c r="C232" s="1">
        <v>202.79560000000001</v>
      </c>
      <c r="D232" s="1">
        <v>-1.7282</v>
      </c>
      <c r="E232">
        <v>28.6</v>
      </c>
      <c r="F232">
        <v>-8.8000000000000007</v>
      </c>
      <c r="G232">
        <v>60.6</v>
      </c>
      <c r="H232">
        <v>209.6</v>
      </c>
      <c r="I232">
        <v>194.2</v>
      </c>
      <c r="J232">
        <v>220</v>
      </c>
      <c r="K232">
        <v>0.71</v>
      </c>
      <c r="L232">
        <v>0.56999999999999995</v>
      </c>
      <c r="M232">
        <v>0.89</v>
      </c>
      <c r="N232">
        <v>0.78</v>
      </c>
      <c r="O232">
        <v>66.2</v>
      </c>
      <c r="P232">
        <v>48.3</v>
      </c>
      <c r="Q232">
        <v>82.8</v>
      </c>
      <c r="R232">
        <v>88.3</v>
      </c>
      <c r="S232">
        <v>75.8</v>
      </c>
      <c r="T232">
        <v>100.6</v>
      </c>
    </row>
    <row r="233" spans="1:20" x14ac:dyDescent="0.2">
      <c r="A233" t="s">
        <v>196</v>
      </c>
      <c r="B233">
        <v>4.8000000000000001E-2</v>
      </c>
      <c r="C233" s="1">
        <v>202.88079999999999</v>
      </c>
      <c r="D233" s="1">
        <v>-31.8245</v>
      </c>
      <c r="E233">
        <v>-35.5</v>
      </c>
      <c r="F233">
        <v>-76.5</v>
      </c>
      <c r="G233">
        <v>3.7</v>
      </c>
      <c r="H233">
        <v>285.3</v>
      </c>
      <c r="I233">
        <v>255</v>
      </c>
      <c r="J233">
        <v>350.8</v>
      </c>
      <c r="K233">
        <v>1.1399999999999999</v>
      </c>
      <c r="L233">
        <v>0.82</v>
      </c>
      <c r="M233">
        <v>1.73</v>
      </c>
      <c r="N233">
        <v>0.08</v>
      </c>
      <c r="O233">
        <v>-10.6</v>
      </c>
      <c r="P233">
        <v>-32.4</v>
      </c>
      <c r="Q233">
        <v>11</v>
      </c>
      <c r="R233">
        <v>15.6</v>
      </c>
      <c r="S233">
        <v>2</v>
      </c>
      <c r="T233">
        <v>30.2</v>
      </c>
    </row>
    <row r="234" spans="1:20" x14ac:dyDescent="0.2">
      <c r="A234" t="s">
        <v>583</v>
      </c>
      <c r="B234">
        <v>4.8899999999999999E-2</v>
      </c>
      <c r="C234" s="1">
        <v>203.1071</v>
      </c>
      <c r="D234" s="1">
        <v>-33.136000000000003</v>
      </c>
      <c r="E234">
        <v>-249.3</v>
      </c>
      <c r="F234">
        <v>-227.4</v>
      </c>
      <c r="G234">
        <v>-26.4</v>
      </c>
      <c r="H234">
        <v>232.3</v>
      </c>
      <c r="I234">
        <v>222.8</v>
      </c>
      <c r="J234">
        <v>246.2</v>
      </c>
      <c r="K234">
        <v>0.17</v>
      </c>
      <c r="L234">
        <v>0.19</v>
      </c>
      <c r="M234">
        <v>0.41</v>
      </c>
      <c r="N234">
        <v>0.39</v>
      </c>
      <c r="O234">
        <v>74.599999999999994</v>
      </c>
      <c r="P234">
        <v>62.5</v>
      </c>
      <c r="Q234">
        <v>87.3</v>
      </c>
      <c r="R234">
        <v>111.8</v>
      </c>
      <c r="S234">
        <v>102</v>
      </c>
      <c r="T234">
        <v>121.3</v>
      </c>
    </row>
    <row r="235" spans="1:20" x14ac:dyDescent="0.2">
      <c r="A235" t="s">
        <v>584</v>
      </c>
      <c r="B235">
        <v>0.27900000000000003</v>
      </c>
      <c r="C235" s="1">
        <v>203.20169999999999</v>
      </c>
      <c r="D235" s="1">
        <v>50.542400000000001</v>
      </c>
      <c r="E235">
        <v>97.7</v>
      </c>
      <c r="F235">
        <v>38.5</v>
      </c>
      <c r="G235">
        <v>167</v>
      </c>
      <c r="H235">
        <v>321</v>
      </c>
      <c r="I235">
        <v>304.39999999999998</v>
      </c>
      <c r="J235">
        <v>338.1</v>
      </c>
      <c r="K235">
        <v>0.7</v>
      </c>
      <c r="L235">
        <v>0.59</v>
      </c>
      <c r="M235">
        <v>0.9</v>
      </c>
      <c r="N235">
        <v>0.93</v>
      </c>
      <c r="O235">
        <v>147.1</v>
      </c>
      <c r="P235">
        <v>110.4</v>
      </c>
      <c r="Q235">
        <v>186.7</v>
      </c>
      <c r="R235">
        <v>173.9</v>
      </c>
      <c r="S235">
        <v>143.9</v>
      </c>
      <c r="T235">
        <v>204.8</v>
      </c>
    </row>
    <row r="236" spans="1:20" x14ac:dyDescent="0.2">
      <c r="A236" t="s">
        <v>197</v>
      </c>
      <c r="B236">
        <v>4.9000000000000002E-2</v>
      </c>
      <c r="C236" s="1">
        <v>203.40549999999999</v>
      </c>
      <c r="D236" s="1">
        <v>-31.671600000000002</v>
      </c>
      <c r="E236">
        <v>75</v>
      </c>
      <c r="F236">
        <v>53.7</v>
      </c>
      <c r="G236">
        <v>90.7</v>
      </c>
      <c r="H236">
        <v>219.9</v>
      </c>
      <c r="I236">
        <v>211.9</v>
      </c>
      <c r="J236">
        <v>230.8</v>
      </c>
      <c r="K236">
        <v>0.94</v>
      </c>
      <c r="L236">
        <v>0.79</v>
      </c>
      <c r="M236">
        <v>1.07</v>
      </c>
      <c r="N236">
        <v>1.57</v>
      </c>
      <c r="O236">
        <v>91.4</v>
      </c>
      <c r="P236">
        <v>80.099999999999994</v>
      </c>
      <c r="Q236">
        <v>102.1</v>
      </c>
      <c r="R236">
        <v>107.5</v>
      </c>
      <c r="S236">
        <v>99</v>
      </c>
      <c r="T236">
        <v>116.1</v>
      </c>
    </row>
    <row r="237" spans="1:20" x14ac:dyDescent="0.2">
      <c r="A237" t="s">
        <v>198</v>
      </c>
      <c r="B237">
        <v>0.223</v>
      </c>
      <c r="C237" s="1">
        <v>203.83330000000001</v>
      </c>
      <c r="D237" s="1">
        <v>41.000500000000002</v>
      </c>
      <c r="E237">
        <v>182.3</v>
      </c>
      <c r="F237">
        <v>133.69999999999999</v>
      </c>
      <c r="G237">
        <v>188.3</v>
      </c>
      <c r="H237">
        <v>218.1</v>
      </c>
      <c r="I237">
        <v>189</v>
      </c>
      <c r="J237">
        <v>225.6</v>
      </c>
      <c r="K237">
        <v>1.88</v>
      </c>
      <c r="L237">
        <v>1.43</v>
      </c>
      <c r="M237">
        <v>2.08</v>
      </c>
      <c r="N237">
        <v>0.64</v>
      </c>
      <c r="O237">
        <v>160.9</v>
      </c>
      <c r="P237">
        <v>136.4</v>
      </c>
      <c r="Q237">
        <v>189.2</v>
      </c>
      <c r="R237">
        <v>163.6</v>
      </c>
      <c r="S237">
        <v>139.6</v>
      </c>
      <c r="T237">
        <v>190.5</v>
      </c>
    </row>
    <row r="238" spans="1:20" x14ac:dyDescent="0.2">
      <c r="A238" t="s">
        <v>586</v>
      </c>
      <c r="B238">
        <v>7.0000000000000007E-2</v>
      </c>
      <c r="C238" s="1">
        <v>204.0343</v>
      </c>
      <c r="D238" s="1">
        <v>59.205500000000001</v>
      </c>
      <c r="E238">
        <v>288.60000000000002</v>
      </c>
      <c r="F238">
        <v>246</v>
      </c>
      <c r="G238">
        <v>295.5</v>
      </c>
      <c r="H238">
        <v>310.39999999999998</v>
      </c>
      <c r="I238">
        <v>294.5</v>
      </c>
      <c r="J238">
        <v>321.60000000000002</v>
      </c>
      <c r="K238">
        <v>2.02</v>
      </c>
      <c r="L238">
        <v>1.33</v>
      </c>
      <c r="M238">
        <v>2.15</v>
      </c>
      <c r="N238">
        <v>0.38</v>
      </c>
      <c r="O238">
        <v>272.10000000000002</v>
      </c>
      <c r="P238">
        <v>247.2</v>
      </c>
      <c r="Q238">
        <v>296</v>
      </c>
      <c r="R238">
        <v>274.39999999999998</v>
      </c>
      <c r="S238">
        <v>252.3</v>
      </c>
      <c r="T238">
        <v>297</v>
      </c>
    </row>
    <row r="239" spans="1:20" x14ac:dyDescent="0.2">
      <c r="A239" t="s">
        <v>588</v>
      </c>
      <c r="B239">
        <v>7.1999999999999995E-2</v>
      </c>
      <c r="C239" s="1">
        <v>205.45169999999999</v>
      </c>
      <c r="D239" s="1">
        <v>26.370899999999999</v>
      </c>
      <c r="E239">
        <v>55.5</v>
      </c>
      <c r="F239">
        <v>50.8</v>
      </c>
      <c r="G239">
        <v>65</v>
      </c>
      <c r="H239">
        <v>257.7</v>
      </c>
      <c r="I239">
        <v>220.5</v>
      </c>
      <c r="J239">
        <v>290</v>
      </c>
      <c r="K239">
        <v>2.0099999999999998</v>
      </c>
      <c r="L239">
        <v>1.74</v>
      </c>
      <c r="M239">
        <v>2.56</v>
      </c>
      <c r="N239">
        <v>0.25</v>
      </c>
      <c r="O239">
        <v>59.5</v>
      </c>
      <c r="P239">
        <v>53.9</v>
      </c>
      <c r="Q239">
        <v>66</v>
      </c>
      <c r="R239">
        <v>64.8</v>
      </c>
      <c r="S239">
        <v>60.2</v>
      </c>
      <c r="T239">
        <v>69.2</v>
      </c>
    </row>
    <row r="240" spans="1:20" x14ac:dyDescent="0.2">
      <c r="A240" t="s">
        <v>590</v>
      </c>
      <c r="B240">
        <v>3.9100000000000003E-2</v>
      </c>
      <c r="C240" s="1">
        <v>206.86850000000001</v>
      </c>
      <c r="D240" s="1">
        <v>-32.864600000000003</v>
      </c>
      <c r="E240">
        <v>30.3</v>
      </c>
      <c r="F240">
        <v>-1.9</v>
      </c>
      <c r="G240">
        <v>63.6</v>
      </c>
      <c r="H240">
        <v>246.9</v>
      </c>
      <c r="I240">
        <v>240.1</v>
      </c>
      <c r="J240">
        <v>251.7</v>
      </c>
      <c r="K240">
        <v>0.47</v>
      </c>
      <c r="L240">
        <v>0.37</v>
      </c>
      <c r="M240">
        <v>0.6</v>
      </c>
      <c r="N240">
        <v>3.53</v>
      </c>
      <c r="O240">
        <v>105.8</v>
      </c>
      <c r="P240">
        <v>99.6</v>
      </c>
      <c r="Q240">
        <v>112.7</v>
      </c>
      <c r="R240">
        <v>133.19999999999999</v>
      </c>
      <c r="S240">
        <v>127.7</v>
      </c>
      <c r="T240">
        <v>138.80000000000001</v>
      </c>
    </row>
    <row r="241" spans="1:20" x14ac:dyDescent="0.2">
      <c r="A241" t="s">
        <v>199</v>
      </c>
      <c r="B241">
        <v>0.45100000000000001</v>
      </c>
      <c r="C241" s="1">
        <v>206.8776</v>
      </c>
      <c r="D241" s="1">
        <v>-11.7524</v>
      </c>
      <c r="E241">
        <v>8.3000000000000007</v>
      </c>
      <c r="F241">
        <v>3.3</v>
      </c>
      <c r="G241">
        <v>11.1</v>
      </c>
      <c r="H241">
        <v>175.8</v>
      </c>
      <c r="I241">
        <v>170.9</v>
      </c>
      <c r="J241">
        <v>182</v>
      </c>
      <c r="K241">
        <v>1.1200000000000001</v>
      </c>
      <c r="L241">
        <v>1.05</v>
      </c>
      <c r="M241">
        <v>1.17</v>
      </c>
      <c r="N241">
        <v>0.76</v>
      </c>
      <c r="O241">
        <v>20.6</v>
      </c>
      <c r="P241">
        <v>18.600000000000001</v>
      </c>
      <c r="Q241">
        <v>22.4</v>
      </c>
      <c r="R241">
        <v>35.9</v>
      </c>
      <c r="S241">
        <v>34.4</v>
      </c>
      <c r="T241">
        <v>37.299999999999997</v>
      </c>
    </row>
    <row r="242" spans="1:20" x14ac:dyDescent="0.2">
      <c r="A242" t="s">
        <v>592</v>
      </c>
      <c r="B242">
        <v>6.25E-2</v>
      </c>
      <c r="C242" s="1">
        <v>207.22</v>
      </c>
      <c r="D242" s="1">
        <v>26.5899</v>
      </c>
      <c r="E242">
        <v>14.7</v>
      </c>
      <c r="F242">
        <v>13.6</v>
      </c>
      <c r="G242">
        <v>16.100000000000001</v>
      </c>
      <c r="H242">
        <v>138.4</v>
      </c>
      <c r="I242">
        <v>136.30000000000001</v>
      </c>
      <c r="J242">
        <v>139.5</v>
      </c>
      <c r="K242">
        <v>1.1299999999999999</v>
      </c>
      <c r="L242">
        <v>1.1100000000000001</v>
      </c>
      <c r="M242">
        <v>1.17</v>
      </c>
      <c r="N242">
        <v>5.26</v>
      </c>
      <c r="O242">
        <v>23.9</v>
      </c>
      <c r="P242">
        <v>23.3</v>
      </c>
      <c r="Q242">
        <v>24.6</v>
      </c>
      <c r="R242">
        <v>34.700000000000003</v>
      </c>
      <c r="S242">
        <v>34.200000000000003</v>
      </c>
      <c r="T242">
        <v>35.200000000000003</v>
      </c>
    </row>
    <row r="243" spans="1:20" x14ac:dyDescent="0.2">
      <c r="A243" t="s">
        <v>760</v>
      </c>
      <c r="B243">
        <v>0.09</v>
      </c>
      <c r="C243" s="1">
        <v>207.59129999999999</v>
      </c>
      <c r="D243" s="1">
        <v>9.6698000000000004</v>
      </c>
      <c r="E243">
        <v>7.2</v>
      </c>
      <c r="F243">
        <v>6</v>
      </c>
      <c r="G243">
        <v>8.4</v>
      </c>
      <c r="H243">
        <v>146.5</v>
      </c>
      <c r="I243">
        <v>140.6</v>
      </c>
      <c r="J243">
        <v>150.30000000000001</v>
      </c>
      <c r="K243">
        <v>1.1499999999999999</v>
      </c>
      <c r="L243">
        <v>1.1100000000000001</v>
      </c>
      <c r="M243">
        <v>1.2</v>
      </c>
      <c r="N243">
        <v>0.95</v>
      </c>
      <c r="O243">
        <v>16.899999999999999</v>
      </c>
      <c r="P243">
        <v>16.399999999999999</v>
      </c>
      <c r="Q243">
        <v>17.5</v>
      </c>
      <c r="R243">
        <v>28.8</v>
      </c>
      <c r="S243">
        <v>27.7</v>
      </c>
      <c r="T243">
        <v>29.8</v>
      </c>
    </row>
    <row r="244" spans="1:20" x14ac:dyDescent="0.2">
      <c r="A244" t="s">
        <v>598</v>
      </c>
      <c r="B244">
        <v>0.44700000000000001</v>
      </c>
      <c r="C244" s="1">
        <v>209.79259999999999</v>
      </c>
      <c r="D244" s="1">
        <v>-19.490300000000001</v>
      </c>
      <c r="E244">
        <v>19.3</v>
      </c>
      <c r="F244">
        <v>13.3</v>
      </c>
      <c r="G244">
        <v>24.3</v>
      </c>
      <c r="H244">
        <v>111.9</v>
      </c>
      <c r="I244">
        <v>101.4</v>
      </c>
      <c r="J244">
        <v>121.4</v>
      </c>
      <c r="K244">
        <v>1.35</v>
      </c>
      <c r="L244">
        <v>1.18</v>
      </c>
      <c r="M244">
        <v>1.49</v>
      </c>
      <c r="N244">
        <v>0.09</v>
      </c>
      <c r="O244">
        <v>23.5</v>
      </c>
      <c r="P244">
        <v>19.8</v>
      </c>
      <c r="Q244">
        <v>27.6</v>
      </c>
      <c r="R244">
        <v>30.2</v>
      </c>
      <c r="S244">
        <v>27.1</v>
      </c>
      <c r="T244">
        <v>33.5</v>
      </c>
    </row>
    <row r="245" spans="1:20" x14ac:dyDescent="0.2">
      <c r="A245" t="s">
        <v>202</v>
      </c>
      <c r="B245">
        <v>6.0999999999999999E-2</v>
      </c>
      <c r="C245" s="1">
        <v>209.81559999999999</v>
      </c>
      <c r="D245" s="1">
        <v>27.975300000000001</v>
      </c>
      <c r="E245">
        <v>78.7</v>
      </c>
      <c r="F245">
        <v>58.1</v>
      </c>
      <c r="G245">
        <v>97.8</v>
      </c>
      <c r="H245">
        <v>187.2</v>
      </c>
      <c r="I245">
        <v>177.8</v>
      </c>
      <c r="J245">
        <v>198.8</v>
      </c>
      <c r="K245">
        <v>1.18</v>
      </c>
      <c r="L245">
        <v>0.99</v>
      </c>
      <c r="M245">
        <v>1.38</v>
      </c>
      <c r="N245">
        <v>0.53</v>
      </c>
      <c r="O245">
        <v>86</v>
      </c>
      <c r="P245">
        <v>71.3</v>
      </c>
      <c r="Q245">
        <v>101.9</v>
      </c>
      <c r="R245">
        <v>95.8</v>
      </c>
      <c r="S245">
        <v>83.8</v>
      </c>
      <c r="T245">
        <v>108</v>
      </c>
    </row>
    <row r="246" spans="1:20" x14ac:dyDescent="0.2">
      <c r="A246" t="s">
        <v>599</v>
      </c>
      <c r="B246">
        <v>0.32200000000000001</v>
      </c>
      <c r="C246" s="1">
        <v>209.96090000000001</v>
      </c>
      <c r="D246" s="1">
        <v>62.518000000000001</v>
      </c>
      <c r="E246">
        <v>8.1</v>
      </c>
      <c r="F246">
        <v>-3.2</v>
      </c>
      <c r="G246">
        <v>14.8</v>
      </c>
      <c r="H246">
        <v>197.8</v>
      </c>
      <c r="I246">
        <v>188.4</v>
      </c>
      <c r="J246">
        <v>209.6</v>
      </c>
      <c r="K246">
        <v>0.9</v>
      </c>
      <c r="L246">
        <v>0.82</v>
      </c>
      <c r="M246">
        <v>0.96</v>
      </c>
      <c r="N246">
        <v>1</v>
      </c>
      <c r="O246">
        <v>31.2</v>
      </c>
      <c r="P246">
        <v>27.2</v>
      </c>
      <c r="Q246">
        <v>35.5</v>
      </c>
      <c r="R246">
        <v>52.4</v>
      </c>
      <c r="S246">
        <v>48.8</v>
      </c>
      <c r="T246">
        <v>56.4</v>
      </c>
    </row>
    <row r="247" spans="1:20" x14ac:dyDescent="0.2">
      <c r="A247" t="s">
        <v>203</v>
      </c>
      <c r="B247">
        <v>0.253</v>
      </c>
      <c r="C247" s="1">
        <v>210.25810000000001</v>
      </c>
      <c r="D247" s="1">
        <v>2.8788999999999998</v>
      </c>
      <c r="E247">
        <v>12.2</v>
      </c>
      <c r="F247">
        <v>10</v>
      </c>
      <c r="G247">
        <v>13.5</v>
      </c>
      <c r="H247">
        <v>116.6</v>
      </c>
      <c r="I247">
        <v>113.6</v>
      </c>
      <c r="J247">
        <v>122.3</v>
      </c>
      <c r="K247">
        <v>1.34</v>
      </c>
      <c r="L247">
        <v>1.28</v>
      </c>
      <c r="M247">
        <v>1.38</v>
      </c>
      <c r="N247">
        <v>2.21</v>
      </c>
      <c r="O247">
        <v>16.7</v>
      </c>
      <c r="P247">
        <v>15.5</v>
      </c>
      <c r="Q247">
        <v>17.899999999999999</v>
      </c>
      <c r="R247">
        <v>24.2</v>
      </c>
      <c r="S247">
        <v>23.2</v>
      </c>
      <c r="T247">
        <v>25.3</v>
      </c>
    </row>
    <row r="248" spans="1:20" x14ac:dyDescent="0.2">
      <c r="A248" t="s">
        <v>601</v>
      </c>
      <c r="B248">
        <v>1.38E-2</v>
      </c>
      <c r="C248" s="1">
        <v>210.9117</v>
      </c>
      <c r="D248" s="1">
        <v>-33.978099999999998</v>
      </c>
      <c r="E248">
        <v>-3.6</v>
      </c>
      <c r="F248">
        <v>-3.9</v>
      </c>
      <c r="G248">
        <v>-1</v>
      </c>
      <c r="H248">
        <v>400.8</v>
      </c>
      <c r="I248">
        <v>394.2</v>
      </c>
      <c r="J248">
        <v>462.6</v>
      </c>
      <c r="K248">
        <v>0.81</v>
      </c>
      <c r="L248">
        <v>0.81</v>
      </c>
      <c r="M248">
        <v>0.92</v>
      </c>
      <c r="N248">
        <v>0.28999999999999998</v>
      </c>
      <c r="O248">
        <v>56.8</v>
      </c>
      <c r="P248">
        <v>52.6</v>
      </c>
      <c r="Q248">
        <v>61</v>
      </c>
      <c r="R248">
        <v>105.2</v>
      </c>
      <c r="S248">
        <v>99.3</v>
      </c>
      <c r="T248">
        <v>111.3</v>
      </c>
    </row>
    <row r="249" spans="1:20" x14ac:dyDescent="0.2">
      <c r="A249" t="s">
        <v>602</v>
      </c>
      <c r="B249">
        <v>1.38E-2</v>
      </c>
      <c r="C249" s="1">
        <v>210.9119</v>
      </c>
      <c r="D249" s="1">
        <v>-33.978299999999997</v>
      </c>
      <c r="E249">
        <v>-5.7</v>
      </c>
      <c r="F249">
        <v>-8</v>
      </c>
      <c r="G249">
        <v>-2.1</v>
      </c>
      <c r="H249">
        <v>343</v>
      </c>
      <c r="I249">
        <v>302</v>
      </c>
      <c r="J249">
        <v>417.8</v>
      </c>
      <c r="K249">
        <v>0.72</v>
      </c>
      <c r="L249">
        <v>0.66</v>
      </c>
      <c r="M249">
        <v>0.85</v>
      </c>
      <c r="N249">
        <v>0.2</v>
      </c>
      <c r="O249">
        <v>59.1</v>
      </c>
      <c r="P249">
        <v>54.8</v>
      </c>
      <c r="Q249">
        <v>63.5</v>
      </c>
      <c r="R249">
        <v>103.2</v>
      </c>
      <c r="S249">
        <v>95.4</v>
      </c>
      <c r="T249">
        <v>110.9</v>
      </c>
    </row>
    <row r="250" spans="1:20" x14ac:dyDescent="0.2">
      <c r="A250" t="s">
        <v>603</v>
      </c>
      <c r="B250">
        <v>2.3E-2</v>
      </c>
      <c r="C250" s="1">
        <v>211.8741</v>
      </c>
      <c r="D250" s="1">
        <v>-27.0183</v>
      </c>
      <c r="E250">
        <v>6</v>
      </c>
      <c r="F250">
        <v>5.7</v>
      </c>
      <c r="G250">
        <v>6.4</v>
      </c>
      <c r="H250">
        <v>120.9</v>
      </c>
      <c r="I250">
        <v>118.3</v>
      </c>
      <c r="J250">
        <v>124.1</v>
      </c>
      <c r="K250">
        <v>1.05</v>
      </c>
      <c r="L250">
        <v>1.03</v>
      </c>
      <c r="M250">
        <v>1.08</v>
      </c>
      <c r="N250">
        <v>5.61</v>
      </c>
      <c r="O250">
        <v>16.100000000000001</v>
      </c>
      <c r="P250">
        <v>15.9</v>
      </c>
      <c r="Q250">
        <v>16.3</v>
      </c>
      <c r="R250">
        <v>27</v>
      </c>
      <c r="S250">
        <v>26.7</v>
      </c>
      <c r="T250">
        <v>27.3</v>
      </c>
    </row>
    <row r="251" spans="1:20" x14ac:dyDescent="0.2">
      <c r="A251" t="s">
        <v>204</v>
      </c>
      <c r="B251">
        <v>0.14099999999999999</v>
      </c>
      <c r="C251" s="1">
        <v>213.77850000000001</v>
      </c>
      <c r="D251" s="1">
        <v>-0.49199999999999999</v>
      </c>
      <c r="E251">
        <v>-31.1</v>
      </c>
      <c r="F251">
        <v>-48.5</v>
      </c>
      <c r="G251">
        <v>-14.4</v>
      </c>
      <c r="H251">
        <v>282</v>
      </c>
      <c r="I251">
        <v>255.9</v>
      </c>
      <c r="J251">
        <v>300</v>
      </c>
      <c r="K251">
        <v>1.22</v>
      </c>
      <c r="L251">
        <v>1.03</v>
      </c>
      <c r="M251">
        <v>1.47</v>
      </c>
      <c r="N251">
        <v>0.19</v>
      </c>
      <c r="O251">
        <v>-11.3</v>
      </c>
      <c r="P251">
        <v>-18.8</v>
      </c>
      <c r="Q251">
        <v>-3.6</v>
      </c>
      <c r="R251">
        <v>13.3</v>
      </c>
      <c r="S251">
        <v>9.8000000000000007</v>
      </c>
      <c r="T251">
        <v>17.2</v>
      </c>
    </row>
    <row r="252" spans="1:20" x14ac:dyDescent="0.2">
      <c r="A252" t="s">
        <v>205</v>
      </c>
      <c r="B252">
        <v>1.03</v>
      </c>
      <c r="C252" s="1">
        <v>213.7954</v>
      </c>
      <c r="D252" s="1">
        <v>36.202199999999998</v>
      </c>
      <c r="E252">
        <v>-51.8</v>
      </c>
      <c r="F252">
        <v>-146.69999999999999</v>
      </c>
      <c r="G252">
        <v>34.4</v>
      </c>
      <c r="H252">
        <v>155.5</v>
      </c>
      <c r="I252">
        <v>137.69999999999999</v>
      </c>
      <c r="J252">
        <v>160.5</v>
      </c>
      <c r="K252">
        <v>0.35</v>
      </c>
      <c r="L252">
        <v>0.22</v>
      </c>
      <c r="M252">
        <v>0.71</v>
      </c>
      <c r="N252">
        <v>0.03</v>
      </c>
      <c r="O252">
        <v>46.1</v>
      </c>
      <c r="P252">
        <v>33.6</v>
      </c>
      <c r="Q252">
        <v>59.1</v>
      </c>
      <c r="R252">
        <v>67.599999999999994</v>
      </c>
      <c r="S252">
        <v>59.4</v>
      </c>
      <c r="T252">
        <v>75.8</v>
      </c>
    </row>
    <row r="253" spans="1:20" x14ac:dyDescent="0.2">
      <c r="A253" t="s">
        <v>206</v>
      </c>
      <c r="B253">
        <v>0.38600000000000001</v>
      </c>
      <c r="C253" s="1">
        <v>214.11609999999999</v>
      </c>
      <c r="D253" s="1">
        <v>44.779200000000003</v>
      </c>
      <c r="E253">
        <v>11.6</v>
      </c>
      <c r="F253">
        <v>-28.9</v>
      </c>
      <c r="G253">
        <v>30.8</v>
      </c>
      <c r="H253">
        <v>120.7</v>
      </c>
      <c r="I253">
        <v>106.2</v>
      </c>
      <c r="J253">
        <v>133</v>
      </c>
      <c r="K253">
        <v>0.89</v>
      </c>
      <c r="L253">
        <v>0.61</v>
      </c>
      <c r="M253">
        <v>1.1399999999999999</v>
      </c>
      <c r="N253">
        <v>0.01</v>
      </c>
      <c r="O253">
        <v>22.8</v>
      </c>
      <c r="P253">
        <v>7.4</v>
      </c>
      <c r="Q253">
        <v>38.6</v>
      </c>
      <c r="R253">
        <v>36.5</v>
      </c>
      <c r="S253">
        <v>26.9</v>
      </c>
      <c r="T253">
        <v>46.2</v>
      </c>
    </row>
    <row r="254" spans="1:20" x14ac:dyDescent="0.2">
      <c r="A254" t="s">
        <v>207</v>
      </c>
      <c r="B254">
        <v>0.54300000000000004</v>
      </c>
      <c r="C254" s="1">
        <v>215.9495</v>
      </c>
      <c r="D254" s="1">
        <v>24.078499999999998</v>
      </c>
      <c r="E254">
        <v>3.3</v>
      </c>
      <c r="F254">
        <v>-1.5</v>
      </c>
      <c r="G254">
        <v>8.3000000000000007</v>
      </c>
      <c r="H254">
        <v>131.6</v>
      </c>
      <c r="I254">
        <v>124.4</v>
      </c>
      <c r="J254">
        <v>138.4</v>
      </c>
      <c r="K254">
        <v>1.06</v>
      </c>
      <c r="L254">
        <v>0.97</v>
      </c>
      <c r="M254">
        <v>1.1599999999999999</v>
      </c>
      <c r="N254">
        <v>0.27</v>
      </c>
      <c r="O254">
        <v>14.8</v>
      </c>
      <c r="P254">
        <v>12.8</v>
      </c>
      <c r="Q254">
        <v>16.7</v>
      </c>
      <c r="R254">
        <v>26.9</v>
      </c>
      <c r="S254">
        <v>25.7</v>
      </c>
      <c r="T254">
        <v>28.1</v>
      </c>
    </row>
    <row r="255" spans="1:20" x14ac:dyDescent="0.2">
      <c r="A255" t="s">
        <v>208</v>
      </c>
      <c r="B255">
        <v>0.17100000000000001</v>
      </c>
      <c r="C255" s="1">
        <v>216.51320000000001</v>
      </c>
      <c r="D255" s="1">
        <v>37.823799999999999</v>
      </c>
      <c r="E255">
        <v>97.2</v>
      </c>
      <c r="F255">
        <v>65</v>
      </c>
      <c r="G255">
        <v>114.1</v>
      </c>
      <c r="H255">
        <v>228</v>
      </c>
      <c r="I255">
        <v>216.4</v>
      </c>
      <c r="J255">
        <v>240.7</v>
      </c>
      <c r="K255">
        <v>0.87</v>
      </c>
      <c r="L255">
        <v>0.74</v>
      </c>
      <c r="M255">
        <v>0.96</v>
      </c>
      <c r="N255">
        <v>1.22</v>
      </c>
      <c r="O255">
        <v>110.5</v>
      </c>
      <c r="P255">
        <v>92.7</v>
      </c>
      <c r="Q255">
        <v>126.5</v>
      </c>
      <c r="R255">
        <v>126.4</v>
      </c>
      <c r="S255">
        <v>112.5</v>
      </c>
      <c r="T255">
        <v>139.5</v>
      </c>
    </row>
    <row r="256" spans="1:20" x14ac:dyDescent="0.2">
      <c r="A256" t="s">
        <v>209</v>
      </c>
      <c r="B256">
        <v>0.498</v>
      </c>
      <c r="C256" s="1">
        <v>216.81720000000001</v>
      </c>
      <c r="D256" s="1">
        <v>44.1252</v>
      </c>
      <c r="E256">
        <v>7.3</v>
      </c>
      <c r="F256">
        <v>3.7</v>
      </c>
      <c r="G256">
        <v>10.6</v>
      </c>
      <c r="H256">
        <v>131.30000000000001</v>
      </c>
      <c r="I256">
        <v>123</v>
      </c>
      <c r="J256">
        <v>138.4</v>
      </c>
      <c r="K256">
        <v>1.21</v>
      </c>
      <c r="L256">
        <v>1.1499999999999999</v>
      </c>
      <c r="M256">
        <v>1.29</v>
      </c>
      <c r="N256">
        <v>1.1599999999999999</v>
      </c>
      <c r="O256">
        <v>14.9</v>
      </c>
      <c r="P256">
        <v>12.4</v>
      </c>
      <c r="Q256">
        <v>17.2</v>
      </c>
      <c r="R256">
        <v>24.9</v>
      </c>
      <c r="S256">
        <v>23</v>
      </c>
      <c r="T256">
        <v>26.7</v>
      </c>
    </row>
    <row r="257" spans="1:20" x14ac:dyDescent="0.2">
      <c r="A257" t="s">
        <v>210</v>
      </c>
      <c r="B257">
        <v>0.318</v>
      </c>
      <c r="C257" s="1">
        <v>216.9144</v>
      </c>
      <c r="D257" s="1">
        <v>-25.3508</v>
      </c>
      <c r="E257">
        <v>9.3000000000000007</v>
      </c>
      <c r="F257">
        <v>2.5</v>
      </c>
      <c r="G257">
        <v>13.7</v>
      </c>
      <c r="H257">
        <v>156.9</v>
      </c>
      <c r="I257">
        <v>148.6</v>
      </c>
      <c r="J257">
        <v>165.9</v>
      </c>
      <c r="K257">
        <v>1.19</v>
      </c>
      <c r="L257">
        <v>1.02</v>
      </c>
      <c r="M257">
        <v>1.31</v>
      </c>
      <c r="N257">
        <v>0.03</v>
      </c>
      <c r="O257">
        <v>18.8</v>
      </c>
      <c r="P257">
        <v>16.399999999999999</v>
      </c>
      <c r="Q257">
        <v>21.1</v>
      </c>
      <c r="R257">
        <v>31.5</v>
      </c>
      <c r="S257">
        <v>29</v>
      </c>
      <c r="T257">
        <v>33.9</v>
      </c>
    </row>
    <row r="258" spans="1:20" x14ac:dyDescent="0.2">
      <c r="A258" t="s">
        <v>211</v>
      </c>
      <c r="B258">
        <v>0.13100000000000001</v>
      </c>
      <c r="C258" s="1">
        <v>218.15819999999999</v>
      </c>
      <c r="D258" s="1">
        <v>31.647099999999998</v>
      </c>
      <c r="E258">
        <v>5.2</v>
      </c>
      <c r="F258">
        <v>3</v>
      </c>
      <c r="G258">
        <v>8</v>
      </c>
      <c r="H258">
        <v>176.5</v>
      </c>
      <c r="I258">
        <v>170.7</v>
      </c>
      <c r="J258">
        <v>180.8</v>
      </c>
      <c r="K258">
        <v>0.92</v>
      </c>
      <c r="L258">
        <v>0.89</v>
      </c>
      <c r="M258">
        <v>0.96</v>
      </c>
      <c r="N258">
        <v>1.1599999999999999</v>
      </c>
      <c r="O258">
        <v>25.9</v>
      </c>
      <c r="P258">
        <v>24.5</v>
      </c>
      <c r="Q258">
        <v>27.3</v>
      </c>
      <c r="R258">
        <v>44</v>
      </c>
      <c r="S258">
        <v>42</v>
      </c>
      <c r="T258">
        <v>46</v>
      </c>
    </row>
    <row r="259" spans="1:20" x14ac:dyDescent="0.2">
      <c r="A259" t="s">
        <v>212</v>
      </c>
      <c r="B259">
        <v>0.224</v>
      </c>
      <c r="C259" s="1">
        <v>219.5915</v>
      </c>
      <c r="D259" s="1">
        <v>3.6701999999999999</v>
      </c>
      <c r="E259">
        <v>-160.80000000000001</v>
      </c>
      <c r="F259">
        <v>-181.8</v>
      </c>
      <c r="G259">
        <v>84.4</v>
      </c>
      <c r="H259">
        <v>295.5</v>
      </c>
      <c r="I259">
        <v>277.5</v>
      </c>
      <c r="J259">
        <v>310.2</v>
      </c>
      <c r="K259">
        <v>0.22</v>
      </c>
      <c r="L259">
        <v>0.2</v>
      </c>
      <c r="M259">
        <v>0.43</v>
      </c>
      <c r="N259">
        <v>0.77</v>
      </c>
      <c r="O259">
        <v>140.69999999999999</v>
      </c>
      <c r="P259">
        <v>109.9</v>
      </c>
      <c r="Q259">
        <v>174.9</v>
      </c>
      <c r="R259">
        <v>176</v>
      </c>
      <c r="S259">
        <v>151.19999999999999</v>
      </c>
      <c r="T259">
        <v>203.1</v>
      </c>
    </row>
    <row r="260" spans="1:20" x14ac:dyDescent="0.2">
      <c r="A260" t="s">
        <v>611</v>
      </c>
      <c r="B260">
        <v>2.7E-2</v>
      </c>
      <c r="C260" s="1">
        <v>220.16489999999999</v>
      </c>
      <c r="D260" s="1">
        <v>3.4710000000000001</v>
      </c>
      <c r="E260">
        <v>158.9</v>
      </c>
      <c r="F260">
        <v>162.1</v>
      </c>
      <c r="G260">
        <v>194.2</v>
      </c>
      <c r="H260">
        <v>316</v>
      </c>
      <c r="I260">
        <v>335.5</v>
      </c>
      <c r="J260">
        <v>1482.8</v>
      </c>
      <c r="K260">
        <v>1.1399999999999999</v>
      </c>
      <c r="L260">
        <v>3.48</v>
      </c>
      <c r="M260">
        <v>8.3800000000000008</v>
      </c>
      <c r="N260">
        <v>0.28000000000000003</v>
      </c>
      <c r="O260">
        <v>178.9</v>
      </c>
      <c r="P260">
        <v>162.4</v>
      </c>
      <c r="Q260">
        <v>194.3</v>
      </c>
      <c r="R260">
        <v>179.8</v>
      </c>
      <c r="S260">
        <v>163.6</v>
      </c>
      <c r="T260">
        <v>195.1</v>
      </c>
    </row>
    <row r="261" spans="1:20" x14ac:dyDescent="0.2">
      <c r="A261" t="s">
        <v>612</v>
      </c>
      <c r="B261">
        <v>5.8999999999999997E-2</v>
      </c>
      <c r="C261" s="1">
        <v>223.63140000000001</v>
      </c>
      <c r="D261" s="1">
        <v>18.644500000000001</v>
      </c>
      <c r="E261">
        <v>0.9</v>
      </c>
      <c r="F261">
        <v>0.6</v>
      </c>
      <c r="G261">
        <v>1.3</v>
      </c>
      <c r="H261">
        <v>130.69999999999999</v>
      </c>
      <c r="I261">
        <v>125.8</v>
      </c>
      <c r="J261">
        <v>134.6</v>
      </c>
      <c r="K261">
        <v>1.05</v>
      </c>
      <c r="L261">
        <v>1.02</v>
      </c>
      <c r="M261">
        <v>1.07</v>
      </c>
      <c r="N261">
        <v>1.86</v>
      </c>
      <c r="O261">
        <v>12.6</v>
      </c>
      <c r="P261">
        <v>12.2</v>
      </c>
      <c r="Q261">
        <v>12.9</v>
      </c>
      <c r="R261">
        <v>24.9</v>
      </c>
      <c r="S261">
        <v>24.4</v>
      </c>
      <c r="T261">
        <v>25.5</v>
      </c>
    </row>
    <row r="262" spans="1:20" x14ac:dyDescent="0.2">
      <c r="A262" t="s">
        <v>213</v>
      </c>
      <c r="B262">
        <v>0.25800000000000001</v>
      </c>
      <c r="C262" s="1">
        <v>224.31290000000001</v>
      </c>
      <c r="D262" s="1">
        <v>22.342500000000001</v>
      </c>
      <c r="E262">
        <v>14.8</v>
      </c>
      <c r="F262">
        <v>13.2</v>
      </c>
      <c r="G262">
        <v>16.399999999999999</v>
      </c>
      <c r="H262">
        <v>94.8</v>
      </c>
      <c r="I262">
        <v>92.1</v>
      </c>
      <c r="J262">
        <v>98</v>
      </c>
      <c r="K262">
        <v>1.24</v>
      </c>
      <c r="L262">
        <v>1.19</v>
      </c>
      <c r="M262">
        <v>1.29</v>
      </c>
      <c r="N262">
        <v>1.37</v>
      </c>
      <c r="O262">
        <v>19.399999999999999</v>
      </c>
      <c r="P262">
        <v>18.3</v>
      </c>
      <c r="Q262">
        <v>20.6</v>
      </c>
      <c r="R262">
        <v>25.7</v>
      </c>
      <c r="S262">
        <v>24.8</v>
      </c>
      <c r="T262">
        <v>26.6</v>
      </c>
    </row>
    <row r="263" spans="1:20" x14ac:dyDescent="0.2">
      <c r="A263" t="s">
        <v>214</v>
      </c>
      <c r="B263">
        <v>0.23599999999999999</v>
      </c>
      <c r="C263" s="1">
        <v>224.8706</v>
      </c>
      <c r="D263" s="1">
        <v>-18.179300000000001</v>
      </c>
      <c r="E263">
        <v>16</v>
      </c>
      <c r="F263">
        <v>13.9</v>
      </c>
      <c r="G263">
        <v>18.100000000000001</v>
      </c>
      <c r="H263">
        <v>112.3</v>
      </c>
      <c r="I263">
        <v>107.3</v>
      </c>
      <c r="J263">
        <v>114.9</v>
      </c>
      <c r="K263">
        <v>1.26</v>
      </c>
      <c r="L263">
        <v>1.2</v>
      </c>
      <c r="M263">
        <v>1.31</v>
      </c>
      <c r="N263">
        <v>1.5</v>
      </c>
      <c r="O263">
        <v>21.4</v>
      </c>
      <c r="P263">
        <v>19.899999999999999</v>
      </c>
      <c r="Q263">
        <v>22.9</v>
      </c>
      <c r="R263">
        <v>28.8</v>
      </c>
      <c r="S263">
        <v>27.7</v>
      </c>
      <c r="T263">
        <v>29.9</v>
      </c>
    </row>
    <row r="264" spans="1:20" x14ac:dyDescent="0.2">
      <c r="A264" t="s">
        <v>613</v>
      </c>
      <c r="B264">
        <v>0.153</v>
      </c>
      <c r="C264" s="1">
        <v>225.08160000000001</v>
      </c>
      <c r="D264" s="1">
        <v>21.369900000000001</v>
      </c>
      <c r="E264">
        <v>16</v>
      </c>
      <c r="F264">
        <v>12.4</v>
      </c>
      <c r="G264">
        <v>18.899999999999999</v>
      </c>
      <c r="H264">
        <v>169.8</v>
      </c>
      <c r="I264">
        <v>164.8</v>
      </c>
      <c r="J264">
        <v>174.9</v>
      </c>
      <c r="K264">
        <v>1.06</v>
      </c>
      <c r="L264">
        <v>1.02</v>
      </c>
      <c r="M264">
        <v>1.1000000000000001</v>
      </c>
      <c r="N264">
        <v>0.95</v>
      </c>
      <c r="O264">
        <v>29.2</v>
      </c>
      <c r="P264">
        <v>27.3</v>
      </c>
      <c r="Q264">
        <v>31.3</v>
      </c>
      <c r="R264">
        <v>43.8</v>
      </c>
      <c r="S264">
        <v>42</v>
      </c>
      <c r="T264">
        <v>45.5</v>
      </c>
    </row>
    <row r="265" spans="1:20" x14ac:dyDescent="0.2">
      <c r="A265" t="s">
        <v>216</v>
      </c>
      <c r="B265">
        <v>0.215</v>
      </c>
      <c r="C265" s="1">
        <v>226.03110000000001</v>
      </c>
      <c r="D265" s="1">
        <v>-2.8045</v>
      </c>
      <c r="E265">
        <v>8.9</v>
      </c>
      <c r="F265">
        <v>8.3000000000000007</v>
      </c>
      <c r="G265">
        <v>9.6</v>
      </c>
      <c r="H265">
        <v>90.4</v>
      </c>
      <c r="I265">
        <v>88.7</v>
      </c>
      <c r="J265">
        <v>93.1</v>
      </c>
      <c r="K265">
        <v>1.31</v>
      </c>
      <c r="L265">
        <v>1.28</v>
      </c>
      <c r="M265">
        <v>1.32</v>
      </c>
      <c r="N265">
        <v>4.0999999999999996</v>
      </c>
      <c r="O265">
        <v>13</v>
      </c>
      <c r="P265">
        <v>12.5</v>
      </c>
      <c r="Q265">
        <v>13.5</v>
      </c>
      <c r="R265">
        <v>19</v>
      </c>
      <c r="S265">
        <v>18.5</v>
      </c>
      <c r="T265">
        <v>19.5</v>
      </c>
    </row>
    <row r="266" spans="1:20" x14ac:dyDescent="0.2">
      <c r="A266" t="s">
        <v>615</v>
      </c>
      <c r="B266">
        <v>5.7000000000000002E-3</v>
      </c>
      <c r="C266" s="1">
        <v>226.6217</v>
      </c>
      <c r="D266" s="1">
        <v>1.6060000000000001</v>
      </c>
      <c r="E266">
        <v>1.6</v>
      </c>
      <c r="F266">
        <v>1.7</v>
      </c>
      <c r="G266">
        <v>2.2999999999999998</v>
      </c>
      <c r="H266">
        <v>217.4</v>
      </c>
      <c r="I266">
        <v>227.6</v>
      </c>
      <c r="J266">
        <v>402.9</v>
      </c>
      <c r="K266">
        <v>1.1100000000000001</v>
      </c>
      <c r="L266">
        <v>1.1299999999999999</v>
      </c>
      <c r="M266">
        <v>1.36</v>
      </c>
      <c r="N266">
        <v>2.2200000000000002</v>
      </c>
      <c r="O266">
        <v>19.100000000000001</v>
      </c>
      <c r="P266">
        <v>18.2</v>
      </c>
      <c r="Q266">
        <v>20</v>
      </c>
      <c r="R266">
        <v>42.6</v>
      </c>
      <c r="S266">
        <v>38.1</v>
      </c>
      <c r="T266">
        <v>47.4</v>
      </c>
    </row>
    <row r="267" spans="1:20" x14ac:dyDescent="0.2">
      <c r="A267" t="s">
        <v>617</v>
      </c>
      <c r="B267">
        <v>7.22E-2</v>
      </c>
      <c r="C267" s="1">
        <v>227.7337</v>
      </c>
      <c r="D267" s="1">
        <v>5.7447999999999997</v>
      </c>
      <c r="E267">
        <v>7.2</v>
      </c>
      <c r="F267">
        <v>6.2</v>
      </c>
      <c r="G267">
        <v>7.9</v>
      </c>
      <c r="H267">
        <v>181.1</v>
      </c>
      <c r="I267">
        <v>179.9</v>
      </c>
      <c r="J267">
        <v>183.3</v>
      </c>
      <c r="K267">
        <v>0.88</v>
      </c>
      <c r="L267">
        <v>0.87</v>
      </c>
      <c r="M267">
        <v>0.9</v>
      </c>
      <c r="N267">
        <v>6.76</v>
      </c>
      <c r="O267">
        <v>30.1</v>
      </c>
      <c r="P267">
        <v>29.5</v>
      </c>
      <c r="Q267">
        <v>30.5</v>
      </c>
      <c r="R267">
        <v>49.4</v>
      </c>
      <c r="S267">
        <v>48.6</v>
      </c>
      <c r="T267">
        <v>50.1</v>
      </c>
    </row>
    <row r="268" spans="1:20" x14ac:dyDescent="0.2">
      <c r="A268" t="s">
        <v>218</v>
      </c>
      <c r="B268">
        <v>0.223</v>
      </c>
      <c r="C268" s="1">
        <v>228.7621</v>
      </c>
      <c r="D268" s="1">
        <v>-15.3895</v>
      </c>
      <c r="E268">
        <v>996.8</v>
      </c>
      <c r="F268">
        <v>995.6</v>
      </c>
      <c r="G268">
        <v>996.6</v>
      </c>
      <c r="H268">
        <v>423.3</v>
      </c>
      <c r="I268">
        <v>406.9</v>
      </c>
      <c r="J268">
        <v>442.7</v>
      </c>
      <c r="K268">
        <v>-0.42</v>
      </c>
      <c r="L268">
        <v>-0.45</v>
      </c>
      <c r="M268">
        <v>-0.4</v>
      </c>
      <c r="N268">
        <v>6.01</v>
      </c>
      <c r="O268">
        <v>-509.5</v>
      </c>
      <c r="P268">
        <v>-546.70000000000005</v>
      </c>
      <c r="Q268">
        <v>-475.8</v>
      </c>
      <c r="R268">
        <v>-127.9</v>
      </c>
      <c r="S268">
        <v>-137</v>
      </c>
      <c r="T268">
        <v>-119.1</v>
      </c>
    </row>
    <row r="269" spans="1:20" x14ac:dyDescent="0.2">
      <c r="A269" t="s">
        <v>619</v>
      </c>
      <c r="B269">
        <v>3.5499999999999997E-2</v>
      </c>
      <c r="C269" s="1">
        <v>229.18129999999999</v>
      </c>
      <c r="D269" s="1">
        <v>7.0221999999999998</v>
      </c>
      <c r="E269">
        <v>-4</v>
      </c>
      <c r="F269">
        <v>-4.5</v>
      </c>
      <c r="G269">
        <v>-2.1</v>
      </c>
      <c r="H269">
        <v>160.6</v>
      </c>
      <c r="I269">
        <v>159.9</v>
      </c>
      <c r="J269">
        <v>164.2</v>
      </c>
      <c r="K269">
        <v>0.99</v>
      </c>
      <c r="L269">
        <v>0.98</v>
      </c>
      <c r="M269">
        <v>1.02</v>
      </c>
      <c r="N269">
        <v>5.0999999999999996</v>
      </c>
      <c r="O269">
        <v>13.2</v>
      </c>
      <c r="P269">
        <v>12.8</v>
      </c>
      <c r="Q269">
        <v>13.6</v>
      </c>
      <c r="R269">
        <v>29.7</v>
      </c>
      <c r="S269">
        <v>29.6</v>
      </c>
      <c r="T269">
        <v>29.9</v>
      </c>
    </row>
    <row r="270" spans="1:20" x14ac:dyDescent="0.2">
      <c r="A270" t="s">
        <v>621</v>
      </c>
      <c r="B270">
        <v>7.8E-2</v>
      </c>
      <c r="C270" s="1">
        <v>230.2929</v>
      </c>
      <c r="D270" s="1">
        <v>30.611499999999999</v>
      </c>
      <c r="E270">
        <v>187.4</v>
      </c>
      <c r="F270">
        <v>136</v>
      </c>
      <c r="G270">
        <v>219.2</v>
      </c>
      <c r="H270">
        <v>259.3</v>
      </c>
      <c r="I270">
        <v>240.6</v>
      </c>
      <c r="J270">
        <v>270.2</v>
      </c>
      <c r="K270">
        <v>1.1100000000000001</v>
      </c>
      <c r="L270">
        <v>0.87</v>
      </c>
      <c r="M270">
        <v>1.35</v>
      </c>
      <c r="N270">
        <v>1.81</v>
      </c>
      <c r="O270">
        <v>180.4</v>
      </c>
      <c r="P270">
        <v>149.1</v>
      </c>
      <c r="Q270">
        <v>220.5</v>
      </c>
      <c r="R270">
        <v>188.7</v>
      </c>
      <c r="S270">
        <v>161.19999999999999</v>
      </c>
      <c r="T270">
        <v>224.5</v>
      </c>
    </row>
    <row r="271" spans="1:20" x14ac:dyDescent="0.2">
      <c r="A271" t="s">
        <v>219</v>
      </c>
      <c r="B271">
        <v>4.4999999999999998E-2</v>
      </c>
      <c r="C271" s="1">
        <v>230.46600000000001</v>
      </c>
      <c r="D271" s="1">
        <v>7.7081</v>
      </c>
      <c r="E271">
        <v>21.6</v>
      </c>
      <c r="F271">
        <v>18.3</v>
      </c>
      <c r="G271">
        <v>24.1</v>
      </c>
      <c r="H271">
        <v>136.30000000000001</v>
      </c>
      <c r="I271">
        <v>133.69999999999999</v>
      </c>
      <c r="J271">
        <v>138.5</v>
      </c>
      <c r="K271">
        <v>0.97</v>
      </c>
      <c r="L271">
        <v>0.9</v>
      </c>
      <c r="M271">
        <v>1.01</v>
      </c>
      <c r="N271">
        <v>2.57</v>
      </c>
      <c r="O271">
        <v>34</v>
      </c>
      <c r="P271">
        <v>32.700000000000003</v>
      </c>
      <c r="Q271">
        <v>35.4</v>
      </c>
      <c r="R271">
        <v>45.9</v>
      </c>
      <c r="S271">
        <v>44.8</v>
      </c>
      <c r="T271">
        <v>47</v>
      </c>
    </row>
    <row r="272" spans="1:20" x14ac:dyDescent="0.2">
      <c r="A272" t="s">
        <v>622</v>
      </c>
      <c r="B272">
        <v>3.49E-2</v>
      </c>
      <c r="C272" s="1">
        <v>230.77170000000001</v>
      </c>
      <c r="D272" s="1">
        <v>8.6095000000000006</v>
      </c>
      <c r="E272">
        <v>44.4</v>
      </c>
      <c r="F272">
        <v>38</v>
      </c>
      <c r="G272">
        <v>54.8</v>
      </c>
      <c r="H272">
        <v>223.8</v>
      </c>
      <c r="I272">
        <v>217.6</v>
      </c>
      <c r="J272">
        <v>229.5</v>
      </c>
      <c r="K272">
        <v>1.02</v>
      </c>
      <c r="L272">
        <v>0.94</v>
      </c>
      <c r="M272">
        <v>1.18</v>
      </c>
      <c r="N272">
        <v>2.83</v>
      </c>
      <c r="O272">
        <v>62.6</v>
      </c>
      <c r="P272">
        <v>58.3</v>
      </c>
      <c r="Q272">
        <v>66.900000000000006</v>
      </c>
      <c r="R272">
        <v>79.5</v>
      </c>
      <c r="S272">
        <v>76.599999999999994</v>
      </c>
      <c r="T272">
        <v>82.4</v>
      </c>
    </row>
    <row r="273" spans="1:20" x14ac:dyDescent="0.2">
      <c r="A273" t="s">
        <v>220</v>
      </c>
      <c r="B273">
        <v>0.11600000000000001</v>
      </c>
      <c r="C273" s="1">
        <v>231.03559999999999</v>
      </c>
      <c r="D273" s="1">
        <v>29.881799999999998</v>
      </c>
      <c r="E273">
        <v>289.8</v>
      </c>
      <c r="F273">
        <v>185</v>
      </c>
      <c r="G273">
        <v>306.3</v>
      </c>
      <c r="H273">
        <v>358.1</v>
      </c>
      <c r="I273">
        <v>328.1</v>
      </c>
      <c r="J273">
        <v>371.8</v>
      </c>
      <c r="K273">
        <v>1.1499999999999999</v>
      </c>
      <c r="L273">
        <v>0.76</v>
      </c>
      <c r="M273">
        <v>1.21</v>
      </c>
      <c r="N273">
        <v>2.33</v>
      </c>
      <c r="O273">
        <v>258.10000000000002</v>
      </c>
      <c r="P273">
        <v>213.6</v>
      </c>
      <c r="Q273">
        <v>309.39999999999998</v>
      </c>
      <c r="R273">
        <v>269.89999999999998</v>
      </c>
      <c r="S273">
        <v>232.7</v>
      </c>
      <c r="T273">
        <v>314.89999999999998</v>
      </c>
    </row>
    <row r="274" spans="1:20" x14ac:dyDescent="0.2">
      <c r="A274" t="s">
        <v>221</v>
      </c>
      <c r="B274">
        <v>0.10299999999999999</v>
      </c>
      <c r="C274" s="1">
        <v>231.05350000000001</v>
      </c>
      <c r="D274" s="1">
        <v>-31.906400000000001</v>
      </c>
      <c r="E274">
        <v>8.1</v>
      </c>
      <c r="F274">
        <v>7.4</v>
      </c>
      <c r="G274">
        <v>8.9</v>
      </c>
      <c r="H274">
        <v>141.69999999999999</v>
      </c>
      <c r="I274">
        <v>134.69999999999999</v>
      </c>
      <c r="J274">
        <v>145.80000000000001</v>
      </c>
      <c r="K274">
        <v>1.56</v>
      </c>
      <c r="L274">
        <v>1.49</v>
      </c>
      <c r="M274">
        <v>1.61</v>
      </c>
      <c r="N274">
        <v>0.82</v>
      </c>
      <c r="O274">
        <v>11.9</v>
      </c>
      <c r="P274">
        <v>11.4</v>
      </c>
      <c r="Q274">
        <v>12.3</v>
      </c>
      <c r="R274">
        <v>19.100000000000001</v>
      </c>
      <c r="S274">
        <v>18.399999999999999</v>
      </c>
      <c r="T274">
        <v>19.7</v>
      </c>
    </row>
    <row r="275" spans="1:20" x14ac:dyDescent="0.2">
      <c r="A275" t="s">
        <v>222</v>
      </c>
      <c r="B275">
        <v>0.34499999999999997</v>
      </c>
      <c r="C275" s="1">
        <v>233.2242</v>
      </c>
      <c r="D275" s="1">
        <v>30.349699999999999</v>
      </c>
      <c r="E275">
        <v>15.5</v>
      </c>
      <c r="F275">
        <v>14.5</v>
      </c>
      <c r="G275">
        <v>16.8</v>
      </c>
      <c r="H275">
        <v>101.5</v>
      </c>
      <c r="I275">
        <v>97.9</v>
      </c>
      <c r="J275">
        <v>104.2</v>
      </c>
      <c r="K275">
        <v>1.54</v>
      </c>
      <c r="L275">
        <v>1.47</v>
      </c>
      <c r="M275">
        <v>1.61</v>
      </c>
      <c r="N275">
        <v>0.25</v>
      </c>
      <c r="O275">
        <v>18.100000000000001</v>
      </c>
      <c r="P275">
        <v>17.2</v>
      </c>
      <c r="Q275">
        <v>19</v>
      </c>
      <c r="R275">
        <v>22.8</v>
      </c>
      <c r="S275">
        <v>22.2</v>
      </c>
      <c r="T275">
        <v>23.5</v>
      </c>
    </row>
    <row r="276" spans="1:20" x14ac:dyDescent="0.2">
      <c r="A276" t="s">
        <v>223</v>
      </c>
      <c r="B276">
        <v>6.7000000000000004E-2</v>
      </c>
      <c r="C276" s="1">
        <v>233.30680000000001</v>
      </c>
      <c r="D276" s="1">
        <v>31.150200000000002</v>
      </c>
      <c r="E276">
        <v>-6.8</v>
      </c>
      <c r="F276">
        <v>117.4</v>
      </c>
      <c r="G276">
        <v>723.4</v>
      </c>
      <c r="H276">
        <v>209</v>
      </c>
      <c r="I276">
        <v>180.9</v>
      </c>
      <c r="J276">
        <v>239.5</v>
      </c>
      <c r="K276">
        <v>0.44</v>
      </c>
      <c r="L276">
        <v>-0.38</v>
      </c>
      <c r="M276">
        <v>3.99</v>
      </c>
      <c r="N276">
        <v>0.08</v>
      </c>
      <c r="O276">
        <v>50</v>
      </c>
      <c r="P276">
        <v>-85.8</v>
      </c>
      <c r="Q276">
        <v>199.8</v>
      </c>
      <c r="R276">
        <v>115.7</v>
      </c>
      <c r="S276">
        <v>23.3</v>
      </c>
      <c r="T276">
        <v>200.1</v>
      </c>
    </row>
    <row r="277" spans="1:20" x14ac:dyDescent="0.2">
      <c r="A277" t="s">
        <v>224</v>
      </c>
      <c r="B277">
        <v>4.1000000000000002E-2</v>
      </c>
      <c r="C277" s="1">
        <v>234.9126</v>
      </c>
      <c r="D277" s="1">
        <v>21.782699999999998</v>
      </c>
      <c r="E277">
        <v>-7.6</v>
      </c>
      <c r="F277">
        <v>-14.2</v>
      </c>
      <c r="G277">
        <v>-1.9</v>
      </c>
      <c r="H277">
        <v>215.9</v>
      </c>
      <c r="I277">
        <v>209.9</v>
      </c>
      <c r="J277">
        <v>221.2</v>
      </c>
      <c r="K277">
        <v>0.55000000000000004</v>
      </c>
      <c r="L277">
        <v>0.51</v>
      </c>
      <c r="M277">
        <v>0.59</v>
      </c>
      <c r="N277">
        <v>5.08</v>
      </c>
      <c r="O277">
        <v>55.1</v>
      </c>
      <c r="P277">
        <v>52.7</v>
      </c>
      <c r="Q277">
        <v>57.4</v>
      </c>
      <c r="R277">
        <v>84.3</v>
      </c>
      <c r="S277">
        <v>80.599999999999994</v>
      </c>
      <c r="T277">
        <v>87.7</v>
      </c>
    </row>
    <row r="278" spans="1:20" x14ac:dyDescent="0.2">
      <c r="A278" t="s">
        <v>225</v>
      </c>
      <c r="B278">
        <v>0.22900000000000001</v>
      </c>
      <c r="C278" s="1">
        <v>234.92439999999999</v>
      </c>
      <c r="D278" s="1">
        <v>34.416200000000003</v>
      </c>
      <c r="E278">
        <v>203</v>
      </c>
      <c r="F278">
        <v>162.9</v>
      </c>
      <c r="G278">
        <v>235.9</v>
      </c>
      <c r="H278">
        <v>294.8</v>
      </c>
      <c r="I278">
        <v>279.7</v>
      </c>
      <c r="J278">
        <v>323.3</v>
      </c>
      <c r="K278">
        <v>1.21</v>
      </c>
      <c r="L278">
        <v>1.01</v>
      </c>
      <c r="M278">
        <v>1.36</v>
      </c>
      <c r="N278">
        <v>0.84</v>
      </c>
      <c r="O278">
        <v>208.3</v>
      </c>
      <c r="P278">
        <v>174</v>
      </c>
      <c r="Q278">
        <v>240</v>
      </c>
      <c r="R278">
        <v>217.1</v>
      </c>
      <c r="S278">
        <v>186.9</v>
      </c>
      <c r="T278">
        <v>245.1</v>
      </c>
    </row>
    <row r="279" spans="1:20" x14ac:dyDescent="0.2">
      <c r="A279" t="s">
        <v>226</v>
      </c>
      <c r="B279">
        <v>0.153</v>
      </c>
      <c r="C279" s="1">
        <v>235.03399999999999</v>
      </c>
      <c r="D279" s="1">
        <v>-3.3037999999999998</v>
      </c>
      <c r="E279">
        <v>200</v>
      </c>
      <c r="F279">
        <v>149.4</v>
      </c>
      <c r="G279">
        <v>227.9</v>
      </c>
      <c r="H279">
        <v>280.2</v>
      </c>
      <c r="I279">
        <v>263.10000000000002</v>
      </c>
      <c r="J279">
        <v>296.8</v>
      </c>
      <c r="K279">
        <v>1.1599999999999999</v>
      </c>
      <c r="L279">
        <v>0.87</v>
      </c>
      <c r="M279">
        <v>1.53</v>
      </c>
      <c r="N279">
        <v>1.99</v>
      </c>
      <c r="O279">
        <v>199.6</v>
      </c>
      <c r="P279">
        <v>166.1</v>
      </c>
      <c r="Q279">
        <v>230.2</v>
      </c>
      <c r="R279">
        <v>208.4</v>
      </c>
      <c r="S279">
        <v>181.5</v>
      </c>
      <c r="T279">
        <v>235.2</v>
      </c>
    </row>
    <row r="280" spans="1:20" x14ac:dyDescent="0.2">
      <c r="A280" t="s">
        <v>227</v>
      </c>
      <c r="B280">
        <v>0.246</v>
      </c>
      <c r="C280" s="1">
        <v>235.31059999999999</v>
      </c>
      <c r="D280" s="1">
        <v>66.265900000000002</v>
      </c>
      <c r="E280">
        <v>179.8</v>
      </c>
      <c r="F280">
        <v>149.9</v>
      </c>
      <c r="G280">
        <v>199.5</v>
      </c>
      <c r="H280">
        <v>198.7</v>
      </c>
      <c r="I280">
        <v>183.1</v>
      </c>
      <c r="J280">
        <v>216.8</v>
      </c>
      <c r="K280">
        <v>1.79</v>
      </c>
      <c r="L280">
        <v>1.18</v>
      </c>
      <c r="M280">
        <v>2.0299999999999998</v>
      </c>
      <c r="N280">
        <v>0.24</v>
      </c>
      <c r="O280">
        <v>170.9</v>
      </c>
      <c r="P280">
        <v>152</v>
      </c>
      <c r="Q280">
        <v>200.1</v>
      </c>
      <c r="R280">
        <v>172.9</v>
      </c>
      <c r="S280">
        <v>155.5</v>
      </c>
      <c r="T280">
        <v>201.1</v>
      </c>
    </row>
    <row r="281" spans="1:20" x14ac:dyDescent="0.2">
      <c r="A281" t="s">
        <v>626</v>
      </c>
      <c r="B281">
        <v>6.6000000000000003E-2</v>
      </c>
      <c r="C281" s="1">
        <v>236.2458</v>
      </c>
      <c r="D281" s="1">
        <v>36.109099999999998</v>
      </c>
      <c r="E281">
        <v>93.7</v>
      </c>
      <c r="F281">
        <v>20.3</v>
      </c>
      <c r="G281">
        <v>118.2</v>
      </c>
      <c r="H281">
        <v>285.60000000000002</v>
      </c>
      <c r="I281">
        <v>272.8</v>
      </c>
      <c r="J281">
        <v>305.5</v>
      </c>
      <c r="K281">
        <v>0.85</v>
      </c>
      <c r="L281">
        <v>0.53</v>
      </c>
      <c r="M281">
        <v>0.99</v>
      </c>
      <c r="N281">
        <v>0.79</v>
      </c>
      <c r="O281">
        <v>117.9</v>
      </c>
      <c r="P281">
        <v>99.2</v>
      </c>
      <c r="Q281">
        <v>136.69999999999999</v>
      </c>
      <c r="R281">
        <v>143.4</v>
      </c>
      <c r="S281">
        <v>131</v>
      </c>
      <c r="T281">
        <v>155.9</v>
      </c>
    </row>
    <row r="282" spans="1:20" x14ac:dyDescent="0.2">
      <c r="A282" t="s">
        <v>228</v>
      </c>
      <c r="B282">
        <v>0.23430000000000001</v>
      </c>
      <c r="C282" s="1">
        <v>239.05119999999999</v>
      </c>
      <c r="D282" s="1">
        <v>66.351600000000005</v>
      </c>
      <c r="E282">
        <v>72</v>
      </c>
      <c r="F282">
        <v>65.2</v>
      </c>
      <c r="G282">
        <v>81.099999999999994</v>
      </c>
      <c r="H282">
        <v>159.9</v>
      </c>
      <c r="I282">
        <v>155</v>
      </c>
      <c r="J282">
        <v>165.1</v>
      </c>
      <c r="K282">
        <v>1.35</v>
      </c>
      <c r="L282">
        <v>1.28</v>
      </c>
      <c r="M282">
        <v>1.45</v>
      </c>
      <c r="N282">
        <v>1.94</v>
      </c>
      <c r="O282">
        <v>76.900000000000006</v>
      </c>
      <c r="P282">
        <v>70.099999999999994</v>
      </c>
      <c r="Q282">
        <v>84</v>
      </c>
      <c r="R282">
        <v>82.9</v>
      </c>
      <c r="S282">
        <v>77</v>
      </c>
      <c r="T282">
        <v>88.9</v>
      </c>
    </row>
    <row r="283" spans="1:20" x14ac:dyDescent="0.2">
      <c r="A283" t="s">
        <v>229</v>
      </c>
      <c r="B283">
        <v>9.0999999999999998E-2</v>
      </c>
      <c r="C283" s="1">
        <v>239.5847</v>
      </c>
      <c r="D283" s="1">
        <v>27.231000000000002</v>
      </c>
      <c r="E283">
        <v>39.299999999999997</v>
      </c>
      <c r="F283">
        <v>28.3</v>
      </c>
      <c r="G283">
        <v>45.3</v>
      </c>
      <c r="H283">
        <v>169.9</v>
      </c>
      <c r="I283">
        <v>166.4</v>
      </c>
      <c r="J283">
        <v>175.1</v>
      </c>
      <c r="K283">
        <v>0.87</v>
      </c>
      <c r="L283">
        <v>0.79</v>
      </c>
      <c r="M283">
        <v>0.92</v>
      </c>
      <c r="N283">
        <v>2.5</v>
      </c>
      <c r="O283">
        <v>56</v>
      </c>
      <c r="P283">
        <v>51.2</v>
      </c>
      <c r="Q283">
        <v>60.7</v>
      </c>
      <c r="R283">
        <v>71.2</v>
      </c>
      <c r="S283">
        <v>67.8</v>
      </c>
      <c r="T283">
        <v>74.7</v>
      </c>
    </row>
    <row r="284" spans="1:20" x14ac:dyDescent="0.2">
      <c r="A284" t="s">
        <v>230</v>
      </c>
      <c r="B284">
        <v>9.7000000000000003E-2</v>
      </c>
      <c r="C284" s="1">
        <v>239.59129999999999</v>
      </c>
      <c r="D284" s="1">
        <v>-14.165800000000001</v>
      </c>
      <c r="E284">
        <v>19.7</v>
      </c>
      <c r="F284">
        <v>16.7</v>
      </c>
      <c r="G284">
        <v>21.8</v>
      </c>
      <c r="H284">
        <v>123.1</v>
      </c>
      <c r="I284">
        <v>120.3</v>
      </c>
      <c r="J284">
        <v>127</v>
      </c>
      <c r="K284">
        <v>1.1299999999999999</v>
      </c>
      <c r="L284">
        <v>1.08</v>
      </c>
      <c r="M284">
        <v>1.1599999999999999</v>
      </c>
      <c r="N284">
        <v>2.1800000000000002</v>
      </c>
      <c r="O284">
        <v>27.2</v>
      </c>
      <c r="P284">
        <v>25.5</v>
      </c>
      <c r="Q284">
        <v>29</v>
      </c>
      <c r="R284">
        <v>36.5</v>
      </c>
      <c r="S284">
        <v>34.9</v>
      </c>
      <c r="T284">
        <v>38.1</v>
      </c>
    </row>
    <row r="285" spans="1:20" x14ac:dyDescent="0.2">
      <c r="A285" t="s">
        <v>629</v>
      </c>
      <c r="B285">
        <v>3.5000000000000003E-2</v>
      </c>
      <c r="C285" s="1">
        <v>240.5694</v>
      </c>
      <c r="D285" s="1">
        <v>15.976800000000001</v>
      </c>
      <c r="E285">
        <v>167.3</v>
      </c>
      <c r="F285">
        <v>114.9</v>
      </c>
      <c r="G285">
        <v>190.6</v>
      </c>
      <c r="H285">
        <v>249.3</v>
      </c>
      <c r="I285">
        <v>242</v>
      </c>
      <c r="J285">
        <v>266.10000000000002</v>
      </c>
      <c r="K285">
        <v>1.25</v>
      </c>
      <c r="L285">
        <v>0.78</v>
      </c>
      <c r="M285">
        <v>1.5</v>
      </c>
      <c r="N285">
        <v>2.52</v>
      </c>
      <c r="O285">
        <v>165.1</v>
      </c>
      <c r="P285">
        <v>138.4</v>
      </c>
      <c r="Q285">
        <v>192</v>
      </c>
      <c r="R285">
        <v>175</v>
      </c>
      <c r="S285">
        <v>153.30000000000001</v>
      </c>
      <c r="T285">
        <v>195.8</v>
      </c>
    </row>
    <row r="286" spans="1:20" x14ac:dyDescent="0.2">
      <c r="A286" t="s">
        <v>231</v>
      </c>
      <c r="B286">
        <v>3.6999999999999998E-2</v>
      </c>
      <c r="C286" s="1">
        <v>241.14940000000001</v>
      </c>
      <c r="D286" s="1">
        <v>17.721499999999999</v>
      </c>
      <c r="E286">
        <v>9</v>
      </c>
      <c r="F286">
        <v>5.2</v>
      </c>
      <c r="G286">
        <v>13.2</v>
      </c>
      <c r="H286">
        <v>156.1</v>
      </c>
      <c r="I286">
        <v>149.5</v>
      </c>
      <c r="J286">
        <v>161</v>
      </c>
      <c r="K286">
        <v>0.84</v>
      </c>
      <c r="L286">
        <v>0.77</v>
      </c>
      <c r="M286">
        <v>0.92</v>
      </c>
      <c r="N286">
        <v>1.81</v>
      </c>
      <c r="O286">
        <v>30.4</v>
      </c>
      <c r="P286">
        <v>28.8</v>
      </c>
      <c r="Q286">
        <v>32.200000000000003</v>
      </c>
      <c r="R286">
        <v>47</v>
      </c>
      <c r="S286">
        <v>44.6</v>
      </c>
      <c r="T286">
        <v>49.3</v>
      </c>
    </row>
    <row r="287" spans="1:20" x14ac:dyDescent="0.2">
      <c r="A287" t="s">
        <v>630</v>
      </c>
      <c r="B287">
        <v>3.1800000000000002E-2</v>
      </c>
      <c r="C287" s="1">
        <v>241.2354</v>
      </c>
      <c r="D287" s="1">
        <v>23.934000000000001</v>
      </c>
      <c r="E287">
        <v>27.2</v>
      </c>
      <c r="F287">
        <v>20</v>
      </c>
      <c r="G287">
        <v>34.4</v>
      </c>
      <c r="H287">
        <v>138.69999999999999</v>
      </c>
      <c r="I287">
        <v>134.69999999999999</v>
      </c>
      <c r="J287">
        <v>144</v>
      </c>
      <c r="K287">
        <v>0.73</v>
      </c>
      <c r="L287">
        <v>0.63</v>
      </c>
      <c r="M287">
        <v>0.88</v>
      </c>
      <c r="N287">
        <v>0.56999999999999995</v>
      </c>
      <c r="O287">
        <v>48.1</v>
      </c>
      <c r="P287">
        <v>45.6</v>
      </c>
      <c r="Q287">
        <v>50.5</v>
      </c>
      <c r="R287">
        <v>61.5</v>
      </c>
      <c r="S287">
        <v>58.6</v>
      </c>
      <c r="T287">
        <v>64.400000000000006</v>
      </c>
    </row>
    <row r="288" spans="1:20" x14ac:dyDescent="0.2">
      <c r="A288" t="s">
        <v>233</v>
      </c>
      <c r="B288">
        <v>0.20300000000000001</v>
      </c>
      <c r="C288" s="1">
        <v>243.94120000000001</v>
      </c>
      <c r="D288" s="1">
        <v>-6.1490999999999998</v>
      </c>
      <c r="E288">
        <v>239.1</v>
      </c>
      <c r="F288">
        <v>217.1</v>
      </c>
      <c r="G288">
        <v>264.3</v>
      </c>
      <c r="H288">
        <v>279.3</v>
      </c>
      <c r="I288">
        <v>269.5</v>
      </c>
      <c r="J288">
        <v>293.89999999999998</v>
      </c>
      <c r="K288">
        <v>1.73</v>
      </c>
      <c r="L288">
        <v>1.53</v>
      </c>
      <c r="M288">
        <v>2.09</v>
      </c>
      <c r="N288">
        <v>1.25</v>
      </c>
      <c r="O288">
        <v>241.2</v>
      </c>
      <c r="P288">
        <v>219.2</v>
      </c>
      <c r="Q288">
        <v>264.39999999999998</v>
      </c>
      <c r="R288">
        <v>243.3</v>
      </c>
      <c r="S288">
        <v>221.8</v>
      </c>
      <c r="T288">
        <v>265.5</v>
      </c>
    </row>
    <row r="289" spans="1:20" x14ac:dyDescent="0.2">
      <c r="A289" t="s">
        <v>234</v>
      </c>
      <c r="B289">
        <v>0.46500000000000002</v>
      </c>
      <c r="C289" s="1">
        <v>245.3537</v>
      </c>
      <c r="D289" s="1">
        <v>38.168900000000001</v>
      </c>
      <c r="E289">
        <v>5.6</v>
      </c>
      <c r="F289">
        <v>-0.4</v>
      </c>
      <c r="G289">
        <v>11.7</v>
      </c>
      <c r="H289">
        <v>161.19999999999999</v>
      </c>
      <c r="I289">
        <v>153.30000000000001</v>
      </c>
      <c r="J289">
        <v>170.4</v>
      </c>
      <c r="K289">
        <v>1.03</v>
      </c>
      <c r="L289">
        <v>0.97</v>
      </c>
      <c r="M289">
        <v>1.1200000000000001</v>
      </c>
      <c r="N289">
        <v>0.32</v>
      </c>
      <c r="O289">
        <v>20.2</v>
      </c>
      <c r="P289">
        <v>17</v>
      </c>
      <c r="Q289">
        <v>23.1</v>
      </c>
      <c r="R289">
        <v>35.4</v>
      </c>
      <c r="S289">
        <v>32.9</v>
      </c>
      <c r="T289">
        <v>37.6</v>
      </c>
    </row>
    <row r="290" spans="1:20" x14ac:dyDescent="0.2">
      <c r="A290" t="s">
        <v>235</v>
      </c>
      <c r="B290">
        <v>0.184</v>
      </c>
      <c r="C290" s="1">
        <v>246.05850000000001</v>
      </c>
      <c r="D290" s="1">
        <v>41.24</v>
      </c>
      <c r="E290">
        <v>107.3</v>
      </c>
      <c r="F290">
        <v>49.6</v>
      </c>
      <c r="G290">
        <v>129.6</v>
      </c>
      <c r="H290">
        <v>211</v>
      </c>
      <c r="I290">
        <v>197.7</v>
      </c>
      <c r="J290">
        <v>233.3</v>
      </c>
      <c r="K290">
        <v>1.25</v>
      </c>
      <c r="L290">
        <v>0.91</v>
      </c>
      <c r="M290">
        <v>1.39</v>
      </c>
      <c r="N290">
        <v>7.0000000000000007E-2</v>
      </c>
      <c r="O290">
        <v>104.9</v>
      </c>
      <c r="P290">
        <v>70.8</v>
      </c>
      <c r="Q290">
        <v>134.9</v>
      </c>
      <c r="R290">
        <v>116.5</v>
      </c>
      <c r="S290">
        <v>88.9</v>
      </c>
      <c r="T290">
        <v>142.19999999999999</v>
      </c>
    </row>
    <row r="291" spans="1:20" x14ac:dyDescent="0.2">
      <c r="A291" t="s">
        <v>236</v>
      </c>
      <c r="B291">
        <v>0.152</v>
      </c>
      <c r="C291" s="1">
        <v>248.19560000000001</v>
      </c>
      <c r="D291" s="1">
        <v>5.5754999999999999</v>
      </c>
      <c r="E291">
        <v>6.6</v>
      </c>
      <c r="F291">
        <v>6.2</v>
      </c>
      <c r="G291">
        <v>7.1</v>
      </c>
      <c r="H291">
        <v>129.1</v>
      </c>
      <c r="I291">
        <v>126.2</v>
      </c>
      <c r="J291">
        <v>131.5</v>
      </c>
      <c r="K291">
        <v>1.31</v>
      </c>
      <c r="L291">
        <v>1.29</v>
      </c>
      <c r="M291">
        <v>1.33</v>
      </c>
      <c r="N291">
        <v>11.69</v>
      </c>
      <c r="O291">
        <v>12.6</v>
      </c>
      <c r="P291">
        <v>12.3</v>
      </c>
      <c r="Q291">
        <v>12.9</v>
      </c>
      <c r="R291">
        <v>21.4</v>
      </c>
      <c r="S291">
        <v>21</v>
      </c>
      <c r="T291">
        <v>21.8</v>
      </c>
    </row>
    <row r="292" spans="1:20" x14ac:dyDescent="0.2">
      <c r="A292" t="s">
        <v>633</v>
      </c>
      <c r="B292">
        <v>0.17599999999999999</v>
      </c>
      <c r="C292" s="1">
        <v>248.9614</v>
      </c>
      <c r="D292" s="1">
        <v>66.210099999999997</v>
      </c>
      <c r="E292">
        <v>201.8</v>
      </c>
      <c r="F292">
        <v>194.5</v>
      </c>
      <c r="G292">
        <v>226.6</v>
      </c>
      <c r="H292">
        <v>241.5</v>
      </c>
      <c r="I292">
        <v>238</v>
      </c>
      <c r="J292">
        <v>259.5</v>
      </c>
      <c r="K292">
        <v>1.52</v>
      </c>
      <c r="L292">
        <v>1.41</v>
      </c>
      <c r="M292">
        <v>1.69</v>
      </c>
      <c r="N292">
        <v>1.85</v>
      </c>
      <c r="O292">
        <v>212.5</v>
      </c>
      <c r="P292">
        <v>195.8</v>
      </c>
      <c r="Q292">
        <v>227.4</v>
      </c>
      <c r="R292">
        <v>214.6</v>
      </c>
      <c r="S292">
        <v>198.5</v>
      </c>
      <c r="T292">
        <v>228.8</v>
      </c>
    </row>
    <row r="293" spans="1:20" x14ac:dyDescent="0.2">
      <c r="A293" t="s">
        <v>237</v>
      </c>
      <c r="B293">
        <v>0.22600000000000001</v>
      </c>
      <c r="C293" s="1">
        <v>250.0829</v>
      </c>
      <c r="D293" s="1">
        <v>46.7119</v>
      </c>
      <c r="E293">
        <v>267.8</v>
      </c>
      <c r="F293">
        <v>226.4</v>
      </c>
      <c r="G293">
        <v>295</v>
      </c>
      <c r="H293">
        <v>308.7</v>
      </c>
      <c r="I293">
        <v>299.60000000000002</v>
      </c>
      <c r="J293">
        <v>325</v>
      </c>
      <c r="K293">
        <v>1.58</v>
      </c>
      <c r="L293">
        <v>1.25</v>
      </c>
      <c r="M293">
        <v>1.74</v>
      </c>
      <c r="N293">
        <v>0.66</v>
      </c>
      <c r="O293">
        <v>263.7</v>
      </c>
      <c r="P293">
        <v>231.8</v>
      </c>
      <c r="Q293">
        <v>295.39999999999998</v>
      </c>
      <c r="R293">
        <v>267.2</v>
      </c>
      <c r="S293">
        <v>239.3</v>
      </c>
      <c r="T293">
        <v>296.2</v>
      </c>
    </row>
    <row r="294" spans="1:20" x14ac:dyDescent="0.2">
      <c r="A294" t="s">
        <v>239</v>
      </c>
      <c r="B294">
        <v>0.155</v>
      </c>
      <c r="C294" s="1">
        <v>252.7842</v>
      </c>
      <c r="D294" s="1">
        <v>4.9924999999999997</v>
      </c>
      <c r="E294">
        <v>-16.7</v>
      </c>
      <c r="F294">
        <v>-23.4</v>
      </c>
      <c r="G294">
        <v>-11.8</v>
      </c>
      <c r="H294">
        <v>147.30000000000001</v>
      </c>
      <c r="I294">
        <v>142.5</v>
      </c>
      <c r="J294">
        <v>148.9</v>
      </c>
      <c r="K294">
        <v>0.64</v>
      </c>
      <c r="L294">
        <v>0.57999999999999996</v>
      </c>
      <c r="M294">
        <v>0.69</v>
      </c>
      <c r="N294">
        <v>1.37</v>
      </c>
      <c r="O294">
        <v>20.9</v>
      </c>
      <c r="P294">
        <v>20.100000000000001</v>
      </c>
      <c r="Q294">
        <v>21.8</v>
      </c>
      <c r="R294">
        <v>41.8</v>
      </c>
      <c r="S294">
        <v>40</v>
      </c>
      <c r="T294">
        <v>43.6</v>
      </c>
    </row>
    <row r="295" spans="1:20" x14ac:dyDescent="0.2">
      <c r="A295" t="s">
        <v>240</v>
      </c>
      <c r="B295">
        <v>3.5000000000000003E-2</v>
      </c>
      <c r="C295" s="1">
        <v>254.49209999999999</v>
      </c>
      <c r="D295" s="1">
        <v>27.854299999999999</v>
      </c>
      <c r="E295">
        <v>-2.2999999999999998</v>
      </c>
      <c r="F295">
        <v>-5.2</v>
      </c>
      <c r="G295">
        <v>1.6</v>
      </c>
      <c r="H295">
        <v>209.3</v>
      </c>
      <c r="I295">
        <v>195.5</v>
      </c>
      <c r="J295">
        <v>242.6</v>
      </c>
      <c r="K295">
        <v>0.73</v>
      </c>
      <c r="L295">
        <v>0.67</v>
      </c>
      <c r="M295">
        <v>0.84</v>
      </c>
      <c r="N295">
        <v>0.52</v>
      </c>
      <c r="O295">
        <v>37.1</v>
      </c>
      <c r="P295">
        <v>34.700000000000003</v>
      </c>
      <c r="Q295">
        <v>39.5</v>
      </c>
      <c r="R295">
        <v>63.6</v>
      </c>
      <c r="S295">
        <v>60.3</v>
      </c>
      <c r="T295">
        <v>67</v>
      </c>
    </row>
    <row r="296" spans="1:20" x14ac:dyDescent="0.2">
      <c r="A296" t="s">
        <v>638</v>
      </c>
      <c r="B296">
        <v>9.7000000000000003E-2</v>
      </c>
      <c r="C296" s="1">
        <v>255.67779999999999</v>
      </c>
      <c r="D296" s="1">
        <v>34.0608</v>
      </c>
      <c r="E296">
        <v>53</v>
      </c>
      <c r="F296">
        <v>48.5</v>
      </c>
      <c r="G296">
        <v>58.6</v>
      </c>
      <c r="H296">
        <v>154.19999999999999</v>
      </c>
      <c r="I296">
        <v>150.4</v>
      </c>
      <c r="J296">
        <v>158.4</v>
      </c>
      <c r="K296">
        <v>1.1200000000000001</v>
      </c>
      <c r="L296">
        <v>1.05</v>
      </c>
      <c r="M296">
        <v>1.2</v>
      </c>
      <c r="N296">
        <v>1.7</v>
      </c>
      <c r="O296">
        <v>61.4</v>
      </c>
      <c r="P296">
        <v>57.4</v>
      </c>
      <c r="Q296">
        <v>65</v>
      </c>
      <c r="R296">
        <v>70.3</v>
      </c>
      <c r="S296">
        <v>67.3</v>
      </c>
      <c r="T296">
        <v>73.099999999999994</v>
      </c>
    </row>
    <row r="297" spans="1:20" x14ac:dyDescent="0.2">
      <c r="A297" t="s">
        <v>639</v>
      </c>
      <c r="B297">
        <v>5.8000000000000003E-2</v>
      </c>
      <c r="C297" s="1">
        <v>255.80959999999999</v>
      </c>
      <c r="D297" s="1">
        <v>78.649000000000001</v>
      </c>
      <c r="E297">
        <v>295.89999999999998</v>
      </c>
      <c r="F297">
        <v>-11.7</v>
      </c>
      <c r="G297">
        <v>284.7</v>
      </c>
      <c r="H297">
        <v>304</v>
      </c>
      <c r="I297">
        <v>294.10000000000002</v>
      </c>
      <c r="J297">
        <v>320.5</v>
      </c>
      <c r="K297">
        <v>2.2599999999999998</v>
      </c>
      <c r="L297">
        <v>0.12</v>
      </c>
      <c r="M297">
        <v>1.22</v>
      </c>
      <c r="N297">
        <v>1.72</v>
      </c>
      <c r="O297">
        <v>251.9</v>
      </c>
      <c r="P297">
        <v>212.8</v>
      </c>
      <c r="Q297">
        <v>291.3</v>
      </c>
      <c r="R297">
        <v>264.7</v>
      </c>
      <c r="S297">
        <v>231.8</v>
      </c>
      <c r="T297">
        <v>296.2</v>
      </c>
    </row>
    <row r="298" spans="1:20" x14ac:dyDescent="0.2">
      <c r="A298" t="s">
        <v>641</v>
      </c>
      <c r="B298">
        <v>2.8000000000000001E-2</v>
      </c>
      <c r="C298" s="1">
        <v>258.1155</v>
      </c>
      <c r="D298" s="1">
        <v>-23.368500000000001</v>
      </c>
      <c r="E298">
        <v>-6.9</v>
      </c>
      <c r="F298">
        <v>-9.5</v>
      </c>
      <c r="G298">
        <v>-5.7</v>
      </c>
      <c r="H298">
        <v>327</v>
      </c>
      <c r="I298">
        <v>305.2</v>
      </c>
      <c r="J298">
        <v>331.6</v>
      </c>
      <c r="K298">
        <v>0.74</v>
      </c>
      <c r="L298">
        <v>0.69</v>
      </c>
      <c r="M298">
        <v>0.76</v>
      </c>
      <c r="N298">
        <v>1.1299999999999999</v>
      </c>
      <c r="O298">
        <v>53.7</v>
      </c>
      <c r="P298">
        <v>52.2</v>
      </c>
      <c r="Q298">
        <v>55.3</v>
      </c>
      <c r="R298">
        <v>93.7</v>
      </c>
      <c r="S298">
        <v>91.8</v>
      </c>
      <c r="T298">
        <v>95.7</v>
      </c>
    </row>
    <row r="299" spans="1:20" x14ac:dyDescent="0.2">
      <c r="A299" t="s">
        <v>642</v>
      </c>
      <c r="B299">
        <v>8.1000000000000003E-2</v>
      </c>
      <c r="C299" s="1">
        <v>258.17250000000001</v>
      </c>
      <c r="D299" s="1">
        <v>64.072800000000001</v>
      </c>
      <c r="E299">
        <v>328.5</v>
      </c>
      <c r="F299">
        <v>222.7</v>
      </c>
      <c r="G299">
        <v>356.1</v>
      </c>
      <c r="H299">
        <v>396.7</v>
      </c>
      <c r="I299">
        <v>378.7</v>
      </c>
      <c r="J299">
        <v>417</v>
      </c>
      <c r="K299">
        <v>0.95</v>
      </c>
      <c r="L299">
        <v>0.55000000000000004</v>
      </c>
      <c r="M299">
        <v>1.06</v>
      </c>
      <c r="N299">
        <v>3.02</v>
      </c>
      <c r="O299">
        <v>315.10000000000002</v>
      </c>
      <c r="P299">
        <v>264.10000000000002</v>
      </c>
      <c r="Q299">
        <v>360.8</v>
      </c>
      <c r="R299">
        <v>328.2</v>
      </c>
      <c r="S299">
        <v>283.7</v>
      </c>
      <c r="T299">
        <v>366.2</v>
      </c>
    </row>
    <row r="300" spans="1:20" x14ac:dyDescent="0.2">
      <c r="A300" t="s">
        <v>644</v>
      </c>
      <c r="B300">
        <v>0.16400000000000001</v>
      </c>
      <c r="C300" s="1">
        <v>260.0317</v>
      </c>
      <c r="D300" s="1">
        <v>27.670500000000001</v>
      </c>
      <c r="E300">
        <v>113.1</v>
      </c>
      <c r="F300">
        <v>87.7</v>
      </c>
      <c r="G300">
        <v>131.1</v>
      </c>
      <c r="H300">
        <v>164.5</v>
      </c>
      <c r="I300">
        <v>157.30000000000001</v>
      </c>
      <c r="J300">
        <v>177.8</v>
      </c>
      <c r="K300">
        <v>1.6</v>
      </c>
      <c r="L300">
        <v>1.33</v>
      </c>
      <c r="M300">
        <v>1.77</v>
      </c>
      <c r="N300">
        <v>0.2</v>
      </c>
      <c r="O300">
        <v>111.6</v>
      </c>
      <c r="P300">
        <v>91.4</v>
      </c>
      <c r="Q300">
        <v>131.69999999999999</v>
      </c>
      <c r="R300">
        <v>115.2</v>
      </c>
      <c r="S300">
        <v>96.9</v>
      </c>
      <c r="T300">
        <v>133.69999999999999</v>
      </c>
    </row>
    <row r="301" spans="1:20" x14ac:dyDescent="0.2">
      <c r="A301" t="s">
        <v>242</v>
      </c>
      <c r="B301">
        <v>0.16400000000000001</v>
      </c>
      <c r="C301" s="1">
        <v>260.04160000000002</v>
      </c>
      <c r="D301" s="1">
        <v>26.6251</v>
      </c>
      <c r="E301">
        <v>18.7</v>
      </c>
      <c r="F301">
        <v>16.7</v>
      </c>
      <c r="G301">
        <v>20.5</v>
      </c>
      <c r="H301">
        <v>127.7</v>
      </c>
      <c r="I301">
        <v>123.2</v>
      </c>
      <c r="J301">
        <v>130.9</v>
      </c>
      <c r="K301">
        <v>1.29</v>
      </c>
      <c r="L301">
        <v>1.25</v>
      </c>
      <c r="M301">
        <v>1.33</v>
      </c>
      <c r="N301">
        <v>1.92</v>
      </c>
      <c r="O301">
        <v>24.2</v>
      </c>
      <c r="P301">
        <v>22.8</v>
      </c>
      <c r="Q301">
        <v>25.6</v>
      </c>
      <c r="R301">
        <v>32.299999999999997</v>
      </c>
      <c r="S301">
        <v>31</v>
      </c>
      <c r="T301">
        <v>33.6</v>
      </c>
    </row>
    <row r="302" spans="1:20" x14ac:dyDescent="0.2">
      <c r="A302" t="s">
        <v>243</v>
      </c>
      <c r="B302">
        <v>0.39100000000000001</v>
      </c>
      <c r="C302" s="1">
        <v>260.07010000000002</v>
      </c>
      <c r="D302" s="1">
        <v>35.607300000000002</v>
      </c>
      <c r="E302">
        <v>20.399999999999999</v>
      </c>
      <c r="F302">
        <v>16.3</v>
      </c>
      <c r="G302">
        <v>23.9</v>
      </c>
      <c r="H302">
        <v>134.5</v>
      </c>
      <c r="I302">
        <v>127.9</v>
      </c>
      <c r="J302">
        <v>141.80000000000001</v>
      </c>
      <c r="K302">
        <v>1.24</v>
      </c>
      <c r="L302">
        <v>1.17</v>
      </c>
      <c r="M302">
        <v>1.3</v>
      </c>
      <c r="N302">
        <v>0.56999999999999995</v>
      </c>
      <c r="O302">
        <v>26.8</v>
      </c>
      <c r="P302">
        <v>24.2</v>
      </c>
      <c r="Q302">
        <v>29.7</v>
      </c>
      <c r="R302">
        <v>35.9</v>
      </c>
      <c r="S302">
        <v>33.799999999999997</v>
      </c>
      <c r="T302">
        <v>38.200000000000003</v>
      </c>
    </row>
    <row r="303" spans="1:20" x14ac:dyDescent="0.2">
      <c r="A303" t="s">
        <v>244</v>
      </c>
      <c r="B303">
        <v>0.224</v>
      </c>
      <c r="C303" s="1">
        <v>260.61329999999998</v>
      </c>
      <c r="D303" s="1">
        <v>32.132800000000003</v>
      </c>
      <c r="E303">
        <v>31.6</v>
      </c>
      <c r="F303">
        <v>17.100000000000001</v>
      </c>
      <c r="G303">
        <v>45.9</v>
      </c>
      <c r="H303">
        <v>189.1</v>
      </c>
      <c r="I303">
        <v>179.2</v>
      </c>
      <c r="J303">
        <v>196</v>
      </c>
      <c r="K303">
        <v>0.78</v>
      </c>
      <c r="L303">
        <v>0.72</v>
      </c>
      <c r="M303">
        <v>0.85</v>
      </c>
      <c r="N303">
        <v>1.7</v>
      </c>
      <c r="O303">
        <v>57.8</v>
      </c>
      <c r="P303">
        <v>48.5</v>
      </c>
      <c r="Q303">
        <v>66.900000000000006</v>
      </c>
      <c r="R303">
        <v>76.3</v>
      </c>
      <c r="S303">
        <v>69.099999999999994</v>
      </c>
      <c r="T303">
        <v>83.6</v>
      </c>
    </row>
    <row r="304" spans="1:20" x14ac:dyDescent="0.2">
      <c r="A304" t="s">
        <v>647</v>
      </c>
      <c r="B304">
        <v>0.16900000000000001</v>
      </c>
      <c r="C304" s="1">
        <v>261.04950000000002</v>
      </c>
      <c r="D304" s="1">
        <v>85.886300000000006</v>
      </c>
      <c r="E304">
        <v>33.4</v>
      </c>
      <c r="F304">
        <v>-146.5</v>
      </c>
      <c r="G304">
        <v>74.7</v>
      </c>
      <c r="H304">
        <v>283.89999999999998</v>
      </c>
      <c r="I304">
        <v>270.60000000000002</v>
      </c>
      <c r="J304">
        <v>321.8</v>
      </c>
      <c r="K304">
        <v>0.63</v>
      </c>
      <c r="L304">
        <v>0.36</v>
      </c>
      <c r="M304">
        <v>0.72</v>
      </c>
      <c r="N304">
        <v>0.41</v>
      </c>
      <c r="O304">
        <v>81.7</v>
      </c>
      <c r="P304">
        <v>45.4</v>
      </c>
      <c r="Q304">
        <v>120.9</v>
      </c>
      <c r="R304">
        <v>122.6</v>
      </c>
      <c r="S304">
        <v>94.9</v>
      </c>
      <c r="T304">
        <v>150.6</v>
      </c>
    </row>
    <row r="305" spans="1:20" x14ac:dyDescent="0.2">
      <c r="A305" t="s">
        <v>649</v>
      </c>
      <c r="B305">
        <v>0.14099999999999999</v>
      </c>
      <c r="C305" s="1">
        <v>263.76929999999999</v>
      </c>
      <c r="D305" s="1">
        <v>64.101699999999994</v>
      </c>
      <c r="E305">
        <v>4.9000000000000004</v>
      </c>
      <c r="F305">
        <v>-8.1999999999999993</v>
      </c>
      <c r="G305">
        <v>12.7</v>
      </c>
      <c r="H305">
        <v>163.30000000000001</v>
      </c>
      <c r="I305">
        <v>156.4</v>
      </c>
      <c r="J305">
        <v>170.5</v>
      </c>
      <c r="K305">
        <v>0.85</v>
      </c>
      <c r="L305">
        <v>0.73</v>
      </c>
      <c r="M305">
        <v>0.93</v>
      </c>
      <c r="N305">
        <v>0.36</v>
      </c>
      <c r="O305">
        <v>26.5</v>
      </c>
      <c r="P305">
        <v>22.1</v>
      </c>
      <c r="Q305">
        <v>31.3</v>
      </c>
      <c r="R305">
        <v>45</v>
      </c>
      <c r="S305">
        <v>41.5</v>
      </c>
      <c r="T305">
        <v>48.6</v>
      </c>
    </row>
    <row r="306" spans="1:20" x14ac:dyDescent="0.2">
      <c r="A306" t="s">
        <v>650</v>
      </c>
      <c r="B306">
        <v>7.5999999999999998E-2</v>
      </c>
      <c r="C306" s="1">
        <v>266.0598</v>
      </c>
      <c r="D306" s="1">
        <v>32.991100000000003</v>
      </c>
      <c r="E306">
        <v>10.8</v>
      </c>
      <c r="F306">
        <v>9.3000000000000007</v>
      </c>
      <c r="G306">
        <v>12.2</v>
      </c>
      <c r="H306">
        <v>123.2</v>
      </c>
      <c r="I306">
        <v>120.6</v>
      </c>
      <c r="J306">
        <v>125.9</v>
      </c>
      <c r="K306">
        <v>1.1200000000000001</v>
      </c>
      <c r="L306">
        <v>1.08</v>
      </c>
      <c r="M306">
        <v>1.1599999999999999</v>
      </c>
      <c r="N306">
        <v>7.33</v>
      </c>
      <c r="O306">
        <v>19.3</v>
      </c>
      <c r="P306">
        <v>18.600000000000001</v>
      </c>
      <c r="Q306">
        <v>20.100000000000001</v>
      </c>
      <c r="R306">
        <v>29.4</v>
      </c>
      <c r="S306">
        <v>28.7</v>
      </c>
      <c r="T306">
        <v>30</v>
      </c>
    </row>
    <row r="307" spans="1:20" x14ac:dyDescent="0.2">
      <c r="A307" t="s">
        <v>245</v>
      </c>
      <c r="B307">
        <v>0.157</v>
      </c>
      <c r="C307" s="1">
        <v>266.81130000000002</v>
      </c>
      <c r="D307" s="1">
        <v>45.196800000000003</v>
      </c>
      <c r="E307">
        <v>342.6</v>
      </c>
      <c r="F307">
        <v>338.5</v>
      </c>
      <c r="G307">
        <v>341.5</v>
      </c>
      <c r="H307">
        <v>342.7</v>
      </c>
      <c r="I307">
        <v>338.6</v>
      </c>
      <c r="J307">
        <v>341.7</v>
      </c>
      <c r="K307">
        <v>4.0999999999999996</v>
      </c>
      <c r="L307">
        <v>4.0999999999999996</v>
      </c>
      <c r="M307">
        <v>4.0999999999999996</v>
      </c>
      <c r="N307">
        <v>0.61</v>
      </c>
      <c r="O307">
        <v>340.1</v>
      </c>
      <c r="P307">
        <v>338.5</v>
      </c>
      <c r="Q307">
        <v>341.5</v>
      </c>
      <c r="R307">
        <v>340.1</v>
      </c>
      <c r="S307">
        <v>338.5</v>
      </c>
      <c r="T307">
        <v>341.5</v>
      </c>
    </row>
    <row r="308" spans="1:20" x14ac:dyDescent="0.2">
      <c r="A308" t="s">
        <v>246</v>
      </c>
      <c r="B308">
        <v>0.17100000000000001</v>
      </c>
      <c r="C308" s="1">
        <v>267.57040000000001</v>
      </c>
      <c r="D308" s="1">
        <v>35.082799999999999</v>
      </c>
      <c r="E308">
        <v>6.2</v>
      </c>
      <c r="F308">
        <v>4.5</v>
      </c>
      <c r="G308">
        <v>8.3000000000000007</v>
      </c>
      <c r="H308">
        <v>130.6</v>
      </c>
      <c r="I308">
        <v>122.7</v>
      </c>
      <c r="J308">
        <v>136.69999999999999</v>
      </c>
      <c r="K308">
        <v>1.1599999999999999</v>
      </c>
      <c r="L308">
        <v>1.1100000000000001</v>
      </c>
      <c r="M308">
        <v>1.22</v>
      </c>
      <c r="N308">
        <v>1.51</v>
      </c>
      <c r="O308">
        <v>14.9</v>
      </c>
      <c r="P308">
        <v>13.8</v>
      </c>
      <c r="Q308">
        <v>16</v>
      </c>
      <c r="R308">
        <v>25.4</v>
      </c>
      <c r="S308">
        <v>23.8</v>
      </c>
      <c r="T308">
        <v>26.8</v>
      </c>
    </row>
    <row r="309" spans="1:20" x14ac:dyDescent="0.2">
      <c r="A309" t="s">
        <v>651</v>
      </c>
      <c r="B309">
        <v>1.3100000000000001E-2</v>
      </c>
      <c r="C309" s="1">
        <v>267.95310000000001</v>
      </c>
      <c r="D309" s="1">
        <v>23.071899999999999</v>
      </c>
      <c r="E309">
        <v>1</v>
      </c>
      <c r="F309">
        <v>0.9</v>
      </c>
      <c r="G309">
        <v>1.2</v>
      </c>
      <c r="H309">
        <v>130.9</v>
      </c>
      <c r="I309">
        <v>119.4</v>
      </c>
      <c r="J309">
        <v>156.30000000000001</v>
      </c>
      <c r="K309">
        <v>1.07</v>
      </c>
      <c r="L309">
        <v>1.02</v>
      </c>
      <c r="M309">
        <v>1.1599999999999999</v>
      </c>
      <c r="N309">
        <v>0.09</v>
      </c>
      <c r="O309">
        <v>12</v>
      </c>
      <c r="P309">
        <v>11.5</v>
      </c>
      <c r="Q309">
        <v>12.4</v>
      </c>
      <c r="R309">
        <v>24.4</v>
      </c>
      <c r="S309">
        <v>23.1</v>
      </c>
      <c r="T309">
        <v>25.6</v>
      </c>
    </row>
    <row r="310" spans="1:20" x14ac:dyDescent="0.2">
      <c r="A310" t="s">
        <v>247</v>
      </c>
      <c r="B310">
        <v>0.152</v>
      </c>
      <c r="C310" s="1">
        <v>271.13099999999997</v>
      </c>
      <c r="D310" s="1">
        <v>10.0571</v>
      </c>
      <c r="E310">
        <v>61.8</v>
      </c>
      <c r="F310">
        <v>-27.2</v>
      </c>
      <c r="G310">
        <v>88.4</v>
      </c>
      <c r="H310">
        <v>261.5</v>
      </c>
      <c r="I310">
        <v>245.9</v>
      </c>
      <c r="J310">
        <v>290.10000000000002</v>
      </c>
      <c r="K310">
        <v>0.73</v>
      </c>
      <c r="L310">
        <v>0.48</v>
      </c>
      <c r="M310">
        <v>0.84</v>
      </c>
      <c r="N310">
        <v>0.45</v>
      </c>
      <c r="O310">
        <v>93.1</v>
      </c>
      <c r="P310">
        <v>70.7</v>
      </c>
      <c r="Q310">
        <v>118.7</v>
      </c>
      <c r="R310">
        <v>122.9</v>
      </c>
      <c r="S310">
        <v>104.2</v>
      </c>
      <c r="T310">
        <v>141.4</v>
      </c>
    </row>
    <row r="311" spans="1:20" x14ac:dyDescent="0.2">
      <c r="A311" t="s">
        <v>652</v>
      </c>
      <c r="B311">
        <v>0.17899999999999999</v>
      </c>
      <c r="C311" s="1">
        <v>274.99180000000001</v>
      </c>
      <c r="D311" s="1">
        <v>57.156100000000002</v>
      </c>
      <c r="E311">
        <v>260.60000000000002</v>
      </c>
      <c r="F311">
        <v>-164.1</v>
      </c>
      <c r="G311">
        <v>234.3</v>
      </c>
      <c r="H311">
        <v>324.60000000000002</v>
      </c>
      <c r="I311">
        <v>298.5</v>
      </c>
      <c r="J311">
        <v>370.5</v>
      </c>
      <c r="K311">
        <v>1.07</v>
      </c>
      <c r="L311">
        <v>0.23</v>
      </c>
      <c r="M311">
        <v>0.86</v>
      </c>
      <c r="N311">
        <v>0.38</v>
      </c>
      <c r="O311">
        <v>181.7</v>
      </c>
      <c r="P311">
        <v>111.2</v>
      </c>
      <c r="Q311">
        <v>253.9</v>
      </c>
      <c r="R311">
        <v>213.8</v>
      </c>
      <c r="S311">
        <v>153.5</v>
      </c>
      <c r="T311">
        <v>270.89999999999998</v>
      </c>
    </row>
    <row r="312" spans="1:20" x14ac:dyDescent="0.2">
      <c r="A312" t="s">
        <v>248</v>
      </c>
      <c r="B312">
        <v>0.29699999999999999</v>
      </c>
      <c r="C312" s="1">
        <v>275.48759999999999</v>
      </c>
      <c r="D312" s="1">
        <v>64.343800000000002</v>
      </c>
      <c r="E312">
        <v>-37.700000000000003</v>
      </c>
      <c r="F312">
        <v>-51.1</v>
      </c>
      <c r="G312">
        <v>-20.7</v>
      </c>
      <c r="H312">
        <v>158.9</v>
      </c>
      <c r="I312">
        <v>149.69999999999999</v>
      </c>
      <c r="J312">
        <v>164.3</v>
      </c>
      <c r="K312">
        <v>0.9</v>
      </c>
      <c r="L312">
        <v>0.83</v>
      </c>
      <c r="M312">
        <v>1.01</v>
      </c>
      <c r="N312">
        <v>3.05</v>
      </c>
      <c r="O312">
        <v>-11.8</v>
      </c>
      <c r="P312">
        <v>-19.3</v>
      </c>
      <c r="Q312">
        <v>-4.0999999999999996</v>
      </c>
      <c r="R312">
        <v>9</v>
      </c>
      <c r="S312">
        <v>5.4</v>
      </c>
      <c r="T312">
        <v>12.8</v>
      </c>
    </row>
    <row r="313" spans="1:20" x14ac:dyDescent="0.2">
      <c r="A313" t="s">
        <v>250</v>
      </c>
      <c r="B313">
        <v>0.20300000000000001</v>
      </c>
      <c r="C313" s="1">
        <v>277.27350000000001</v>
      </c>
      <c r="D313" s="1">
        <v>69.235299999999995</v>
      </c>
      <c r="E313">
        <v>19.3</v>
      </c>
      <c r="F313">
        <v>15</v>
      </c>
      <c r="G313">
        <v>23.7</v>
      </c>
      <c r="H313">
        <v>136.30000000000001</v>
      </c>
      <c r="I313">
        <v>129.80000000000001</v>
      </c>
      <c r="J313">
        <v>142.5</v>
      </c>
      <c r="K313">
        <v>1.2</v>
      </c>
      <c r="L313">
        <v>1.1299999999999999</v>
      </c>
      <c r="M313">
        <v>1.31</v>
      </c>
      <c r="N313">
        <v>0.6</v>
      </c>
      <c r="O313">
        <v>26.7</v>
      </c>
      <c r="P313">
        <v>23.7</v>
      </c>
      <c r="Q313">
        <v>29.7</v>
      </c>
      <c r="R313">
        <v>36.200000000000003</v>
      </c>
      <c r="S313">
        <v>33.6</v>
      </c>
      <c r="T313">
        <v>38.9</v>
      </c>
    </row>
    <row r="314" spans="1:20" x14ac:dyDescent="0.2">
      <c r="A314" t="s">
        <v>251</v>
      </c>
      <c r="B314">
        <v>0.109</v>
      </c>
      <c r="C314" s="1">
        <v>283.03579999999999</v>
      </c>
      <c r="D314" s="1">
        <v>57.194899999999997</v>
      </c>
      <c r="E314">
        <v>6.7</v>
      </c>
      <c r="F314">
        <v>-6.7</v>
      </c>
      <c r="G314">
        <v>19.5</v>
      </c>
      <c r="H314">
        <v>172.6</v>
      </c>
      <c r="I314">
        <v>162.80000000000001</v>
      </c>
      <c r="J314">
        <v>178.5</v>
      </c>
      <c r="K314">
        <v>0.77</v>
      </c>
      <c r="L314">
        <v>0.63</v>
      </c>
      <c r="M314">
        <v>0.92</v>
      </c>
      <c r="N314">
        <v>0.32</v>
      </c>
      <c r="O314">
        <v>35.9</v>
      </c>
      <c r="P314">
        <v>31.8</v>
      </c>
      <c r="Q314">
        <v>39.799999999999997</v>
      </c>
      <c r="R314">
        <v>55.4</v>
      </c>
      <c r="S314">
        <v>51.8</v>
      </c>
      <c r="T314">
        <v>59</v>
      </c>
    </row>
    <row r="315" spans="1:20" x14ac:dyDescent="0.2">
      <c r="A315" t="s">
        <v>656</v>
      </c>
      <c r="B315">
        <v>9.2999999999999999E-2</v>
      </c>
      <c r="C315" s="1">
        <v>283.50940000000003</v>
      </c>
      <c r="D315" s="1">
        <v>68.3827</v>
      </c>
      <c r="E315">
        <v>-109.5</v>
      </c>
      <c r="F315">
        <v>-179.1</v>
      </c>
      <c r="G315">
        <v>1.9</v>
      </c>
      <c r="H315">
        <v>234.1</v>
      </c>
      <c r="I315">
        <v>219.6</v>
      </c>
      <c r="J315">
        <v>241.8</v>
      </c>
      <c r="K315">
        <v>0.3</v>
      </c>
      <c r="L315">
        <v>0.25</v>
      </c>
      <c r="M315">
        <v>0.48</v>
      </c>
      <c r="N315">
        <v>0.81</v>
      </c>
      <c r="O315">
        <v>66.599999999999994</v>
      </c>
      <c r="P315">
        <v>51.8</v>
      </c>
      <c r="Q315">
        <v>80.099999999999994</v>
      </c>
      <c r="R315">
        <v>102.9</v>
      </c>
      <c r="S315">
        <v>92.8</v>
      </c>
      <c r="T315">
        <v>112.9</v>
      </c>
    </row>
    <row r="316" spans="1:20" x14ac:dyDescent="0.2">
      <c r="A316" t="s">
        <v>657</v>
      </c>
      <c r="B316">
        <v>0.26400000000000001</v>
      </c>
      <c r="C316" s="1">
        <v>288.65640000000002</v>
      </c>
      <c r="D316" s="1">
        <v>-59.472200000000001</v>
      </c>
      <c r="E316">
        <v>-8.1999999999999993</v>
      </c>
      <c r="F316">
        <v>-18.2</v>
      </c>
      <c r="G316">
        <v>2.6</v>
      </c>
      <c r="H316">
        <v>141.30000000000001</v>
      </c>
      <c r="I316">
        <v>135.1</v>
      </c>
      <c r="J316">
        <v>148.9</v>
      </c>
      <c r="K316">
        <v>0.95</v>
      </c>
      <c r="L316">
        <v>0.89</v>
      </c>
      <c r="M316">
        <v>1.02</v>
      </c>
      <c r="N316">
        <v>0.76</v>
      </c>
      <c r="O316">
        <v>9</v>
      </c>
      <c r="P316">
        <v>2.4</v>
      </c>
      <c r="Q316">
        <v>15.7</v>
      </c>
      <c r="R316">
        <v>24.7</v>
      </c>
      <c r="S316">
        <v>19.899999999999999</v>
      </c>
      <c r="T316">
        <v>29.6</v>
      </c>
    </row>
    <row r="317" spans="1:20" x14ac:dyDescent="0.2">
      <c r="A317" t="s">
        <v>658</v>
      </c>
      <c r="B317">
        <v>5.6000000000000001E-2</v>
      </c>
      <c r="C317" s="1">
        <v>290.29450000000003</v>
      </c>
      <c r="D317" s="1">
        <v>43.951599999999999</v>
      </c>
      <c r="E317">
        <v>190.5</v>
      </c>
      <c r="F317">
        <v>159.4</v>
      </c>
      <c r="G317">
        <v>210.3</v>
      </c>
      <c r="H317">
        <v>274.10000000000002</v>
      </c>
      <c r="I317">
        <v>263</v>
      </c>
      <c r="J317">
        <v>284.39999999999998</v>
      </c>
      <c r="K317">
        <v>1.32</v>
      </c>
      <c r="L317">
        <v>1.1399999999999999</v>
      </c>
      <c r="M317">
        <v>1.47</v>
      </c>
      <c r="N317">
        <v>2.99</v>
      </c>
      <c r="O317">
        <v>190</v>
      </c>
      <c r="P317">
        <v>167.5</v>
      </c>
      <c r="Q317">
        <v>212.8</v>
      </c>
      <c r="R317">
        <v>196.8</v>
      </c>
      <c r="S317">
        <v>177</v>
      </c>
      <c r="T317">
        <v>217.3</v>
      </c>
    </row>
    <row r="318" spans="1:20" x14ac:dyDescent="0.2">
      <c r="A318" t="s">
        <v>252</v>
      </c>
      <c r="B318">
        <v>0.35199999999999998</v>
      </c>
      <c r="C318" s="1">
        <v>292.95690000000002</v>
      </c>
      <c r="D318" s="1">
        <v>-26.575900000000001</v>
      </c>
      <c r="E318">
        <v>20</v>
      </c>
      <c r="F318">
        <v>18.7</v>
      </c>
      <c r="G318">
        <v>22.7</v>
      </c>
      <c r="H318">
        <v>98.3</v>
      </c>
      <c r="I318">
        <v>92.5</v>
      </c>
      <c r="J318">
        <v>100.7</v>
      </c>
      <c r="K318">
        <v>1.58</v>
      </c>
      <c r="L318">
        <v>1.52</v>
      </c>
      <c r="M318">
        <v>1.67</v>
      </c>
      <c r="N318">
        <v>3.07</v>
      </c>
      <c r="O318">
        <v>22.6</v>
      </c>
      <c r="P318">
        <v>21</v>
      </c>
      <c r="Q318">
        <v>24.3</v>
      </c>
      <c r="R318">
        <v>26.5</v>
      </c>
      <c r="S318">
        <v>25.1</v>
      </c>
      <c r="T318">
        <v>27.9</v>
      </c>
    </row>
    <row r="319" spans="1:20" x14ac:dyDescent="0.2">
      <c r="A319" t="s">
        <v>660</v>
      </c>
      <c r="B319">
        <v>0.26</v>
      </c>
      <c r="C319" s="1">
        <v>294.57679999999999</v>
      </c>
      <c r="D319" s="1">
        <v>54.159700000000001</v>
      </c>
      <c r="E319">
        <v>52.2</v>
      </c>
      <c r="F319">
        <v>30.7</v>
      </c>
      <c r="G319">
        <v>66.5</v>
      </c>
      <c r="H319">
        <v>141.4</v>
      </c>
      <c r="I319">
        <v>134</v>
      </c>
      <c r="J319">
        <v>156.19999999999999</v>
      </c>
      <c r="K319">
        <v>1.23</v>
      </c>
      <c r="L319">
        <v>1.03</v>
      </c>
      <c r="M319">
        <v>1.35</v>
      </c>
      <c r="N319">
        <v>0.21</v>
      </c>
      <c r="O319">
        <v>55.2</v>
      </c>
      <c r="P319">
        <v>41</v>
      </c>
      <c r="Q319">
        <v>69.8</v>
      </c>
      <c r="R319">
        <v>63.6</v>
      </c>
      <c r="S319">
        <v>50.9</v>
      </c>
      <c r="T319">
        <v>75.7</v>
      </c>
    </row>
    <row r="320" spans="1:20" x14ac:dyDescent="0.2">
      <c r="A320" t="s">
        <v>661</v>
      </c>
      <c r="B320">
        <v>0.217</v>
      </c>
      <c r="C320" s="1">
        <v>296.81209999999999</v>
      </c>
      <c r="D320" s="1">
        <v>-76.395799999999994</v>
      </c>
      <c r="E320">
        <v>3.8</v>
      </c>
      <c r="F320">
        <v>-3</v>
      </c>
      <c r="G320">
        <v>8.8000000000000007</v>
      </c>
      <c r="H320">
        <v>177.6</v>
      </c>
      <c r="I320">
        <v>168.5</v>
      </c>
      <c r="J320">
        <v>187.5</v>
      </c>
      <c r="K320">
        <v>0.98</v>
      </c>
      <c r="L320">
        <v>0.91</v>
      </c>
      <c r="M320">
        <v>1.03</v>
      </c>
      <c r="N320">
        <v>1.1100000000000001</v>
      </c>
      <c r="O320">
        <v>21.9</v>
      </c>
      <c r="P320">
        <v>18.600000000000001</v>
      </c>
      <c r="Q320">
        <v>25.3</v>
      </c>
      <c r="R320">
        <v>40</v>
      </c>
      <c r="S320">
        <v>36.799999999999997</v>
      </c>
      <c r="T320">
        <v>43.3</v>
      </c>
    </row>
    <row r="321" spans="1:20" x14ac:dyDescent="0.2">
      <c r="A321" t="s">
        <v>253</v>
      </c>
      <c r="B321">
        <v>0.109</v>
      </c>
      <c r="C321" s="1">
        <v>298.26409999999998</v>
      </c>
      <c r="D321" s="1">
        <v>-52.036900000000003</v>
      </c>
      <c r="E321">
        <v>-181.1</v>
      </c>
      <c r="F321">
        <v>-241.3</v>
      </c>
      <c r="G321">
        <v>-19.3</v>
      </c>
      <c r="H321">
        <v>318.60000000000002</v>
      </c>
      <c r="I321">
        <v>290.7</v>
      </c>
      <c r="J321">
        <v>338.3</v>
      </c>
      <c r="K321">
        <v>0.47</v>
      </c>
      <c r="L321">
        <v>0.4</v>
      </c>
      <c r="M321">
        <v>0.89</v>
      </c>
      <c r="N321">
        <v>0.12</v>
      </c>
      <c r="O321">
        <v>-1.2</v>
      </c>
      <c r="P321">
        <v>-26.9</v>
      </c>
      <c r="Q321">
        <v>24.4</v>
      </c>
      <c r="R321">
        <v>54.7</v>
      </c>
      <c r="S321">
        <v>40</v>
      </c>
      <c r="T321">
        <v>69.5</v>
      </c>
    </row>
    <row r="322" spans="1:20" x14ac:dyDescent="0.2">
      <c r="A322" t="s">
        <v>255</v>
      </c>
      <c r="B322">
        <v>0.317</v>
      </c>
      <c r="C322" s="1">
        <v>300.87130000000002</v>
      </c>
      <c r="D322" s="1">
        <v>-23.3734</v>
      </c>
      <c r="E322">
        <v>-94.3</v>
      </c>
      <c r="F322">
        <v>-87.8</v>
      </c>
      <c r="G322">
        <v>-62.3</v>
      </c>
      <c r="H322">
        <v>172.4</v>
      </c>
      <c r="I322">
        <v>153.5</v>
      </c>
      <c r="J322">
        <v>168.4</v>
      </c>
      <c r="K322">
        <v>0.46</v>
      </c>
      <c r="L322">
        <v>0.47</v>
      </c>
      <c r="M322">
        <v>0.55000000000000004</v>
      </c>
      <c r="N322">
        <v>2.1</v>
      </c>
      <c r="O322">
        <v>-1.4</v>
      </c>
      <c r="P322">
        <v>-2</v>
      </c>
      <c r="Q322">
        <v>-0.7</v>
      </c>
      <c r="R322">
        <v>29.5</v>
      </c>
      <c r="S322">
        <v>27.3</v>
      </c>
      <c r="T322">
        <v>31.6</v>
      </c>
    </row>
    <row r="323" spans="1:20" x14ac:dyDescent="0.2">
      <c r="A323" t="s">
        <v>662</v>
      </c>
      <c r="B323">
        <v>9.4999999999999998E-3</v>
      </c>
      <c r="C323" s="1">
        <v>302.47539999999998</v>
      </c>
      <c r="D323" s="1">
        <v>-48.379899999999999</v>
      </c>
      <c r="E323">
        <v>-1.4</v>
      </c>
      <c r="F323">
        <v>-2.7</v>
      </c>
      <c r="G323">
        <v>-0.7</v>
      </c>
      <c r="H323">
        <v>112.6</v>
      </c>
      <c r="I323">
        <v>103.8</v>
      </c>
      <c r="J323">
        <v>117.7</v>
      </c>
      <c r="K323">
        <v>0.71</v>
      </c>
      <c r="L323">
        <v>0.64</v>
      </c>
      <c r="M323">
        <v>0.74</v>
      </c>
      <c r="N323">
        <v>2.02</v>
      </c>
      <c r="O323">
        <v>21</v>
      </c>
      <c r="P323">
        <v>20.100000000000001</v>
      </c>
      <c r="Q323">
        <v>21.9</v>
      </c>
      <c r="R323">
        <v>35.1</v>
      </c>
      <c r="S323">
        <v>34.1</v>
      </c>
      <c r="T323">
        <v>36.200000000000003</v>
      </c>
    </row>
    <row r="324" spans="1:20" x14ac:dyDescent="0.2">
      <c r="A324" t="s">
        <v>256</v>
      </c>
      <c r="B324">
        <v>0.27900000000000003</v>
      </c>
      <c r="C324" s="1">
        <v>302.86219999999997</v>
      </c>
      <c r="D324" s="1">
        <v>-57.419899999999998</v>
      </c>
      <c r="E324">
        <v>36.9</v>
      </c>
      <c r="F324">
        <v>20</v>
      </c>
      <c r="G324">
        <v>45.8</v>
      </c>
      <c r="H324">
        <v>102.2</v>
      </c>
      <c r="I324">
        <v>95.7</v>
      </c>
      <c r="J324">
        <v>110.1</v>
      </c>
      <c r="K324">
        <v>1.25</v>
      </c>
      <c r="L324">
        <v>0.94</v>
      </c>
      <c r="M324">
        <v>1.48</v>
      </c>
      <c r="N324">
        <v>0.03</v>
      </c>
      <c r="O324">
        <v>38.200000000000003</v>
      </c>
      <c r="P324">
        <v>28.8</v>
      </c>
      <c r="Q324">
        <v>48</v>
      </c>
      <c r="R324">
        <v>44.4</v>
      </c>
      <c r="S324">
        <v>37.200000000000003</v>
      </c>
      <c r="T324">
        <v>52</v>
      </c>
    </row>
    <row r="325" spans="1:20" x14ac:dyDescent="0.2">
      <c r="A325" t="s">
        <v>665</v>
      </c>
      <c r="B325">
        <v>0.161</v>
      </c>
      <c r="C325" s="1">
        <v>303.71530000000001</v>
      </c>
      <c r="D325" s="1">
        <v>-24.5062</v>
      </c>
      <c r="E325">
        <v>8.1999999999999993</v>
      </c>
      <c r="F325">
        <v>7.5</v>
      </c>
      <c r="G325">
        <v>9.1</v>
      </c>
      <c r="H325">
        <v>116.1</v>
      </c>
      <c r="I325">
        <v>113</v>
      </c>
      <c r="J325">
        <v>119</v>
      </c>
      <c r="K325">
        <v>1.34</v>
      </c>
      <c r="L325">
        <v>1.3</v>
      </c>
      <c r="M325">
        <v>1.37</v>
      </c>
      <c r="N325">
        <v>2.15</v>
      </c>
      <c r="O325">
        <v>13.3</v>
      </c>
      <c r="P325">
        <v>12.8</v>
      </c>
      <c r="Q325">
        <v>13.9</v>
      </c>
      <c r="R325">
        <v>20.9</v>
      </c>
      <c r="S325">
        <v>20.3</v>
      </c>
      <c r="T325">
        <v>21.4</v>
      </c>
    </row>
    <row r="326" spans="1:20" x14ac:dyDescent="0.2">
      <c r="A326" t="s">
        <v>666</v>
      </c>
      <c r="B326">
        <v>0.23200000000000001</v>
      </c>
      <c r="C326" s="1">
        <v>305.83890000000002</v>
      </c>
      <c r="D326" s="1">
        <v>-55.596699999999998</v>
      </c>
      <c r="E326">
        <v>-271.39999999999998</v>
      </c>
      <c r="F326">
        <v>-250</v>
      </c>
      <c r="G326">
        <v>-84.1</v>
      </c>
      <c r="H326">
        <v>157.30000000000001</v>
      </c>
      <c r="I326">
        <v>128.5</v>
      </c>
      <c r="J326">
        <v>170.8</v>
      </c>
      <c r="K326">
        <v>0.43</v>
      </c>
      <c r="L326">
        <v>0.44</v>
      </c>
      <c r="M326">
        <v>0.7</v>
      </c>
      <c r="N326">
        <v>0.32</v>
      </c>
      <c r="O326">
        <v>-70.8</v>
      </c>
      <c r="P326">
        <v>-107.7</v>
      </c>
      <c r="Q326">
        <v>-32.700000000000003</v>
      </c>
      <c r="R326">
        <v>-30</v>
      </c>
      <c r="S326">
        <v>-58.4</v>
      </c>
      <c r="T326">
        <v>-1.7</v>
      </c>
    </row>
    <row r="327" spans="1:20" x14ac:dyDescent="0.2">
      <c r="A327" t="s">
        <v>259</v>
      </c>
      <c r="B327">
        <v>8.8999999999999996E-2</v>
      </c>
      <c r="C327" s="1">
        <v>308.68880000000001</v>
      </c>
      <c r="D327" s="1">
        <v>-35.811999999999998</v>
      </c>
      <c r="E327">
        <v>338.3</v>
      </c>
      <c r="F327">
        <v>242.6</v>
      </c>
      <c r="G327">
        <v>389.5</v>
      </c>
      <c r="H327">
        <v>381.8</v>
      </c>
      <c r="I327">
        <v>345.7</v>
      </c>
      <c r="J327">
        <v>412.8</v>
      </c>
      <c r="K327">
        <v>1.48</v>
      </c>
      <c r="L327">
        <v>0.9</v>
      </c>
      <c r="M327">
        <v>2.0699999999999998</v>
      </c>
      <c r="N327">
        <v>0.39</v>
      </c>
      <c r="O327">
        <v>322.60000000000002</v>
      </c>
      <c r="P327">
        <v>255.4</v>
      </c>
      <c r="Q327">
        <v>389.8</v>
      </c>
      <c r="R327">
        <v>329.3</v>
      </c>
      <c r="S327">
        <v>265.2</v>
      </c>
      <c r="T327">
        <v>392</v>
      </c>
    </row>
    <row r="328" spans="1:20" x14ac:dyDescent="0.2">
      <c r="A328" t="s">
        <v>668</v>
      </c>
      <c r="B328">
        <v>0.72299999999999998</v>
      </c>
      <c r="C328" s="1">
        <v>310.82310000000001</v>
      </c>
      <c r="D328" s="1">
        <v>-50.592300000000002</v>
      </c>
      <c r="E328">
        <v>16.600000000000001</v>
      </c>
      <c r="F328">
        <v>10.7</v>
      </c>
      <c r="G328">
        <v>19.5</v>
      </c>
      <c r="H328">
        <v>97</v>
      </c>
      <c r="I328">
        <v>90.8</v>
      </c>
      <c r="J328">
        <v>105.9</v>
      </c>
      <c r="K328">
        <v>1.29</v>
      </c>
      <c r="L328">
        <v>1.1100000000000001</v>
      </c>
      <c r="M328">
        <v>1.35</v>
      </c>
      <c r="N328">
        <v>0.04</v>
      </c>
      <c r="O328">
        <v>20.3</v>
      </c>
      <c r="P328">
        <v>17.2</v>
      </c>
      <c r="Q328">
        <v>23.3</v>
      </c>
      <c r="R328">
        <v>26.9</v>
      </c>
      <c r="S328">
        <v>24.8</v>
      </c>
      <c r="T328">
        <v>29.3</v>
      </c>
    </row>
    <row r="329" spans="1:20" x14ac:dyDescent="0.2">
      <c r="A329" t="s">
        <v>260</v>
      </c>
      <c r="B329">
        <v>0.42299999999999999</v>
      </c>
      <c r="C329" s="1">
        <v>311.50209999999998</v>
      </c>
      <c r="D329" s="1">
        <v>-34.504800000000003</v>
      </c>
      <c r="E329">
        <v>5.6</v>
      </c>
      <c r="F329">
        <v>2.7</v>
      </c>
      <c r="G329">
        <v>7.2</v>
      </c>
      <c r="H329">
        <v>106.5</v>
      </c>
      <c r="I329">
        <v>102.2</v>
      </c>
      <c r="J329">
        <v>111.7</v>
      </c>
      <c r="K329">
        <v>1.23</v>
      </c>
      <c r="L329">
        <v>1.1299999999999999</v>
      </c>
      <c r="M329">
        <v>1.27</v>
      </c>
      <c r="N329">
        <v>0.24</v>
      </c>
      <c r="O329">
        <v>11.5</v>
      </c>
      <c r="P329">
        <v>10.4</v>
      </c>
      <c r="Q329">
        <v>12.8</v>
      </c>
      <c r="R329">
        <v>19.899999999999999</v>
      </c>
      <c r="S329">
        <v>18.899999999999999</v>
      </c>
      <c r="T329">
        <v>21</v>
      </c>
    </row>
    <row r="330" spans="1:20" x14ac:dyDescent="0.2">
      <c r="A330" t="s">
        <v>261</v>
      </c>
      <c r="B330">
        <v>0.32500000000000001</v>
      </c>
      <c r="C330" s="1">
        <v>312.48399999999998</v>
      </c>
      <c r="D330" s="1">
        <v>-32.280299999999997</v>
      </c>
      <c r="E330">
        <v>202.1</v>
      </c>
      <c r="F330">
        <v>107.2</v>
      </c>
      <c r="G330">
        <v>268.8</v>
      </c>
      <c r="H330">
        <v>252.4</v>
      </c>
      <c r="I330">
        <v>222.1</v>
      </c>
      <c r="J330">
        <v>305.10000000000002</v>
      </c>
      <c r="K330">
        <v>1.56</v>
      </c>
      <c r="L330">
        <v>1.0900000000000001</v>
      </c>
      <c r="M330">
        <v>1.73</v>
      </c>
      <c r="N330">
        <v>0.28999999999999998</v>
      </c>
      <c r="O330">
        <v>185.7</v>
      </c>
      <c r="P330">
        <v>117.9</v>
      </c>
      <c r="Q330">
        <v>269.8</v>
      </c>
      <c r="R330">
        <v>191.9</v>
      </c>
      <c r="S330">
        <v>131</v>
      </c>
      <c r="T330">
        <v>271.89999999999998</v>
      </c>
    </row>
    <row r="331" spans="1:20" x14ac:dyDescent="0.2">
      <c r="A331" t="s">
        <v>262</v>
      </c>
      <c r="B331">
        <v>0.16500000000000001</v>
      </c>
      <c r="C331" s="1">
        <v>316.07870000000003</v>
      </c>
      <c r="D331" s="1">
        <v>-41.3446</v>
      </c>
      <c r="E331">
        <v>-94.4</v>
      </c>
      <c r="F331">
        <v>-177.2</v>
      </c>
      <c r="G331">
        <v>-35.9</v>
      </c>
      <c r="H331">
        <v>198.4</v>
      </c>
      <c r="I331">
        <v>180.8</v>
      </c>
      <c r="J331">
        <v>212.5</v>
      </c>
      <c r="K331">
        <v>0.66</v>
      </c>
      <c r="L331">
        <v>0.52</v>
      </c>
      <c r="M331">
        <v>0.8</v>
      </c>
      <c r="N331">
        <v>0.17</v>
      </c>
      <c r="O331">
        <v>-30.4</v>
      </c>
      <c r="P331">
        <v>-65.400000000000006</v>
      </c>
      <c r="Q331">
        <v>2.2000000000000002</v>
      </c>
      <c r="R331">
        <v>7.5</v>
      </c>
      <c r="S331">
        <v>-17.100000000000001</v>
      </c>
      <c r="T331">
        <v>30.6</v>
      </c>
    </row>
    <row r="332" spans="1:20" x14ac:dyDescent="0.2">
      <c r="A332" t="s">
        <v>263</v>
      </c>
      <c r="B332">
        <v>4.9000000000000002E-2</v>
      </c>
      <c r="C332" s="1">
        <v>318.48219999999998</v>
      </c>
      <c r="D332" s="1">
        <v>2.5651999999999999</v>
      </c>
      <c r="E332">
        <v>198.4</v>
      </c>
      <c r="F332">
        <v>132.4</v>
      </c>
      <c r="G332">
        <v>207.7</v>
      </c>
      <c r="H332">
        <v>239.5</v>
      </c>
      <c r="I332">
        <v>233.9</v>
      </c>
      <c r="J332">
        <v>269.60000000000002</v>
      </c>
      <c r="K332">
        <v>1.75</v>
      </c>
      <c r="L332">
        <v>0.79</v>
      </c>
      <c r="M332">
        <v>1.72</v>
      </c>
      <c r="N332">
        <v>0.72</v>
      </c>
      <c r="O332">
        <v>181.8</v>
      </c>
      <c r="P332">
        <v>149.9</v>
      </c>
      <c r="Q332">
        <v>209.5</v>
      </c>
      <c r="R332">
        <v>189.3</v>
      </c>
      <c r="S332">
        <v>163.19999999999999</v>
      </c>
      <c r="T332">
        <v>212.1</v>
      </c>
    </row>
    <row r="333" spans="1:20" x14ac:dyDescent="0.2">
      <c r="A333" t="s">
        <v>264</v>
      </c>
      <c r="B333">
        <v>0.17649999999999999</v>
      </c>
      <c r="C333" s="1">
        <v>321.78969999999998</v>
      </c>
      <c r="D333" s="1">
        <v>-12.174799999999999</v>
      </c>
      <c r="E333">
        <v>-291.10000000000002</v>
      </c>
      <c r="F333">
        <v>-283.10000000000002</v>
      </c>
      <c r="G333">
        <v>-139.5</v>
      </c>
      <c r="H333">
        <v>217.6</v>
      </c>
      <c r="I333">
        <v>193.7</v>
      </c>
      <c r="J333">
        <v>234.4</v>
      </c>
      <c r="K333">
        <v>0.45</v>
      </c>
      <c r="L333">
        <v>0.45</v>
      </c>
      <c r="M333">
        <v>0.59</v>
      </c>
      <c r="N333">
        <v>0.75</v>
      </c>
      <c r="O333">
        <v>-80</v>
      </c>
      <c r="P333">
        <v>-112</v>
      </c>
      <c r="Q333">
        <v>-48.7</v>
      </c>
      <c r="R333">
        <v>-24.2</v>
      </c>
      <c r="S333">
        <v>-49.8</v>
      </c>
      <c r="T333">
        <v>2.4</v>
      </c>
    </row>
    <row r="334" spans="1:20" x14ac:dyDescent="0.2">
      <c r="A334" t="s">
        <v>675</v>
      </c>
      <c r="B334">
        <v>0.23499999999999999</v>
      </c>
      <c r="C334" s="1">
        <v>322.42180000000002</v>
      </c>
      <c r="D334" s="1">
        <v>0.10390000000000001</v>
      </c>
      <c r="E334">
        <v>12.7</v>
      </c>
      <c r="F334">
        <v>10.4</v>
      </c>
      <c r="G334">
        <v>15.4</v>
      </c>
      <c r="H334">
        <v>145.69999999999999</v>
      </c>
      <c r="I334">
        <v>140.69999999999999</v>
      </c>
      <c r="J334">
        <v>150.80000000000001</v>
      </c>
      <c r="K334">
        <v>1.03</v>
      </c>
      <c r="L334">
        <v>0.99</v>
      </c>
      <c r="M334">
        <v>1.07</v>
      </c>
      <c r="N334">
        <v>1.33</v>
      </c>
      <c r="O334">
        <v>25.3</v>
      </c>
      <c r="P334">
        <v>23.7</v>
      </c>
      <c r="Q334">
        <v>26.9</v>
      </c>
      <c r="R334">
        <v>38.200000000000003</v>
      </c>
      <c r="S334">
        <v>36.6</v>
      </c>
      <c r="T334">
        <v>39.799999999999997</v>
      </c>
    </row>
    <row r="335" spans="1:20" x14ac:dyDescent="0.2">
      <c r="A335" t="s">
        <v>267</v>
      </c>
      <c r="B335">
        <v>0.313</v>
      </c>
      <c r="C335" s="1">
        <v>325.06330000000003</v>
      </c>
      <c r="D335" s="1">
        <v>-23.661100000000001</v>
      </c>
      <c r="E335">
        <v>13.1</v>
      </c>
      <c r="F335">
        <v>11.7</v>
      </c>
      <c r="G335">
        <v>14.7</v>
      </c>
      <c r="H335">
        <v>105.2</v>
      </c>
      <c r="I335">
        <v>102.1</v>
      </c>
      <c r="J335">
        <v>108.9</v>
      </c>
      <c r="K335">
        <v>1.36</v>
      </c>
      <c r="L335">
        <v>1.3</v>
      </c>
      <c r="M335">
        <v>1.41</v>
      </c>
      <c r="N335">
        <v>1.04</v>
      </c>
      <c r="O335">
        <v>17.3</v>
      </c>
      <c r="P335">
        <v>16.2</v>
      </c>
      <c r="Q335">
        <v>18.3</v>
      </c>
      <c r="R335">
        <v>23.6</v>
      </c>
      <c r="S335">
        <v>22.8</v>
      </c>
      <c r="T335">
        <v>24.4</v>
      </c>
    </row>
    <row r="336" spans="1:20" x14ac:dyDescent="0.2">
      <c r="A336" t="s">
        <v>268</v>
      </c>
      <c r="B336">
        <v>6.2E-2</v>
      </c>
      <c r="C336" s="1">
        <v>326.74619999999999</v>
      </c>
      <c r="D336" s="1">
        <v>-43.898699999999998</v>
      </c>
      <c r="E336">
        <v>10.3</v>
      </c>
      <c r="F336">
        <v>4</v>
      </c>
      <c r="G336">
        <v>14.9</v>
      </c>
      <c r="H336">
        <v>145.5</v>
      </c>
      <c r="I336">
        <v>136</v>
      </c>
      <c r="J336">
        <v>152.80000000000001</v>
      </c>
      <c r="K336">
        <v>0.86</v>
      </c>
      <c r="L336">
        <v>0.79</v>
      </c>
      <c r="M336">
        <v>0.94</v>
      </c>
      <c r="N336">
        <v>0.56000000000000005</v>
      </c>
      <c r="O336">
        <v>28.4</v>
      </c>
      <c r="P336">
        <v>25.9</v>
      </c>
      <c r="Q336">
        <v>31.1</v>
      </c>
      <c r="R336">
        <v>43.6</v>
      </c>
      <c r="S336">
        <v>40.799999999999997</v>
      </c>
      <c r="T336">
        <v>46.9</v>
      </c>
    </row>
    <row r="337" spans="1:20" x14ac:dyDescent="0.2">
      <c r="A337" t="s">
        <v>269</v>
      </c>
      <c r="B337">
        <v>9.4E-2</v>
      </c>
      <c r="C337" s="1">
        <v>328.08879999999999</v>
      </c>
      <c r="D337" s="1">
        <v>-19.5474</v>
      </c>
      <c r="E337">
        <v>29.4</v>
      </c>
      <c r="F337">
        <v>25.4</v>
      </c>
      <c r="G337">
        <v>33.6</v>
      </c>
      <c r="H337">
        <v>175.1</v>
      </c>
      <c r="I337">
        <v>164.8</v>
      </c>
      <c r="J337">
        <v>182</v>
      </c>
      <c r="K337">
        <v>1.53</v>
      </c>
      <c r="L337">
        <v>1.39</v>
      </c>
      <c r="M337">
        <v>1.67</v>
      </c>
      <c r="N337">
        <v>0.93</v>
      </c>
      <c r="O337">
        <v>34.1</v>
      </c>
      <c r="P337">
        <v>31.2</v>
      </c>
      <c r="Q337">
        <v>36.9</v>
      </c>
      <c r="R337">
        <v>42.3</v>
      </c>
      <c r="S337">
        <v>40.299999999999997</v>
      </c>
      <c r="T337">
        <v>44.2</v>
      </c>
    </row>
    <row r="338" spans="1:20" x14ac:dyDescent="0.2">
      <c r="A338" t="s">
        <v>682</v>
      </c>
      <c r="B338">
        <v>0.22800000000000001</v>
      </c>
      <c r="C338" s="1">
        <v>328.40320000000003</v>
      </c>
      <c r="D338" s="1">
        <v>17.695399999999999</v>
      </c>
      <c r="E338">
        <v>9.6999999999999993</v>
      </c>
      <c r="F338">
        <v>6.3</v>
      </c>
      <c r="G338">
        <v>13.6</v>
      </c>
      <c r="H338">
        <v>167.2</v>
      </c>
      <c r="I338">
        <v>162.80000000000001</v>
      </c>
      <c r="J338">
        <v>172.4</v>
      </c>
      <c r="K338">
        <v>0.96</v>
      </c>
      <c r="L338">
        <v>0.91</v>
      </c>
      <c r="M338">
        <v>1.01</v>
      </c>
      <c r="N338">
        <v>1.05</v>
      </c>
      <c r="O338">
        <v>27.4</v>
      </c>
      <c r="P338">
        <v>25.6</v>
      </c>
      <c r="Q338">
        <v>29.1</v>
      </c>
      <c r="R338">
        <v>43.6</v>
      </c>
      <c r="S338">
        <v>42</v>
      </c>
      <c r="T338">
        <v>45.3</v>
      </c>
    </row>
    <row r="339" spans="1:20" x14ac:dyDescent="0.2">
      <c r="A339" t="s">
        <v>270</v>
      </c>
      <c r="B339">
        <v>0.29199999999999998</v>
      </c>
      <c r="C339" s="1">
        <v>328.96749999999997</v>
      </c>
      <c r="D339" s="1">
        <v>38.006799999999998</v>
      </c>
      <c r="E339">
        <v>38.799999999999997</v>
      </c>
      <c r="F339">
        <v>20.9</v>
      </c>
      <c r="G339">
        <v>47.7</v>
      </c>
      <c r="H339">
        <v>221.3</v>
      </c>
      <c r="I339">
        <v>213.3</v>
      </c>
      <c r="J339">
        <v>233.3</v>
      </c>
      <c r="K339">
        <v>0.81</v>
      </c>
      <c r="L339">
        <v>0.73</v>
      </c>
      <c r="M339">
        <v>0.86</v>
      </c>
      <c r="N339">
        <v>1.31</v>
      </c>
      <c r="O339">
        <v>65.5</v>
      </c>
      <c r="P339">
        <v>58.4</v>
      </c>
      <c r="Q339">
        <v>72.3</v>
      </c>
      <c r="R339">
        <v>87.8</v>
      </c>
      <c r="S339">
        <v>82.4</v>
      </c>
      <c r="T339">
        <v>92.9</v>
      </c>
    </row>
    <row r="340" spans="1:20" x14ac:dyDescent="0.2">
      <c r="A340" t="s">
        <v>271</v>
      </c>
      <c r="B340">
        <v>0.14799999999999999</v>
      </c>
      <c r="C340" s="1">
        <v>330.21839999999997</v>
      </c>
      <c r="D340" s="1">
        <v>20.968699999999998</v>
      </c>
      <c r="E340">
        <v>82.5</v>
      </c>
      <c r="F340">
        <v>67</v>
      </c>
      <c r="G340">
        <v>94.7</v>
      </c>
      <c r="H340">
        <v>157.4</v>
      </c>
      <c r="I340">
        <v>148.6</v>
      </c>
      <c r="J340">
        <v>167.7</v>
      </c>
      <c r="K340">
        <v>1.29</v>
      </c>
      <c r="L340">
        <v>1.1100000000000001</v>
      </c>
      <c r="M340">
        <v>1.45</v>
      </c>
      <c r="N340">
        <v>1.18</v>
      </c>
      <c r="O340">
        <v>85</v>
      </c>
      <c r="P340">
        <v>73.400000000000006</v>
      </c>
      <c r="Q340">
        <v>97</v>
      </c>
      <c r="R340">
        <v>91.2</v>
      </c>
      <c r="S340">
        <v>80.8</v>
      </c>
      <c r="T340">
        <v>101.1</v>
      </c>
    </row>
    <row r="341" spans="1:20" x14ac:dyDescent="0.2">
      <c r="A341" t="s">
        <v>684</v>
      </c>
      <c r="B341">
        <v>9.8000000000000004E-2</v>
      </c>
      <c r="C341" s="1">
        <v>330.47129999999999</v>
      </c>
      <c r="D341" s="1">
        <v>-59.945599999999999</v>
      </c>
      <c r="E341">
        <v>137.5</v>
      </c>
      <c r="F341">
        <v>118.5</v>
      </c>
      <c r="G341">
        <v>155.69999999999999</v>
      </c>
      <c r="H341">
        <v>235.2</v>
      </c>
      <c r="I341">
        <v>228.1</v>
      </c>
      <c r="J341">
        <v>245.9</v>
      </c>
      <c r="K341">
        <v>1.22</v>
      </c>
      <c r="L341">
        <v>1.05</v>
      </c>
      <c r="M341">
        <v>1.35</v>
      </c>
      <c r="N341">
        <v>1.99</v>
      </c>
      <c r="O341">
        <v>143.5</v>
      </c>
      <c r="P341">
        <v>128.4</v>
      </c>
      <c r="Q341">
        <v>159.9</v>
      </c>
      <c r="R341">
        <v>151.9</v>
      </c>
      <c r="S341">
        <v>138.9</v>
      </c>
      <c r="T341">
        <v>166</v>
      </c>
    </row>
    <row r="342" spans="1:20" x14ac:dyDescent="0.2">
      <c r="A342" t="s">
        <v>272</v>
      </c>
      <c r="B342">
        <v>5.8000000000000003E-2</v>
      </c>
      <c r="C342" s="1">
        <v>331.41050000000001</v>
      </c>
      <c r="D342" s="1">
        <v>-5.5925000000000002</v>
      </c>
      <c r="E342">
        <v>6.1</v>
      </c>
      <c r="F342">
        <v>5.0999999999999996</v>
      </c>
      <c r="G342">
        <v>7.5</v>
      </c>
      <c r="H342">
        <v>132.19999999999999</v>
      </c>
      <c r="I342">
        <v>126.3</v>
      </c>
      <c r="J342">
        <v>137.1</v>
      </c>
      <c r="K342">
        <v>1.06</v>
      </c>
      <c r="L342">
        <v>1.03</v>
      </c>
      <c r="M342">
        <v>1.1299999999999999</v>
      </c>
      <c r="N342">
        <v>0.6</v>
      </c>
      <c r="O342">
        <v>16.8</v>
      </c>
      <c r="P342">
        <v>16.100000000000001</v>
      </c>
      <c r="Q342">
        <v>17.5</v>
      </c>
      <c r="R342">
        <v>28.4</v>
      </c>
      <c r="S342">
        <v>27.3</v>
      </c>
      <c r="T342">
        <v>29.5</v>
      </c>
    </row>
    <row r="343" spans="1:20" x14ac:dyDescent="0.2">
      <c r="A343" t="s">
        <v>761</v>
      </c>
      <c r="B343">
        <v>0.27</v>
      </c>
      <c r="C343" s="1">
        <v>332.94159999999999</v>
      </c>
      <c r="D343" s="1">
        <v>-3.83</v>
      </c>
      <c r="E343">
        <v>148</v>
      </c>
      <c r="F343">
        <v>123.9</v>
      </c>
      <c r="G343">
        <v>169.2</v>
      </c>
      <c r="H343">
        <v>212.9</v>
      </c>
      <c r="I343">
        <v>199.7</v>
      </c>
      <c r="J343">
        <v>228.4</v>
      </c>
      <c r="K343">
        <v>1.69</v>
      </c>
      <c r="L343">
        <v>1.46</v>
      </c>
      <c r="M343">
        <v>1.9</v>
      </c>
      <c r="N343">
        <v>0.17</v>
      </c>
      <c r="O343">
        <v>148.19999999999999</v>
      </c>
      <c r="P343">
        <v>126.7</v>
      </c>
      <c r="Q343">
        <v>169.7</v>
      </c>
      <c r="R343">
        <v>151.6</v>
      </c>
      <c r="S343">
        <v>132.4</v>
      </c>
      <c r="T343">
        <v>171.4</v>
      </c>
    </row>
    <row r="344" spans="1:20" x14ac:dyDescent="0.2">
      <c r="A344" t="s">
        <v>685</v>
      </c>
      <c r="B344">
        <v>0.153</v>
      </c>
      <c r="C344" s="1">
        <v>333.60660000000001</v>
      </c>
      <c r="D344" s="1">
        <v>-17.026700000000002</v>
      </c>
      <c r="E344">
        <v>5.4</v>
      </c>
      <c r="F344">
        <v>4.7</v>
      </c>
      <c r="G344">
        <v>6.2</v>
      </c>
      <c r="H344">
        <v>124.7</v>
      </c>
      <c r="I344">
        <v>120.9</v>
      </c>
      <c r="J344">
        <v>128.6</v>
      </c>
      <c r="K344">
        <v>1.3</v>
      </c>
      <c r="L344">
        <v>1.25</v>
      </c>
      <c r="M344">
        <v>1.35</v>
      </c>
      <c r="N344">
        <v>0.4</v>
      </c>
      <c r="O344">
        <v>11.5</v>
      </c>
      <c r="P344">
        <v>11.1</v>
      </c>
      <c r="Q344">
        <v>11.8</v>
      </c>
      <c r="R344">
        <v>20.2</v>
      </c>
      <c r="S344">
        <v>19.5</v>
      </c>
      <c r="T344">
        <v>21.1</v>
      </c>
    </row>
    <row r="345" spans="1:20" x14ac:dyDescent="0.2">
      <c r="A345" t="s">
        <v>686</v>
      </c>
      <c r="B345">
        <v>9.8000000000000004E-2</v>
      </c>
      <c r="C345" s="1">
        <v>333.63470000000001</v>
      </c>
      <c r="D345" s="1">
        <v>-10.3705</v>
      </c>
      <c r="E345">
        <v>-12.7</v>
      </c>
      <c r="F345">
        <v>-22.7</v>
      </c>
      <c r="G345">
        <v>-0.9</v>
      </c>
      <c r="H345">
        <v>153.30000000000001</v>
      </c>
      <c r="I345">
        <v>146.19999999999999</v>
      </c>
      <c r="J345">
        <v>160.9</v>
      </c>
      <c r="K345">
        <v>1</v>
      </c>
      <c r="L345">
        <v>0.93</v>
      </c>
      <c r="M345">
        <v>1.0900000000000001</v>
      </c>
      <c r="N345">
        <v>0.71</v>
      </c>
      <c r="O345">
        <v>4.5999999999999996</v>
      </c>
      <c r="P345">
        <v>-2</v>
      </c>
      <c r="Q345">
        <v>11.7</v>
      </c>
      <c r="R345">
        <v>21.1</v>
      </c>
      <c r="S345">
        <v>16.5</v>
      </c>
      <c r="T345">
        <v>26.2</v>
      </c>
    </row>
    <row r="346" spans="1:20" x14ac:dyDescent="0.2">
      <c r="A346" t="s">
        <v>273</v>
      </c>
      <c r="B346">
        <v>0.48299999999999998</v>
      </c>
      <c r="C346" s="1">
        <v>333.73899999999998</v>
      </c>
      <c r="D346" s="1">
        <v>-14.0038</v>
      </c>
      <c r="E346">
        <v>130.19999999999999</v>
      </c>
      <c r="F346">
        <v>69.7</v>
      </c>
      <c r="G346">
        <v>164.8</v>
      </c>
      <c r="H346">
        <v>217.5</v>
      </c>
      <c r="I346">
        <v>205.2</v>
      </c>
      <c r="J346">
        <v>244.1</v>
      </c>
      <c r="K346">
        <v>1.17</v>
      </c>
      <c r="L346">
        <v>0.84</v>
      </c>
      <c r="M346">
        <v>1.34</v>
      </c>
      <c r="N346">
        <v>0.2</v>
      </c>
      <c r="O346">
        <v>129.6</v>
      </c>
      <c r="P346">
        <v>94.5</v>
      </c>
      <c r="Q346">
        <v>169.2</v>
      </c>
      <c r="R346">
        <v>140.6</v>
      </c>
      <c r="S346">
        <v>110.4</v>
      </c>
      <c r="T346">
        <v>174.3</v>
      </c>
    </row>
    <row r="347" spans="1:20" x14ac:dyDescent="0.2">
      <c r="A347" t="s">
        <v>274</v>
      </c>
      <c r="B347">
        <v>0.14899999999999999</v>
      </c>
      <c r="C347" s="1">
        <v>334.44099999999997</v>
      </c>
      <c r="D347" s="1">
        <v>-35.724400000000003</v>
      </c>
      <c r="E347">
        <v>105.8</v>
      </c>
      <c r="F347">
        <v>66.900000000000006</v>
      </c>
      <c r="G347">
        <v>126.7</v>
      </c>
      <c r="H347">
        <v>198.3</v>
      </c>
      <c r="I347">
        <v>191.2</v>
      </c>
      <c r="J347">
        <v>217.9</v>
      </c>
      <c r="K347">
        <v>1.24</v>
      </c>
      <c r="L347">
        <v>0.94</v>
      </c>
      <c r="M347">
        <v>1.43</v>
      </c>
      <c r="N347">
        <v>0.45</v>
      </c>
      <c r="O347">
        <v>106.5</v>
      </c>
      <c r="P347">
        <v>82.1</v>
      </c>
      <c r="Q347">
        <v>130.9</v>
      </c>
      <c r="R347">
        <v>116.4</v>
      </c>
      <c r="S347">
        <v>97.7</v>
      </c>
      <c r="T347">
        <v>135.4</v>
      </c>
    </row>
    <row r="348" spans="1:20" x14ac:dyDescent="0.2">
      <c r="A348" t="s">
        <v>275</v>
      </c>
      <c r="B348">
        <v>0.13800000000000001</v>
      </c>
      <c r="C348" s="1">
        <v>334.6644</v>
      </c>
      <c r="D348" s="1">
        <v>-38.9009</v>
      </c>
      <c r="E348">
        <v>165.9</v>
      </c>
      <c r="F348">
        <v>146.69999999999999</v>
      </c>
      <c r="G348">
        <v>184.8</v>
      </c>
      <c r="H348">
        <v>192.7</v>
      </c>
      <c r="I348">
        <v>184.2</v>
      </c>
      <c r="J348">
        <v>206.4</v>
      </c>
      <c r="K348">
        <v>1.8</v>
      </c>
      <c r="L348">
        <v>1.52</v>
      </c>
      <c r="M348">
        <v>2.08</v>
      </c>
      <c r="N348">
        <v>0.45</v>
      </c>
      <c r="O348">
        <v>166.4</v>
      </c>
      <c r="P348">
        <v>147.69999999999999</v>
      </c>
      <c r="Q348">
        <v>185</v>
      </c>
      <c r="R348">
        <v>167.9</v>
      </c>
      <c r="S348">
        <v>149.69999999999999</v>
      </c>
      <c r="T348">
        <v>185.8</v>
      </c>
    </row>
    <row r="349" spans="1:20" x14ac:dyDescent="0.2">
      <c r="A349" t="s">
        <v>276</v>
      </c>
      <c r="B349">
        <v>0.108</v>
      </c>
      <c r="C349" s="1">
        <v>336.52589999999998</v>
      </c>
      <c r="D349" s="1">
        <v>17.366199999999999</v>
      </c>
      <c r="E349">
        <v>210.2</v>
      </c>
      <c r="F349">
        <v>73.7</v>
      </c>
      <c r="G349">
        <v>227.6</v>
      </c>
      <c r="H349">
        <v>291.2</v>
      </c>
      <c r="I349">
        <v>279.2</v>
      </c>
      <c r="J349">
        <v>309.3</v>
      </c>
      <c r="K349">
        <v>1.18</v>
      </c>
      <c r="L349">
        <v>0.51</v>
      </c>
      <c r="M349">
        <v>1.33</v>
      </c>
      <c r="N349">
        <v>0.55000000000000004</v>
      </c>
      <c r="O349">
        <v>188.3</v>
      </c>
      <c r="P349">
        <v>140.80000000000001</v>
      </c>
      <c r="Q349">
        <v>232</v>
      </c>
      <c r="R349">
        <v>204.4</v>
      </c>
      <c r="S349">
        <v>169.2</v>
      </c>
      <c r="T349">
        <v>238.8</v>
      </c>
    </row>
    <row r="350" spans="1:20" x14ac:dyDescent="0.2">
      <c r="A350" t="s">
        <v>277</v>
      </c>
      <c r="B350">
        <v>0.16600000000000001</v>
      </c>
      <c r="C350" s="1">
        <v>336.73360000000002</v>
      </c>
      <c r="D350" s="1">
        <v>25.835100000000001</v>
      </c>
      <c r="E350">
        <v>19.100000000000001</v>
      </c>
      <c r="F350">
        <v>0.5</v>
      </c>
      <c r="G350">
        <v>30.4</v>
      </c>
      <c r="H350">
        <v>168.2</v>
      </c>
      <c r="I350">
        <v>160.30000000000001</v>
      </c>
      <c r="J350">
        <v>176.3</v>
      </c>
      <c r="K350">
        <v>0.82</v>
      </c>
      <c r="L350">
        <v>0.7</v>
      </c>
      <c r="M350">
        <v>0.9</v>
      </c>
      <c r="N350">
        <v>0.28000000000000003</v>
      </c>
      <c r="O350">
        <v>40.700000000000003</v>
      </c>
      <c r="P350">
        <v>32.799999999999997</v>
      </c>
      <c r="Q350">
        <v>49</v>
      </c>
      <c r="R350">
        <v>58.8</v>
      </c>
      <c r="S350">
        <v>52.8</v>
      </c>
      <c r="T350">
        <v>65</v>
      </c>
    </row>
    <row r="351" spans="1:20" x14ac:dyDescent="0.2">
      <c r="A351" t="s">
        <v>278</v>
      </c>
      <c r="B351">
        <v>5.8000000000000003E-2</v>
      </c>
      <c r="C351" s="1">
        <v>336.97660000000002</v>
      </c>
      <c r="D351" s="1">
        <v>-30.577000000000002</v>
      </c>
      <c r="E351">
        <v>2.4</v>
      </c>
      <c r="F351">
        <v>0.3</v>
      </c>
      <c r="G351">
        <v>4.3</v>
      </c>
      <c r="H351">
        <v>149.80000000000001</v>
      </c>
      <c r="I351">
        <v>143.6</v>
      </c>
      <c r="J351">
        <v>154.69999999999999</v>
      </c>
      <c r="K351">
        <v>0.93</v>
      </c>
      <c r="L351">
        <v>0.88</v>
      </c>
      <c r="M351">
        <v>0.98</v>
      </c>
      <c r="N351">
        <v>2.5</v>
      </c>
      <c r="O351">
        <v>19.600000000000001</v>
      </c>
      <c r="P351">
        <v>18.7</v>
      </c>
      <c r="Q351">
        <v>20.7</v>
      </c>
      <c r="R351">
        <v>35.200000000000003</v>
      </c>
      <c r="S351">
        <v>33.5</v>
      </c>
      <c r="T351">
        <v>36.9</v>
      </c>
    </row>
    <row r="352" spans="1:20" x14ac:dyDescent="0.2">
      <c r="A352" t="s">
        <v>689</v>
      </c>
      <c r="B352">
        <v>0.41199999999999998</v>
      </c>
      <c r="C352" s="1">
        <v>337.14240000000001</v>
      </c>
      <c r="D352" s="1">
        <v>20.6206</v>
      </c>
      <c r="E352">
        <v>89.3</v>
      </c>
      <c r="F352">
        <v>40.700000000000003</v>
      </c>
      <c r="G352">
        <v>140.69999999999999</v>
      </c>
      <c r="H352">
        <v>212.8</v>
      </c>
      <c r="I352">
        <v>193.5</v>
      </c>
      <c r="J352">
        <v>235.6</v>
      </c>
      <c r="K352">
        <v>1.05</v>
      </c>
      <c r="L352">
        <v>0.9</v>
      </c>
      <c r="M352">
        <v>1.18</v>
      </c>
      <c r="N352">
        <v>7.0000000000000007E-2</v>
      </c>
      <c r="O352">
        <v>102.5</v>
      </c>
      <c r="P352">
        <v>60.4</v>
      </c>
      <c r="Q352">
        <v>146.4</v>
      </c>
      <c r="R352">
        <v>114.9</v>
      </c>
      <c r="S352">
        <v>75.599999999999994</v>
      </c>
      <c r="T352">
        <v>154.9</v>
      </c>
    </row>
    <row r="353" spans="1:20" x14ac:dyDescent="0.2">
      <c r="A353" t="s">
        <v>279</v>
      </c>
      <c r="B353">
        <v>0.32400000000000001</v>
      </c>
      <c r="C353" s="1">
        <v>337.43849999999998</v>
      </c>
      <c r="D353" s="1">
        <v>-27.9267</v>
      </c>
      <c r="E353">
        <v>8.1</v>
      </c>
      <c r="F353">
        <v>6</v>
      </c>
      <c r="G353">
        <v>9.6999999999999993</v>
      </c>
      <c r="H353">
        <v>101.3</v>
      </c>
      <c r="I353">
        <v>95.4</v>
      </c>
      <c r="J353">
        <v>105.3</v>
      </c>
      <c r="K353">
        <v>1.28</v>
      </c>
      <c r="L353">
        <v>1.2</v>
      </c>
      <c r="M353">
        <v>1.34</v>
      </c>
      <c r="N353">
        <v>0.4</v>
      </c>
      <c r="O353">
        <v>12.9</v>
      </c>
      <c r="P353">
        <v>11.7</v>
      </c>
      <c r="Q353">
        <v>14.2</v>
      </c>
      <c r="R353">
        <v>20</v>
      </c>
      <c r="S353">
        <v>18.899999999999999</v>
      </c>
      <c r="T353">
        <v>21.1</v>
      </c>
    </row>
    <row r="354" spans="1:20" x14ac:dyDescent="0.2">
      <c r="A354" t="s">
        <v>691</v>
      </c>
      <c r="B354">
        <v>1.7000000000000001E-2</v>
      </c>
      <c r="C354" s="1">
        <v>337.83589999999998</v>
      </c>
      <c r="D354" s="1">
        <v>39.3581</v>
      </c>
      <c r="E354">
        <v>-59.1</v>
      </c>
      <c r="F354">
        <v>-81.900000000000006</v>
      </c>
      <c r="G354">
        <v>-33.5</v>
      </c>
      <c r="H354">
        <v>98.5</v>
      </c>
      <c r="I354">
        <v>96.6</v>
      </c>
      <c r="J354">
        <v>109.3</v>
      </c>
      <c r="K354">
        <v>0.18</v>
      </c>
      <c r="L354">
        <v>0.15</v>
      </c>
      <c r="M354">
        <v>0.26</v>
      </c>
      <c r="N354">
        <v>0.68</v>
      </c>
      <c r="O354">
        <v>44</v>
      </c>
      <c r="P354">
        <v>42.1</v>
      </c>
      <c r="Q354">
        <v>45.6</v>
      </c>
      <c r="R354">
        <v>58.8</v>
      </c>
      <c r="S354">
        <v>56.8</v>
      </c>
      <c r="T354">
        <v>60.9</v>
      </c>
    </row>
    <row r="355" spans="1:20" x14ac:dyDescent="0.2">
      <c r="A355" t="s">
        <v>280</v>
      </c>
      <c r="B355">
        <v>5.8999999999999997E-2</v>
      </c>
      <c r="C355" s="1">
        <v>338.9221</v>
      </c>
      <c r="D355" s="1">
        <v>1.4866999999999999</v>
      </c>
      <c r="E355">
        <v>2.6</v>
      </c>
      <c r="F355">
        <v>-25.8</v>
      </c>
      <c r="G355">
        <v>17.399999999999999</v>
      </c>
      <c r="H355">
        <v>196</v>
      </c>
      <c r="I355">
        <v>184.5</v>
      </c>
      <c r="J355">
        <v>208.6</v>
      </c>
      <c r="K355">
        <v>0.73</v>
      </c>
      <c r="L355">
        <v>0.59</v>
      </c>
      <c r="M355">
        <v>0.83</v>
      </c>
      <c r="N355">
        <v>0.59</v>
      </c>
      <c r="O355">
        <v>39</v>
      </c>
      <c r="P355">
        <v>31.7</v>
      </c>
      <c r="Q355">
        <v>45.8</v>
      </c>
      <c r="R355">
        <v>63.6</v>
      </c>
      <c r="S355">
        <v>57.6</v>
      </c>
      <c r="T355">
        <v>70</v>
      </c>
    </row>
    <row r="356" spans="1:20" x14ac:dyDescent="0.2">
      <c r="A356" t="s">
        <v>695</v>
      </c>
      <c r="B356">
        <v>2.1499999999999998E-2</v>
      </c>
      <c r="C356" s="1">
        <v>338.99959999999999</v>
      </c>
      <c r="D356" s="1">
        <v>33.972099999999998</v>
      </c>
      <c r="E356">
        <v>4.2</v>
      </c>
      <c r="F356">
        <v>3.5</v>
      </c>
      <c r="G356">
        <v>5.3</v>
      </c>
      <c r="H356">
        <v>88.7</v>
      </c>
      <c r="I356">
        <v>75.3</v>
      </c>
      <c r="J356">
        <v>137.69999999999999</v>
      </c>
      <c r="K356">
        <v>1.22</v>
      </c>
      <c r="L356">
        <v>1.08</v>
      </c>
      <c r="M356">
        <v>1.59</v>
      </c>
      <c r="N356">
        <v>0.76</v>
      </c>
      <c r="O356">
        <v>9.1</v>
      </c>
      <c r="P356">
        <v>8.3000000000000007</v>
      </c>
      <c r="Q356">
        <v>9.9</v>
      </c>
      <c r="R356">
        <v>15.9</v>
      </c>
      <c r="S356">
        <v>14.9</v>
      </c>
      <c r="T356">
        <v>16.7</v>
      </c>
    </row>
    <row r="357" spans="1:20" x14ac:dyDescent="0.2">
      <c r="A357" t="s">
        <v>282</v>
      </c>
      <c r="B357">
        <v>0.192</v>
      </c>
      <c r="C357" s="1">
        <v>340.66469999999998</v>
      </c>
      <c r="D357" s="1">
        <v>52.995800000000003</v>
      </c>
      <c r="E357">
        <v>-237.4</v>
      </c>
      <c r="F357">
        <v>-190.3</v>
      </c>
      <c r="G357">
        <v>80.2</v>
      </c>
      <c r="H357">
        <v>448.4</v>
      </c>
      <c r="I357">
        <v>400.1</v>
      </c>
      <c r="J357">
        <v>452.2</v>
      </c>
      <c r="K357">
        <v>0.31</v>
      </c>
      <c r="L357">
        <v>0.33</v>
      </c>
      <c r="M357">
        <v>0.66</v>
      </c>
      <c r="N357">
        <v>0.41</v>
      </c>
      <c r="O357">
        <v>127.4</v>
      </c>
      <c r="P357">
        <v>94</v>
      </c>
      <c r="Q357">
        <v>159.1</v>
      </c>
      <c r="R357">
        <v>186.7</v>
      </c>
      <c r="S357">
        <v>161.9</v>
      </c>
      <c r="T357">
        <v>211.3</v>
      </c>
    </row>
    <row r="358" spans="1:20" x14ac:dyDescent="0.2">
      <c r="A358" t="s">
        <v>284</v>
      </c>
      <c r="B358">
        <v>0.30399999999999999</v>
      </c>
      <c r="C358" s="1">
        <v>341.26920000000001</v>
      </c>
      <c r="D358" s="1">
        <v>26.634799999999998</v>
      </c>
      <c r="E358">
        <v>24.1</v>
      </c>
      <c r="F358">
        <v>14.7</v>
      </c>
      <c r="G358">
        <v>30.3</v>
      </c>
      <c r="H358">
        <v>137.1</v>
      </c>
      <c r="I358">
        <v>128.5</v>
      </c>
      <c r="J358">
        <v>148.4</v>
      </c>
      <c r="K358">
        <v>1.18</v>
      </c>
      <c r="L358">
        <v>1.01</v>
      </c>
      <c r="M358">
        <v>1.29</v>
      </c>
      <c r="N358">
        <v>0.06</v>
      </c>
      <c r="O358">
        <v>31.3</v>
      </c>
      <c r="P358">
        <v>26</v>
      </c>
      <c r="Q358">
        <v>36.4</v>
      </c>
      <c r="R358">
        <v>41.5</v>
      </c>
      <c r="S358">
        <v>37.299999999999997</v>
      </c>
      <c r="T358">
        <v>45.7</v>
      </c>
    </row>
    <row r="359" spans="1:20" x14ac:dyDescent="0.2">
      <c r="A359" t="s">
        <v>285</v>
      </c>
      <c r="B359">
        <v>9.7000000000000003E-2</v>
      </c>
      <c r="C359" s="1">
        <v>341.61169999999998</v>
      </c>
      <c r="D359" s="1">
        <v>-52.739800000000002</v>
      </c>
      <c r="E359">
        <v>400.3</v>
      </c>
      <c r="F359">
        <v>257.10000000000002</v>
      </c>
      <c r="G359">
        <v>391.5</v>
      </c>
      <c r="H359">
        <v>416</v>
      </c>
      <c r="I359">
        <v>352.1</v>
      </c>
      <c r="J359">
        <v>437.1</v>
      </c>
      <c r="K359">
        <v>1.98</v>
      </c>
      <c r="L359">
        <v>0.83</v>
      </c>
      <c r="M359">
        <v>1.53</v>
      </c>
      <c r="N359">
        <v>0.67</v>
      </c>
      <c r="O359">
        <v>327.3</v>
      </c>
      <c r="P359">
        <v>271.8</v>
      </c>
      <c r="Q359">
        <v>396.3</v>
      </c>
      <c r="R359">
        <v>334.5</v>
      </c>
      <c r="S359">
        <v>282.5</v>
      </c>
      <c r="T359">
        <v>398.4</v>
      </c>
    </row>
    <row r="360" spans="1:20" x14ac:dyDescent="0.2">
      <c r="A360" t="s">
        <v>699</v>
      </c>
      <c r="B360">
        <v>0.247</v>
      </c>
      <c r="C360" s="1">
        <v>342.12909999999999</v>
      </c>
      <c r="D360" s="1">
        <v>-16.107900000000001</v>
      </c>
      <c r="E360">
        <v>80.7</v>
      </c>
      <c r="F360">
        <v>0.1</v>
      </c>
      <c r="G360">
        <v>100</v>
      </c>
      <c r="H360">
        <v>196</v>
      </c>
      <c r="I360">
        <v>182</v>
      </c>
      <c r="J360">
        <v>223.4</v>
      </c>
      <c r="K360">
        <v>1.01</v>
      </c>
      <c r="L360">
        <v>0.63</v>
      </c>
      <c r="M360">
        <v>1.1299999999999999</v>
      </c>
      <c r="N360">
        <v>0.14000000000000001</v>
      </c>
      <c r="O360">
        <v>80.8</v>
      </c>
      <c r="P360">
        <v>49</v>
      </c>
      <c r="Q360">
        <v>109.3</v>
      </c>
      <c r="R360">
        <v>97.9</v>
      </c>
      <c r="S360">
        <v>74.3</v>
      </c>
      <c r="T360">
        <v>119.9</v>
      </c>
    </row>
    <row r="361" spans="1:20" x14ac:dyDescent="0.2">
      <c r="A361" t="s">
        <v>286</v>
      </c>
      <c r="B361">
        <v>0.34699999999999998</v>
      </c>
      <c r="C361" s="1">
        <v>342.18349999999998</v>
      </c>
      <c r="D361" s="1">
        <v>-44.5304</v>
      </c>
      <c r="E361">
        <v>131.6</v>
      </c>
      <c r="F361">
        <v>111.5</v>
      </c>
      <c r="G361">
        <v>147.30000000000001</v>
      </c>
      <c r="H361">
        <v>195.9</v>
      </c>
      <c r="I361">
        <v>186.6</v>
      </c>
      <c r="J361">
        <v>205.9</v>
      </c>
      <c r="K361">
        <v>1.46</v>
      </c>
      <c r="L361">
        <v>1.32</v>
      </c>
      <c r="M361">
        <v>1.6</v>
      </c>
      <c r="N361">
        <v>0.43</v>
      </c>
      <c r="O361">
        <v>133</v>
      </c>
      <c r="P361">
        <v>115.2</v>
      </c>
      <c r="Q361">
        <v>148.80000000000001</v>
      </c>
      <c r="R361">
        <v>137.19999999999999</v>
      </c>
      <c r="S361">
        <v>120.6</v>
      </c>
      <c r="T361">
        <v>151.6</v>
      </c>
    </row>
    <row r="362" spans="1:20" x14ac:dyDescent="0.2">
      <c r="A362" t="s">
        <v>287</v>
      </c>
      <c r="B362">
        <v>9.2999999999999999E-2</v>
      </c>
      <c r="C362" s="1">
        <v>342.48610000000002</v>
      </c>
      <c r="D362" s="1">
        <v>-64.430199999999999</v>
      </c>
      <c r="E362">
        <v>86.2</v>
      </c>
      <c r="F362">
        <v>55.2</v>
      </c>
      <c r="G362">
        <v>105.9</v>
      </c>
      <c r="H362">
        <v>235.5</v>
      </c>
      <c r="I362">
        <v>228.5</v>
      </c>
      <c r="J362">
        <v>247.1</v>
      </c>
      <c r="K362">
        <v>0.87</v>
      </c>
      <c r="L362">
        <v>0.75</v>
      </c>
      <c r="M362">
        <v>0.96</v>
      </c>
      <c r="N362">
        <v>2.0099999999999998</v>
      </c>
      <c r="O362">
        <v>103.5</v>
      </c>
      <c r="P362">
        <v>87.9</v>
      </c>
      <c r="Q362">
        <v>120.2</v>
      </c>
      <c r="R362">
        <v>121.7</v>
      </c>
      <c r="S362">
        <v>108.6</v>
      </c>
      <c r="T362">
        <v>134.69999999999999</v>
      </c>
    </row>
    <row r="363" spans="1:20" x14ac:dyDescent="0.2">
      <c r="A363" t="s">
        <v>288</v>
      </c>
      <c r="B363">
        <v>0.19600000000000001</v>
      </c>
      <c r="C363" s="1">
        <v>344.21940000000001</v>
      </c>
      <c r="D363" s="1">
        <v>5.5045999999999999</v>
      </c>
      <c r="E363">
        <v>219.4</v>
      </c>
      <c r="F363">
        <v>174.5</v>
      </c>
      <c r="G363">
        <v>246.7</v>
      </c>
      <c r="H363">
        <v>241.9</v>
      </c>
      <c r="I363">
        <v>212.4</v>
      </c>
      <c r="J363">
        <v>275</v>
      </c>
      <c r="K363">
        <v>2.06</v>
      </c>
      <c r="L363">
        <v>1.47</v>
      </c>
      <c r="M363">
        <v>2.1800000000000002</v>
      </c>
      <c r="N363">
        <v>0.47</v>
      </c>
      <c r="O363">
        <v>207.3</v>
      </c>
      <c r="P363">
        <v>175.1</v>
      </c>
      <c r="Q363">
        <v>247.6</v>
      </c>
      <c r="R363">
        <v>209.4</v>
      </c>
      <c r="S363">
        <v>178.4</v>
      </c>
      <c r="T363">
        <v>248.3</v>
      </c>
    </row>
    <row r="364" spans="1:20" x14ac:dyDescent="0.2">
      <c r="A364" t="s">
        <v>290</v>
      </c>
      <c r="B364">
        <v>0.29499999999999998</v>
      </c>
      <c r="C364" s="1">
        <v>347.09289999999999</v>
      </c>
      <c r="D364" s="1">
        <v>-2.1916000000000002</v>
      </c>
      <c r="E364">
        <v>56.2</v>
      </c>
      <c r="F364">
        <v>34.799999999999997</v>
      </c>
      <c r="G364">
        <v>72.5</v>
      </c>
      <c r="H364">
        <v>199.7</v>
      </c>
      <c r="I364">
        <v>188.3</v>
      </c>
      <c r="J364">
        <v>209.8</v>
      </c>
      <c r="K364">
        <v>0.82</v>
      </c>
      <c r="L364">
        <v>0.72</v>
      </c>
      <c r="M364">
        <v>0.91</v>
      </c>
      <c r="N364">
        <v>1.28</v>
      </c>
      <c r="O364">
        <v>77</v>
      </c>
      <c r="P364">
        <v>65.099999999999994</v>
      </c>
      <c r="Q364">
        <v>89.1</v>
      </c>
      <c r="R364">
        <v>94.2</v>
      </c>
      <c r="S364">
        <v>84.3</v>
      </c>
      <c r="T364">
        <v>103.7</v>
      </c>
    </row>
    <row r="365" spans="1:20" x14ac:dyDescent="0.2">
      <c r="A365" t="s">
        <v>291</v>
      </c>
      <c r="B365">
        <v>0.3</v>
      </c>
      <c r="C365" s="1">
        <v>347.88850000000002</v>
      </c>
      <c r="D365" s="1">
        <v>3.6353</v>
      </c>
      <c r="E365">
        <v>-31.6</v>
      </c>
      <c r="F365">
        <v>-39.4</v>
      </c>
      <c r="G365">
        <v>-27.4</v>
      </c>
      <c r="H365">
        <v>134.9</v>
      </c>
      <c r="I365">
        <v>128.19999999999999</v>
      </c>
      <c r="J365">
        <v>144.1</v>
      </c>
      <c r="K365">
        <v>1.1000000000000001</v>
      </c>
      <c r="L365">
        <v>1.03</v>
      </c>
      <c r="M365">
        <v>1.1499999999999999</v>
      </c>
      <c r="N365">
        <v>2.2000000000000002</v>
      </c>
      <c r="O365">
        <v>-19.2</v>
      </c>
      <c r="P365">
        <v>-22.6</v>
      </c>
      <c r="Q365">
        <v>-16.100000000000001</v>
      </c>
      <c r="R365">
        <v>-3.5</v>
      </c>
      <c r="S365">
        <v>-5.0999999999999996</v>
      </c>
      <c r="T365">
        <v>-2.1</v>
      </c>
    </row>
    <row r="366" spans="1:20" x14ac:dyDescent="0.2">
      <c r="A366" t="s">
        <v>292</v>
      </c>
      <c r="B366">
        <v>0.123</v>
      </c>
      <c r="C366" s="1">
        <v>347.89929999999998</v>
      </c>
      <c r="D366" s="1">
        <v>-21.746200000000002</v>
      </c>
      <c r="E366">
        <v>7.4</v>
      </c>
      <c r="F366">
        <v>5.0999999999999996</v>
      </c>
      <c r="G366">
        <v>10.1</v>
      </c>
      <c r="H366">
        <v>115.3</v>
      </c>
      <c r="I366">
        <v>110.5</v>
      </c>
      <c r="J366">
        <v>118.1</v>
      </c>
      <c r="K366">
        <v>0.91</v>
      </c>
      <c r="L366">
        <v>0.84</v>
      </c>
      <c r="M366">
        <v>0.99</v>
      </c>
      <c r="N366">
        <v>0.25</v>
      </c>
      <c r="O366">
        <v>20.8</v>
      </c>
      <c r="P366">
        <v>19.8</v>
      </c>
      <c r="Q366">
        <v>21.7</v>
      </c>
      <c r="R366">
        <v>32.299999999999997</v>
      </c>
      <c r="S366">
        <v>30.7</v>
      </c>
      <c r="T366">
        <v>33.9</v>
      </c>
    </row>
    <row r="367" spans="1:20" x14ac:dyDescent="0.2">
      <c r="A367" t="s">
        <v>293</v>
      </c>
      <c r="B367">
        <v>8.6999999999999994E-2</v>
      </c>
      <c r="C367" s="1">
        <v>348.25560000000002</v>
      </c>
      <c r="D367" s="1">
        <v>-21.634399999999999</v>
      </c>
      <c r="E367">
        <v>12.1</v>
      </c>
      <c r="F367">
        <v>10.6</v>
      </c>
      <c r="G367">
        <v>14.7</v>
      </c>
      <c r="H367">
        <v>137.30000000000001</v>
      </c>
      <c r="I367">
        <v>132.19999999999999</v>
      </c>
      <c r="J367">
        <v>141.19999999999999</v>
      </c>
      <c r="K367">
        <v>1.08</v>
      </c>
      <c r="L367">
        <v>1.04</v>
      </c>
      <c r="M367">
        <v>1.1599999999999999</v>
      </c>
      <c r="N367">
        <v>1.71</v>
      </c>
      <c r="O367">
        <v>22.7</v>
      </c>
      <c r="P367">
        <v>21.5</v>
      </c>
      <c r="Q367">
        <v>23.8</v>
      </c>
      <c r="R367">
        <v>33.9</v>
      </c>
      <c r="S367">
        <v>32.200000000000003</v>
      </c>
      <c r="T367">
        <v>35.6</v>
      </c>
    </row>
    <row r="368" spans="1:20" x14ac:dyDescent="0.2">
      <c r="A368" t="s">
        <v>294</v>
      </c>
      <c r="B368">
        <v>5.8000000000000003E-2</v>
      </c>
      <c r="C368" s="1">
        <v>348.49459999999999</v>
      </c>
      <c r="D368" s="1">
        <v>-42.725299999999997</v>
      </c>
      <c r="E368">
        <v>11.6</v>
      </c>
      <c r="F368">
        <v>10.9</v>
      </c>
      <c r="G368">
        <v>12.2</v>
      </c>
      <c r="H368">
        <v>90</v>
      </c>
      <c r="I368">
        <v>88.8</v>
      </c>
      <c r="J368">
        <v>91.5</v>
      </c>
      <c r="K368">
        <v>1.1299999999999999</v>
      </c>
      <c r="L368">
        <v>1.1000000000000001</v>
      </c>
      <c r="M368">
        <v>1.1599999999999999</v>
      </c>
      <c r="N368">
        <v>5.08</v>
      </c>
      <c r="O368">
        <v>17.399999999999999</v>
      </c>
      <c r="P368">
        <v>17</v>
      </c>
      <c r="Q368">
        <v>17.8</v>
      </c>
      <c r="R368">
        <v>24.3</v>
      </c>
      <c r="S368">
        <v>24</v>
      </c>
      <c r="T368">
        <v>24.7</v>
      </c>
    </row>
    <row r="369" spans="1:20" x14ac:dyDescent="0.2">
      <c r="A369" t="s">
        <v>704</v>
      </c>
      <c r="B369">
        <v>1.7399999999999999E-2</v>
      </c>
      <c r="C369" s="1">
        <v>349.65960000000001</v>
      </c>
      <c r="D369" s="1">
        <v>42.958100000000002</v>
      </c>
      <c r="E369">
        <v>4.3</v>
      </c>
      <c r="F369">
        <v>3.9</v>
      </c>
      <c r="G369">
        <v>5</v>
      </c>
      <c r="H369">
        <v>140.1</v>
      </c>
      <c r="I369">
        <v>133.1</v>
      </c>
      <c r="J369">
        <v>151</v>
      </c>
      <c r="K369">
        <v>1.1599999999999999</v>
      </c>
      <c r="L369">
        <v>1.1200000000000001</v>
      </c>
      <c r="M369">
        <v>1.23</v>
      </c>
      <c r="N369">
        <v>3.02</v>
      </c>
      <c r="O369">
        <v>13.7</v>
      </c>
      <c r="P369">
        <v>13.3</v>
      </c>
      <c r="Q369">
        <v>14</v>
      </c>
      <c r="R369">
        <v>25.3</v>
      </c>
      <c r="S369">
        <v>24.7</v>
      </c>
      <c r="T369">
        <v>25.9</v>
      </c>
    </row>
    <row r="370" spans="1:20" x14ac:dyDescent="0.2">
      <c r="A370" t="s">
        <v>705</v>
      </c>
      <c r="B370">
        <v>1.7299999999999999E-2</v>
      </c>
      <c r="C370" s="1">
        <v>349.95010000000002</v>
      </c>
      <c r="D370" s="1">
        <v>42.853200000000001</v>
      </c>
      <c r="E370">
        <v>1.4</v>
      </c>
      <c r="F370">
        <v>1</v>
      </c>
      <c r="G370">
        <v>1.8</v>
      </c>
      <c r="H370">
        <v>94.4</v>
      </c>
      <c r="I370">
        <v>86.5</v>
      </c>
      <c r="J370">
        <v>105.1</v>
      </c>
      <c r="K370">
        <v>0.91</v>
      </c>
      <c r="L370">
        <v>0.86</v>
      </c>
      <c r="M370">
        <v>0.99</v>
      </c>
      <c r="N370">
        <v>0.93</v>
      </c>
      <c r="O370">
        <v>12.6</v>
      </c>
      <c r="P370">
        <v>12</v>
      </c>
      <c r="Q370">
        <v>13.2</v>
      </c>
      <c r="R370">
        <v>22.6</v>
      </c>
      <c r="S370">
        <v>21.9</v>
      </c>
      <c r="T370">
        <v>23.5</v>
      </c>
    </row>
    <row r="371" spans="1:20" x14ac:dyDescent="0.2">
      <c r="A371" t="s">
        <v>706</v>
      </c>
      <c r="B371">
        <v>4.1399999999999999E-2</v>
      </c>
      <c r="C371" s="1">
        <v>350.98939999999999</v>
      </c>
      <c r="D371" s="1">
        <v>16.777200000000001</v>
      </c>
      <c r="E371">
        <v>-7.7</v>
      </c>
      <c r="F371">
        <v>-19.8</v>
      </c>
      <c r="G371">
        <v>0.5</v>
      </c>
      <c r="H371">
        <v>177.3</v>
      </c>
      <c r="I371">
        <v>174.2</v>
      </c>
      <c r="J371">
        <v>179.8</v>
      </c>
      <c r="K371">
        <v>0.43</v>
      </c>
      <c r="L371">
        <v>0.38</v>
      </c>
      <c r="M371">
        <v>0.48</v>
      </c>
      <c r="N371">
        <v>2.06</v>
      </c>
      <c r="O371">
        <v>61.1</v>
      </c>
      <c r="P371">
        <v>58.8</v>
      </c>
      <c r="Q371">
        <v>63.6</v>
      </c>
      <c r="R371">
        <v>85</v>
      </c>
      <c r="S371">
        <v>82.3</v>
      </c>
      <c r="T371">
        <v>87.8</v>
      </c>
    </row>
    <row r="372" spans="1:20" x14ac:dyDescent="0.2">
      <c r="A372" t="s">
        <v>296</v>
      </c>
      <c r="B372">
        <v>8.5000000000000006E-2</v>
      </c>
      <c r="C372" s="1">
        <v>351.33260000000001</v>
      </c>
      <c r="D372" s="1">
        <v>-12.1242</v>
      </c>
      <c r="E372">
        <v>9.9</v>
      </c>
      <c r="F372">
        <v>9.4</v>
      </c>
      <c r="G372">
        <v>10.3</v>
      </c>
      <c r="H372">
        <v>110.6</v>
      </c>
      <c r="I372">
        <v>109.4</v>
      </c>
      <c r="J372">
        <v>112.1</v>
      </c>
      <c r="K372">
        <v>1.22</v>
      </c>
      <c r="L372">
        <v>1.2</v>
      </c>
      <c r="M372">
        <v>1.24</v>
      </c>
      <c r="N372">
        <v>3.8</v>
      </c>
      <c r="O372">
        <v>16</v>
      </c>
      <c r="P372">
        <v>15.7</v>
      </c>
      <c r="Q372">
        <v>16.2</v>
      </c>
      <c r="R372">
        <v>24.1</v>
      </c>
      <c r="S372">
        <v>23.8</v>
      </c>
      <c r="T372">
        <v>24.3</v>
      </c>
    </row>
    <row r="373" spans="1:20" x14ac:dyDescent="0.2">
      <c r="A373" t="s">
        <v>709</v>
      </c>
      <c r="B373">
        <v>5.5E-2</v>
      </c>
      <c r="C373" s="1">
        <v>354.12670000000003</v>
      </c>
      <c r="D373" s="1">
        <v>21.146799999999999</v>
      </c>
      <c r="E373">
        <v>13</v>
      </c>
      <c r="F373">
        <v>9.5</v>
      </c>
      <c r="G373">
        <v>16.7</v>
      </c>
      <c r="H373">
        <v>137.69999999999999</v>
      </c>
      <c r="I373">
        <v>132.30000000000001</v>
      </c>
      <c r="J373">
        <v>143.19999999999999</v>
      </c>
      <c r="K373">
        <v>0.83</v>
      </c>
      <c r="L373">
        <v>0.77</v>
      </c>
      <c r="M373">
        <v>0.92</v>
      </c>
      <c r="N373">
        <v>1.97</v>
      </c>
      <c r="O373">
        <v>31.3</v>
      </c>
      <c r="P373">
        <v>29.5</v>
      </c>
      <c r="Q373">
        <v>33.1</v>
      </c>
      <c r="R373">
        <v>45.4</v>
      </c>
      <c r="S373">
        <v>43.3</v>
      </c>
      <c r="T373">
        <v>47.6</v>
      </c>
    </row>
    <row r="374" spans="1:20" x14ac:dyDescent="0.2">
      <c r="A374" t="s">
        <v>712</v>
      </c>
      <c r="B374">
        <v>0.27300000000000002</v>
      </c>
      <c r="C374" s="1">
        <v>354.40820000000002</v>
      </c>
      <c r="D374" s="1">
        <v>0.26719999999999999</v>
      </c>
      <c r="E374">
        <v>195.1</v>
      </c>
      <c r="F374">
        <v>-31.9</v>
      </c>
      <c r="G374">
        <v>352.3</v>
      </c>
      <c r="H374">
        <v>288</v>
      </c>
      <c r="I374">
        <v>275.89999999999998</v>
      </c>
      <c r="J374">
        <v>346.1</v>
      </c>
      <c r="K374">
        <v>1.01</v>
      </c>
      <c r="L374">
        <v>0.1</v>
      </c>
      <c r="M374">
        <v>1.37</v>
      </c>
      <c r="N374">
        <v>0.25</v>
      </c>
      <c r="O374">
        <v>163.5</v>
      </c>
      <c r="P374">
        <v>84.5</v>
      </c>
      <c r="Q374">
        <v>270.39999999999998</v>
      </c>
      <c r="R374">
        <v>204.4</v>
      </c>
      <c r="S374">
        <v>137.80000000000001</v>
      </c>
      <c r="T374">
        <v>276.60000000000002</v>
      </c>
    </row>
    <row r="375" spans="1:20" x14ac:dyDescent="0.2">
      <c r="A375" t="s">
        <v>300</v>
      </c>
      <c r="B375">
        <v>7.9000000000000001E-2</v>
      </c>
      <c r="C375" s="1">
        <v>356.07690000000002</v>
      </c>
      <c r="D375" s="1">
        <v>-4.3815999999999997</v>
      </c>
      <c r="E375">
        <v>130.5</v>
      </c>
      <c r="F375">
        <v>109.6</v>
      </c>
      <c r="G375">
        <v>146.6</v>
      </c>
      <c r="H375">
        <v>187.5</v>
      </c>
      <c r="I375">
        <v>177.9</v>
      </c>
      <c r="J375">
        <v>199.4</v>
      </c>
      <c r="K375">
        <v>1.33</v>
      </c>
      <c r="L375">
        <v>1.0900000000000001</v>
      </c>
      <c r="M375">
        <v>1.56</v>
      </c>
      <c r="N375">
        <v>0.87</v>
      </c>
      <c r="O375">
        <v>131.69999999999999</v>
      </c>
      <c r="P375">
        <v>115.1</v>
      </c>
      <c r="Q375">
        <v>148.6</v>
      </c>
      <c r="R375">
        <v>136.5</v>
      </c>
      <c r="S375">
        <v>121.9</v>
      </c>
      <c r="T375">
        <v>151.1</v>
      </c>
    </row>
    <row r="376" spans="1:20" x14ac:dyDescent="0.2">
      <c r="A376" t="s">
        <v>716</v>
      </c>
      <c r="B376">
        <v>0.04</v>
      </c>
      <c r="C376" s="1">
        <v>356.2389</v>
      </c>
      <c r="D376" s="1">
        <v>9.1920999999999999</v>
      </c>
      <c r="E376">
        <v>55</v>
      </c>
      <c r="F376">
        <v>40.799999999999997</v>
      </c>
      <c r="G376">
        <v>66.900000000000006</v>
      </c>
      <c r="H376">
        <v>161</v>
      </c>
      <c r="I376">
        <v>154.6</v>
      </c>
      <c r="J376">
        <v>167.2</v>
      </c>
      <c r="K376">
        <v>0.93</v>
      </c>
      <c r="L376">
        <v>0.78</v>
      </c>
      <c r="M376">
        <v>1.08</v>
      </c>
      <c r="N376">
        <v>2.44</v>
      </c>
      <c r="O376">
        <v>67.599999999999994</v>
      </c>
      <c r="P376">
        <v>60.4</v>
      </c>
      <c r="Q376">
        <v>75.099999999999994</v>
      </c>
      <c r="R376">
        <v>79.400000000000006</v>
      </c>
      <c r="S376">
        <v>74.3</v>
      </c>
      <c r="T376">
        <v>84.5</v>
      </c>
    </row>
    <row r="377" spans="1:20" x14ac:dyDescent="0.2">
      <c r="A377" t="s">
        <v>718</v>
      </c>
      <c r="B377">
        <v>2.1999999999999999E-2</v>
      </c>
      <c r="C377" s="1">
        <v>356.84589999999997</v>
      </c>
      <c r="D377" s="1">
        <v>-2.3005</v>
      </c>
      <c r="E377">
        <v>4.7</v>
      </c>
      <c r="F377">
        <v>2.4</v>
      </c>
      <c r="G377">
        <v>6.4</v>
      </c>
      <c r="H377">
        <v>85.3</v>
      </c>
      <c r="I377">
        <v>77.400000000000006</v>
      </c>
      <c r="J377">
        <v>91.8</v>
      </c>
      <c r="K377">
        <v>0.83</v>
      </c>
      <c r="L377">
        <v>0.72</v>
      </c>
      <c r="M377">
        <v>0.93</v>
      </c>
      <c r="N377">
        <v>0.37</v>
      </c>
      <c r="O377">
        <v>16.899999999999999</v>
      </c>
      <c r="P377">
        <v>15.9</v>
      </c>
      <c r="Q377">
        <v>17.7</v>
      </c>
      <c r="R377">
        <v>26.1</v>
      </c>
      <c r="S377">
        <v>24.9</v>
      </c>
      <c r="T377">
        <v>27.3</v>
      </c>
    </row>
    <row r="378" spans="1:20" x14ac:dyDescent="0.2">
      <c r="A378" t="s">
        <v>719</v>
      </c>
      <c r="B378">
        <v>2.8000000000000001E-2</v>
      </c>
      <c r="C378" s="1">
        <v>356.93740000000003</v>
      </c>
      <c r="D378" s="1">
        <v>-28.140599999999999</v>
      </c>
      <c r="E378">
        <v>24.7</v>
      </c>
      <c r="F378">
        <v>19.2</v>
      </c>
      <c r="G378">
        <v>29.1</v>
      </c>
      <c r="H378">
        <v>136.80000000000001</v>
      </c>
      <c r="I378">
        <v>133.4</v>
      </c>
      <c r="J378">
        <v>139.6</v>
      </c>
      <c r="K378">
        <v>0.86</v>
      </c>
      <c r="L378">
        <v>0.78</v>
      </c>
      <c r="M378">
        <v>0.92</v>
      </c>
      <c r="N378">
        <v>5.05</v>
      </c>
      <c r="O378">
        <v>40.200000000000003</v>
      </c>
      <c r="P378">
        <v>37.799999999999997</v>
      </c>
      <c r="Q378">
        <v>42.4</v>
      </c>
      <c r="R378">
        <v>52.9</v>
      </c>
      <c r="S378">
        <v>51.2</v>
      </c>
      <c r="T378">
        <v>54.6</v>
      </c>
    </row>
    <row r="379" spans="1:20" x14ac:dyDescent="0.2">
      <c r="A379" t="s">
        <v>303</v>
      </c>
      <c r="B379">
        <v>0.23</v>
      </c>
      <c r="C379" s="1">
        <v>357.91410000000002</v>
      </c>
      <c r="D379" s="1">
        <v>-26.0837</v>
      </c>
      <c r="E379">
        <v>20.399999999999999</v>
      </c>
      <c r="F379">
        <v>16</v>
      </c>
      <c r="G379">
        <v>22.4</v>
      </c>
      <c r="H379">
        <v>113.1</v>
      </c>
      <c r="I379">
        <v>108.8</v>
      </c>
      <c r="J379">
        <v>121.1</v>
      </c>
      <c r="K379">
        <v>1.28</v>
      </c>
      <c r="L379">
        <v>1.17</v>
      </c>
      <c r="M379">
        <v>1.32</v>
      </c>
      <c r="N379">
        <v>0.63</v>
      </c>
      <c r="O379">
        <v>24.8</v>
      </c>
      <c r="P379">
        <v>22.4</v>
      </c>
      <c r="Q379">
        <v>27.2</v>
      </c>
      <c r="R379">
        <v>32.299999999999997</v>
      </c>
      <c r="S379">
        <v>30.1</v>
      </c>
      <c r="T379">
        <v>34.5</v>
      </c>
    </row>
    <row r="380" spans="1:20" x14ac:dyDescent="0.2">
      <c r="A380" t="s">
        <v>304</v>
      </c>
      <c r="B380">
        <v>7.5999999999999998E-2</v>
      </c>
      <c r="C380" s="1">
        <v>358.55709999999999</v>
      </c>
      <c r="D380" s="1">
        <v>-10.4192</v>
      </c>
      <c r="E380">
        <v>30.1</v>
      </c>
      <c r="F380">
        <v>19.8</v>
      </c>
      <c r="G380">
        <v>35.799999999999997</v>
      </c>
      <c r="H380">
        <v>126.8</v>
      </c>
      <c r="I380">
        <v>122.6</v>
      </c>
      <c r="J380">
        <v>132.5</v>
      </c>
      <c r="K380">
        <v>0.87</v>
      </c>
      <c r="L380">
        <v>0.68</v>
      </c>
      <c r="M380">
        <v>0.98</v>
      </c>
      <c r="N380">
        <v>3.05</v>
      </c>
      <c r="O380">
        <v>44.3</v>
      </c>
      <c r="P380">
        <v>40.4</v>
      </c>
      <c r="Q380">
        <v>48</v>
      </c>
      <c r="R380">
        <v>55.7</v>
      </c>
      <c r="S380">
        <v>51.4</v>
      </c>
      <c r="T380">
        <v>59.8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2F2F-839C-614F-8D98-F45B8F151F51}">
  <dimension ref="A1:O294"/>
  <sheetViews>
    <sheetView topLeftCell="D1" workbookViewId="0">
      <selection activeCell="P1" sqref="P1:Q104857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s="2" t="s">
        <v>8</v>
      </c>
      <c r="J1" t="s">
        <v>9</v>
      </c>
      <c r="K1" s="3" t="s">
        <v>10</v>
      </c>
      <c r="L1" s="4" t="s">
        <v>11</v>
      </c>
      <c r="M1" t="s">
        <v>12</v>
      </c>
      <c r="N1" t="s">
        <v>13</v>
      </c>
      <c r="O1" t="s">
        <v>14</v>
      </c>
    </row>
    <row r="2" spans="1:15" x14ac:dyDescent="0.2">
      <c r="C2" t="s">
        <v>316</v>
      </c>
      <c r="D2" t="s">
        <v>317</v>
      </c>
      <c r="E2" s="1"/>
      <c r="F2" s="1"/>
      <c r="I2" s="2"/>
      <c r="K2" s="3" t="s">
        <v>849</v>
      </c>
      <c r="L2" s="4" t="s">
        <v>849</v>
      </c>
      <c r="O2" t="s">
        <v>778</v>
      </c>
    </row>
    <row r="3" spans="1:15" x14ac:dyDescent="0.2">
      <c r="A3" t="s">
        <v>319</v>
      </c>
      <c r="B3" t="s">
        <v>307</v>
      </c>
      <c r="C3" t="s">
        <v>322</v>
      </c>
      <c r="D3" t="s">
        <v>322</v>
      </c>
      <c r="E3" s="1" t="s">
        <v>840</v>
      </c>
      <c r="F3" s="1" t="s">
        <v>838</v>
      </c>
      <c r="G3" t="s">
        <v>841</v>
      </c>
      <c r="H3" t="s">
        <v>839</v>
      </c>
      <c r="I3" s="2" t="s">
        <v>842</v>
      </c>
      <c r="J3" t="s">
        <v>843</v>
      </c>
      <c r="K3" s="3" t="s">
        <v>844</v>
      </c>
      <c r="L3" s="4" t="s">
        <v>845</v>
      </c>
      <c r="M3" t="s">
        <v>846</v>
      </c>
      <c r="N3" t="s">
        <v>847</v>
      </c>
      <c r="O3" t="s">
        <v>848</v>
      </c>
    </row>
    <row r="4" spans="1:15" x14ac:dyDescent="0.2">
      <c r="A4" s="8" t="s">
        <v>15</v>
      </c>
      <c r="B4" s="8" cm="1">
        <f t="array" aca="1" ref="B4" ca="1">_xlfn.XLOOKUP(A4,[1]Table2_V5_w3C28!A:A,[1]Table2_V5_w3C28!B:B,nan(),0)</f>
        <v>4.9000000000000002E-2</v>
      </c>
      <c r="C4" s="8" cm="1">
        <f t="array" aca="1" ref="C4" ca="1">_xlfn.XLOOKUP(A4,[1]Table2_V5_w3C28!A:A,[1]Table2_V5_w3C28!D:D,nan(),0)</f>
        <v>0.80400000000000005</v>
      </c>
      <c r="D4" s="8" cm="1">
        <f t="array" aca="1" ref="D4" ca="1">_xlfn.XLOOKUP(A4,[1]Table2_V5_w3C28!A:A,[1]Table2_V5_w3C28!E:E,nan(),0)</f>
        <v>-35.933399999999999</v>
      </c>
      <c r="E4" s="1">
        <f>_xlfn.XLOOKUP($A4,[1]Table7_badETA!$A:$A,[1]Table7_badETA!C:C,"-",0)</f>
        <v>0.10780000000000001</v>
      </c>
      <c r="F4" s="1">
        <f>_xlfn.XLOOKUP($A4,[1]Table7_badETA!$A:$A,[1]Table7_badETA!E:E,"-",0)</f>
        <v>1.6360000000000001E-3</v>
      </c>
      <c r="G4" s="5">
        <f>_xlfn.XLOOKUP($A4,[1]Table7_badETA!$A:$A,[1]Table7_badETA!F:F,"-",0)</f>
        <v>1.7E-6</v>
      </c>
      <c r="H4" s="6">
        <f>_xlfn.XLOOKUP($A4,[1]Table7_badETA!$A:$A,[1]Table7_badETA!H:H,"-",0)</f>
        <v>9.9699999999999999E-8</v>
      </c>
      <c r="I4" s="2">
        <f>_xlfn.XLOOKUP($A4,[1]Table7_badETA!$A:$A,[1]Table7_badETA!M:M,"-",0)</f>
        <v>0.80130000000000001</v>
      </c>
      <c r="J4" s="2">
        <f>_xlfn.XLOOKUP($A4,[1]Table7_badETA!$A:$A,[1]Table7_badETA!O:O,"-",0)</f>
        <v>5.7730000000000004E-3</v>
      </c>
      <c r="K4" s="2">
        <f>_xlfn.XLOOKUP($A4,[1]morph_04R500.dat!$A:$A,[1]morph_04R500.dat!P:P,"-",0)</f>
        <v>-14.74</v>
      </c>
      <c r="L4" s="2">
        <f>_xlfn.XLOOKUP($A4,[1]morph_04R500.dat!$A:$A,[1]morph_04R500.dat!R:R,"-",0)</f>
        <v>1.0089999999999999</v>
      </c>
      <c r="M4" s="2">
        <f>_xlfn.XLOOKUP($A4,[1]Table7_badETA!$A:$A,[1]Table7_badETA!T:T,"-",0)</f>
        <v>0.57547169811320753</v>
      </c>
      <c r="N4" s="2">
        <f>_xlfn.XLOOKUP($A4,[1]Table7_badETA!$A:$A,[1]Table7_badETA!U:U,"-",0)</f>
        <v>1.3236991236708278E-2</v>
      </c>
      <c r="O4" s="7">
        <f>_xlfn.XLOOKUP($A4,[1]Table7_badETA!$A:$A,[1]Table7_badETA!S:S,"-",0)</f>
        <v>306.77014000000003</v>
      </c>
    </row>
    <row r="5" spans="1:15" x14ac:dyDescent="0.2">
      <c r="A5" s="8" t="s">
        <v>16</v>
      </c>
      <c r="B5" s="8" cm="1">
        <f t="array" aca="1" ref="B5" ca="1">_xlfn.XLOOKUP(A5,[1]Table2_V5_w3C28!A:A,[1]Table2_V5_w3C28!B:B,nan(),0)</f>
        <v>0.104</v>
      </c>
      <c r="C5" s="8" cm="1">
        <f t="array" aca="1" ref="C5" ca="1">_xlfn.XLOOKUP(A5,[1]Table2_V5_w3C28!A:A,[1]Table2_V5_w3C28!D:D,nan(),0)</f>
        <v>2.8647</v>
      </c>
      <c r="D5" s="8" cm="1">
        <f t="array" aca="1" ref="D5" ca="1">_xlfn.XLOOKUP(A5,[1]Table2_V5_w3C28!A:A,[1]Table2_V5_w3C28!E:E,nan(),0)</f>
        <v>52.526499999999999</v>
      </c>
      <c r="E5" s="1">
        <f>_xlfn.XLOOKUP($A5,[1]Table7_badETA!$A:$A,[1]Table7_badETA!C:C,"-",0)</f>
        <v>0.20469999999999999</v>
      </c>
      <c r="F5" s="1">
        <f>_xlfn.XLOOKUP($A5,[1]Table7_badETA!$A:$A,[1]Table7_badETA!E:E,"-",0)</f>
        <v>1.0659999999999999E-2</v>
      </c>
      <c r="G5" s="5">
        <f>_xlfn.XLOOKUP($A5,[1]Table7_badETA!$A:$A,[1]Table7_badETA!F:F,"-",0)</f>
        <v>3.2399999999999999E-8</v>
      </c>
      <c r="H5" s="6">
        <f>_xlfn.XLOOKUP($A5,[1]Table7_badETA!$A:$A,[1]Table7_badETA!H:H,"-",0)</f>
        <v>3.9500000000000003E-8</v>
      </c>
      <c r="I5" s="2">
        <f>_xlfn.XLOOKUP($A5,[1]Table7_badETA!$A:$A,[1]Table7_badETA!M:M,"-",0)</f>
        <v>0.87170000000000003</v>
      </c>
      <c r="J5" s="2">
        <f>_xlfn.XLOOKUP($A5,[1]Table7_badETA!$A:$A,[1]Table7_badETA!O:O,"-",0)</f>
        <v>7.3740000000000003E-3</v>
      </c>
      <c r="K5" s="2">
        <f>_xlfn.XLOOKUP($A5,[1]morph_04R500.dat!$A:$A,[1]morph_04R500.dat!P:P,"-",0)</f>
        <v>74.94</v>
      </c>
      <c r="L5" s="2">
        <f>_xlfn.XLOOKUP($A5,[1]morph_04R500.dat!$A:$A,[1]morph_04R500.dat!R:R,"-",0)</f>
        <v>1.9219999999999999</v>
      </c>
      <c r="M5" s="2">
        <f>_xlfn.XLOOKUP($A5,[1]Table7_badETA!$A:$A,[1]Table7_badETA!T:T,"-",0)</f>
        <v>0.33352435530085961</v>
      </c>
      <c r="N5" s="2">
        <f>_xlfn.XLOOKUP($A5,[1]Table7_badETA!$A:$A,[1]Table7_badETA!U:U,"-",0)</f>
        <v>1.4732614082604118E-2</v>
      </c>
      <c r="O5" s="7">
        <f>_xlfn.XLOOKUP($A5,[1]Table7_badETA!$A:$A,[1]Table7_badETA!S:S,"-",0)</f>
        <v>415.46823000000001</v>
      </c>
    </row>
    <row r="6" spans="1:15" x14ac:dyDescent="0.2">
      <c r="A6" s="8" t="s">
        <v>17</v>
      </c>
      <c r="B6" s="8" cm="1">
        <f t="array" aca="1" ref="B6" ca="1">_xlfn.XLOOKUP(A6,[1]Table2_V5_w3C28!A:A,[1]Table2_V5_w3C28!B:B,nan(),0)</f>
        <v>0.378</v>
      </c>
      <c r="C6" s="8" cm="1">
        <f t="array" aca="1" ref="C6" ca="1">_xlfn.XLOOKUP(A6,[1]Table2_V5_w3C28!A:A,[1]Table2_V5_w3C28!D:D,nan(),0)</f>
        <v>2.9285999999999999</v>
      </c>
      <c r="D6" s="8" cm="1">
        <f t="array" aca="1" ref="D6" ca="1">_xlfn.XLOOKUP(A6,[1]Table2_V5_w3C28!A:A,[1]Table2_V5_w3C28!E:E,nan(),0)</f>
        <v>-15.389200000000001</v>
      </c>
      <c r="E6" s="1">
        <f>_xlfn.XLOOKUP($A6,[1]Table7_badETA!$A:$A,[1]Table7_badETA!C:C,"-",0)</f>
        <v>5.9540000000000003E-2</v>
      </c>
      <c r="F6" s="1">
        <f>_xlfn.XLOOKUP($A6,[1]Table7_badETA!$A:$A,[1]Table7_badETA!E:E,"-",0)</f>
        <v>1.213E-2</v>
      </c>
      <c r="G6" s="5">
        <f>_xlfn.XLOOKUP($A6,[1]Table7_badETA!$A:$A,[1]Table7_badETA!F:F,"-",0)</f>
        <v>3.7800000000000001E-8</v>
      </c>
      <c r="H6" s="6">
        <f>_xlfn.XLOOKUP($A6,[1]Table7_badETA!$A:$A,[1]Table7_badETA!H:H,"-",0)</f>
        <v>3.32E-8</v>
      </c>
      <c r="I6" s="2">
        <f>_xlfn.XLOOKUP($A6,[1]Table7_badETA!$A:$A,[1]Table7_badETA!M:M,"-",0)</f>
        <v>0.88170000000000004</v>
      </c>
      <c r="J6" s="2">
        <f>_xlfn.XLOOKUP($A6,[1]Table7_badETA!$A:$A,[1]Table7_badETA!O:O,"-",0)</f>
        <v>7.7380000000000001E-3</v>
      </c>
      <c r="K6" s="2">
        <f>_xlfn.XLOOKUP($A6,[1]morph_04R500.dat!$A:$A,[1]morph_04R500.dat!P:P,"-",0)</f>
        <v>-82.41</v>
      </c>
      <c r="L6" s="2">
        <f>_xlfn.XLOOKUP($A6,[1]morph_04R500.dat!$A:$A,[1]morph_04R500.dat!R:R,"-",0)</f>
        <v>2.105</v>
      </c>
      <c r="M6" s="2">
        <f>_xlfn.XLOOKUP($A6,[1]Table7_badETA!$A:$A,[1]Table7_badETA!T:T,"-",0)</f>
        <v>0.57946498819826908</v>
      </c>
      <c r="N6" s="2">
        <f>_xlfn.XLOOKUP($A6,[1]Table7_badETA!$A:$A,[1]Table7_badETA!U:U,"-",0)</f>
        <v>1.0733212052991917E-2</v>
      </c>
      <c r="O6" s="7">
        <f>_xlfn.XLOOKUP($A6,[1]Table7_badETA!$A:$A,[1]Table7_badETA!S:S,"-",0)</f>
        <v>406.72723000000002</v>
      </c>
    </row>
    <row r="7" spans="1:15" x14ac:dyDescent="0.2">
      <c r="A7" s="8" t="s">
        <v>18</v>
      </c>
      <c r="B7" s="8" cm="1">
        <f t="array" aca="1" ref="B7" ca="1">_xlfn.XLOOKUP(A7,[1]Table2_V5_w3C28!A:A,[1]Table2_V5_w3C28!B:B,nan(),0)</f>
        <v>0.308</v>
      </c>
      <c r="C7" s="8" cm="1">
        <f t="array" aca="1" ref="C7" ca="1">_xlfn.XLOOKUP(A7,[1]Table2_V5_w3C28!A:A,[1]Table2_V5_w3C28!D:D,nan(),0)</f>
        <v>3.5807000000000002</v>
      </c>
      <c r="D7" s="8" cm="1">
        <f t="array" aca="1" ref="D7" ca="1">_xlfn.XLOOKUP(A7,[1]Table2_V5_w3C28!A:A,[1]Table2_V5_w3C28!E:E,nan(),0)</f>
        <v>-30.390899999999998</v>
      </c>
      <c r="E7" s="1">
        <f>_xlfn.XLOOKUP($A7,[1]Table7_badETA!$A:$A,[1]Table7_badETA!C:C,"-",0)</f>
        <v>5.2940000000000001E-2</v>
      </c>
      <c r="F7" s="1">
        <f>_xlfn.XLOOKUP($A7,[1]Table7_badETA!$A:$A,[1]Table7_badETA!E:E,"-",0)</f>
        <v>3.2200000000000002E-3</v>
      </c>
      <c r="G7" s="5">
        <f>_xlfn.XLOOKUP($A7,[1]Table7_badETA!$A:$A,[1]Table7_badETA!F:F,"-",0)</f>
        <v>2.3099999999999999E-7</v>
      </c>
      <c r="H7" s="6">
        <f>_xlfn.XLOOKUP($A7,[1]Table7_badETA!$A:$A,[1]Table7_badETA!H:H,"-",0)</f>
        <v>3.3500000000000002E-8</v>
      </c>
      <c r="I7" s="2">
        <f>_xlfn.XLOOKUP($A7,[1]Table7_badETA!$A:$A,[1]Table7_badETA!M:M,"-",0)</f>
        <v>0.96189999999999998</v>
      </c>
      <c r="J7" s="2">
        <f>_xlfn.XLOOKUP($A7,[1]Table7_badETA!$A:$A,[1]Table7_badETA!O:O,"-",0)</f>
        <v>1.77E-2</v>
      </c>
      <c r="K7" s="2">
        <f>_xlfn.XLOOKUP($A7,[1]morph_04R500.dat!$A:$A,[1]morph_04R500.dat!P:P,"-",0)</f>
        <v>87.14</v>
      </c>
      <c r="L7" s="2">
        <f>_xlfn.XLOOKUP($A7,[1]morph_04R500.dat!$A:$A,[1]morph_04R500.dat!R:R,"-",0)</f>
        <v>2.6480000000000001</v>
      </c>
      <c r="M7" s="2">
        <f>_xlfn.XLOOKUP($A7,[1]Table7_badETA!$A:$A,[1]Table7_badETA!T:T,"-",0)</f>
        <v>0.32881125996269289</v>
      </c>
      <c r="N7" s="2">
        <f>_xlfn.XLOOKUP($A7,[1]Table7_badETA!$A:$A,[1]Table7_badETA!U:U,"-",0)</f>
        <v>5.0467593548991583E-3</v>
      </c>
      <c r="O7" s="7">
        <f>_xlfn.XLOOKUP($A7,[1]Table7_badETA!$A:$A,[1]Table7_badETA!S:S,"-",0)</f>
        <v>568.37554</v>
      </c>
    </row>
    <row r="8" spans="1:15" x14ac:dyDescent="0.2">
      <c r="A8" s="8" t="s">
        <v>19</v>
      </c>
      <c r="B8" s="8" cm="1">
        <f t="array" aca="1" ref="B8" ca="1">_xlfn.XLOOKUP(A8,[1]Table2_V5_w3C28!A:A,[1]Table2_V5_w3C28!B:B,nan(),0)</f>
        <v>0.54100000000000004</v>
      </c>
      <c r="C8" s="8" cm="1">
        <f t="array" aca="1" ref="C8" ca="1">_xlfn.XLOOKUP(A8,[1]Table2_V5_w3C28!A:A,[1]Table2_V5_w3C28!D:D,nan(),0)</f>
        <v>4.6402000000000001</v>
      </c>
      <c r="D8" s="8" cm="1">
        <f t="array" aca="1" ref="D8" ca="1">_xlfn.XLOOKUP(A8,[1]Table2_V5_w3C28!A:A,[1]Table2_V5_w3C28!E:E,nan(),0)</f>
        <v>16.4359</v>
      </c>
      <c r="E8" s="1">
        <f>_xlfn.XLOOKUP($A8,[1]Table7_badETA!$A:$A,[1]Table7_badETA!C:C,"-",0)</f>
        <v>2.0910000000000002E-2</v>
      </c>
      <c r="F8" s="1">
        <f>_xlfn.XLOOKUP($A8,[1]Table7_badETA!$A:$A,[1]Table7_badETA!E:E,"-",0)</f>
        <v>3.882E-3</v>
      </c>
      <c r="G8" s="5">
        <f>_xlfn.XLOOKUP($A8,[1]Table7_badETA!$A:$A,[1]Table7_badETA!F:F,"-",0)</f>
        <v>6.5E-8</v>
      </c>
      <c r="H8" s="6">
        <f>_xlfn.XLOOKUP($A8,[1]Table7_badETA!$A:$A,[1]Table7_badETA!H:H,"-",0)</f>
        <v>4.2599999999999998E-8</v>
      </c>
      <c r="I8" s="2">
        <f>_xlfn.XLOOKUP($A8,[1]Table7_badETA!$A:$A,[1]Table7_badETA!M:M,"-",0)</f>
        <v>0.88670000000000004</v>
      </c>
      <c r="J8" s="2">
        <f>_xlfn.XLOOKUP($A8,[1]Table7_badETA!$A:$A,[1]Table7_badETA!O:O,"-",0)</f>
        <v>6.9430000000000004E-3</v>
      </c>
      <c r="K8" s="2">
        <f>_xlfn.XLOOKUP($A8,[1]morph_04R500.dat!$A:$A,[1]morph_04R500.dat!P:P,"-",0)</f>
        <v>47.66</v>
      </c>
      <c r="L8" s="2">
        <f>_xlfn.XLOOKUP($A8,[1]morph_04R500.dat!$A:$A,[1]morph_04R500.dat!R:R,"-",0)</f>
        <v>1.8460000000000001</v>
      </c>
      <c r="M8" s="2">
        <f>_xlfn.XLOOKUP($A8,[1]Table7_badETA!$A:$A,[1]Table7_badETA!T:T,"-",0)</f>
        <v>0.38749831483395497</v>
      </c>
      <c r="N8" s="2">
        <f>_xlfn.XLOOKUP($A8,[1]Table7_badETA!$A:$A,[1]Table7_badETA!U:U,"-",0)</f>
        <v>9.1047715224646421E-3</v>
      </c>
      <c r="O8" s="7">
        <f>_xlfn.XLOOKUP($A8,[1]Table7_badETA!$A:$A,[1]Table7_badETA!S:S,"-",0)</f>
        <v>496.25923</v>
      </c>
    </row>
    <row r="9" spans="1:15" x14ac:dyDescent="0.2">
      <c r="A9" s="8" t="s">
        <v>20</v>
      </c>
      <c r="B9" s="8" cm="1">
        <f t="array" aca="1" ref="B9" ca="1">_xlfn.XLOOKUP(A9,[1]Table2_V5_w3C28!A:A,[1]Table2_V5_w3C28!B:B,nan(),0)</f>
        <v>0.39</v>
      </c>
      <c r="C9" s="8" cm="1">
        <f t="array" aca="1" ref="C9" ca="1">_xlfn.XLOOKUP(A9,[1]Table2_V5_w3C28!A:A,[1]Table2_V5_w3C28!D:D,nan(),0)</f>
        <v>6.6498999999999997</v>
      </c>
      <c r="D9" s="8" cm="1">
        <f t="array" aca="1" ref="D9" ca="1">_xlfn.XLOOKUP(A9,[1]Table2_V5_w3C28!A:A,[1]Table2_V5_w3C28!E:E,nan(),0)</f>
        <v>17.162600000000001</v>
      </c>
      <c r="E9" s="1">
        <f>_xlfn.XLOOKUP($A9,[1]Table7_badETA!$A:$A,[1]Table7_badETA!C:C,"-",0)</f>
        <v>2.342E-2</v>
      </c>
      <c r="F9" s="1">
        <f>_xlfn.XLOOKUP($A9,[1]Table7_badETA!$A:$A,[1]Table7_badETA!E:E,"-",0)</f>
        <v>4.888E-3</v>
      </c>
      <c r="G9" s="5">
        <f>_xlfn.XLOOKUP($A9,[1]Table7_badETA!$A:$A,[1]Table7_badETA!F:F,"-",0)</f>
        <v>7.06E-9</v>
      </c>
      <c r="H9" s="6">
        <f>_xlfn.XLOOKUP($A9,[1]Table7_badETA!$A:$A,[1]Table7_badETA!H:H,"-",0)</f>
        <v>7.4099999999999995E-8</v>
      </c>
      <c r="I9" s="2">
        <f>_xlfn.XLOOKUP($A9,[1]Table7_badETA!$A:$A,[1]Table7_badETA!M:M,"-",0)</f>
        <v>0.95479999999999998</v>
      </c>
      <c r="J9" s="2">
        <f>_xlfn.XLOOKUP($A9,[1]Table7_badETA!$A:$A,[1]Table7_badETA!O:O,"-",0)</f>
        <v>1.5140000000000001E-2</v>
      </c>
      <c r="K9" s="2">
        <f>_xlfn.XLOOKUP($A9,[1]morph_04R500.dat!$A:$A,[1]morph_04R500.dat!P:P,"-",0)</f>
        <v>35.21</v>
      </c>
      <c r="L9" s="2">
        <f>_xlfn.XLOOKUP($A9,[1]morph_04R500.dat!$A:$A,[1]morph_04R500.dat!R:R,"-",0)</f>
        <v>11.5</v>
      </c>
      <c r="M9" s="2" t="str">
        <f>_xlfn.XLOOKUP($A9,[1]Table7_badETA!$A:$A,[1]Table7_badETA!T:T,"-",0)</f>
        <v>-</v>
      </c>
      <c r="N9" s="2" t="str">
        <f>_xlfn.XLOOKUP($A9,[1]Table7_badETA!$A:$A,[1]Table7_badETA!U:U,"-",0)</f>
        <v>-</v>
      </c>
      <c r="O9" s="7">
        <f>_xlfn.XLOOKUP($A9,[1]Table7_badETA!$A:$A,[1]Table7_badETA!S:S,"-",0)</f>
        <v>437.88348000000002</v>
      </c>
    </row>
    <row r="10" spans="1:15" x14ac:dyDescent="0.2">
      <c r="A10" s="8" t="s">
        <v>21</v>
      </c>
      <c r="B10" s="8" cm="1">
        <f t="array" aca="1" ref="B10" ca="1">_xlfn.XLOOKUP(A10,[1]Table2_V5_w3C28!A:A,[1]Table2_V5_w3C28!B:B,nan(),0)</f>
        <v>0.41</v>
      </c>
      <c r="C10" s="8" cm="1">
        <f t="array" aca="1" ref="C10" ca="1">_xlfn.XLOOKUP(A10,[1]Table2_V5_w3C28!A:A,[1]Table2_V5_w3C28!D:D,nan(),0)</f>
        <v>7.0259999999999998</v>
      </c>
      <c r="D10" s="8" cm="1">
        <f t="array" aca="1" ref="D10" ca="1">_xlfn.XLOOKUP(A10,[1]Table2_V5_w3C28!A:A,[1]Table2_V5_w3C28!E:E,nan(),0)</f>
        <v>-75.635800000000003</v>
      </c>
      <c r="E10" s="1">
        <f>_xlfn.XLOOKUP($A10,[1]Table7_badETA!$A:$A,[1]Table7_badETA!C:C,"-",0)</f>
        <v>5.7790000000000001E-2</v>
      </c>
      <c r="F10" s="1">
        <f>_xlfn.XLOOKUP($A10,[1]Table7_badETA!$A:$A,[1]Table7_badETA!E:E,"-",0)</f>
        <v>8.2070000000000008E-3</v>
      </c>
      <c r="G10" s="5">
        <f>_xlfn.XLOOKUP($A10,[1]Table7_badETA!$A:$A,[1]Table7_badETA!F:F,"-",0)</f>
        <v>7.6000000000000003E-7</v>
      </c>
      <c r="H10" s="6">
        <f>_xlfn.XLOOKUP($A10,[1]Table7_badETA!$A:$A,[1]Table7_badETA!H:H,"-",0)</f>
        <v>2.6E-7</v>
      </c>
      <c r="I10" s="2">
        <f>_xlfn.XLOOKUP($A10,[1]Table7_badETA!$A:$A,[1]Table7_badETA!M:M,"-",0)</f>
        <v>0.94589999999999996</v>
      </c>
      <c r="J10" s="2">
        <f>_xlfn.XLOOKUP($A10,[1]Table7_badETA!$A:$A,[1]Table7_badETA!O:O,"-",0)</f>
        <v>1.6049999999999998E-2</v>
      </c>
      <c r="K10" s="2">
        <f>_xlfn.XLOOKUP($A10,[1]morph_04R500.dat!$A:$A,[1]morph_04R500.dat!P:P,"-",0)</f>
        <v>-11.89</v>
      </c>
      <c r="L10" s="2">
        <f>_xlfn.XLOOKUP($A10,[1]morph_04R500.dat!$A:$A,[1]morph_04R500.dat!R:R,"-",0)</f>
        <v>5.9530000000000003</v>
      </c>
      <c r="M10" s="2">
        <f>_xlfn.XLOOKUP($A10,[1]Table7_badETA!$A:$A,[1]Table7_badETA!T:T,"-",0)</f>
        <v>0.43639517981900883</v>
      </c>
      <c r="N10" s="2">
        <f>_xlfn.XLOOKUP($A10,[1]Table7_badETA!$A:$A,[1]Table7_badETA!U:U,"-",0)</f>
        <v>1.2368292466867986E-2</v>
      </c>
      <c r="O10" s="7">
        <f>_xlfn.XLOOKUP($A10,[1]Table7_badETA!$A:$A,[1]Table7_badETA!S:S,"-",0)</f>
        <v>490.36401999999998</v>
      </c>
    </row>
    <row r="11" spans="1:15" x14ac:dyDescent="0.2">
      <c r="A11" s="8" t="s">
        <v>22</v>
      </c>
      <c r="B11" s="8" cm="1">
        <f t="array" aca="1" ref="B11" ca="1">_xlfn.XLOOKUP(A11,[1]Table2_V5_w3C28!A:A,[1]Table2_V5_w3C28!B:B,nan(),0)</f>
        <v>0.5</v>
      </c>
      <c r="C11" s="8" cm="1">
        <f t="array" aca="1" ref="C11" ca="1">_xlfn.XLOOKUP(A11,[1]Table2_V5_w3C28!A:A,[1]Table2_V5_w3C28!D:D,nan(),0)</f>
        <v>7.6426999999999996</v>
      </c>
      <c r="D11" s="8" cm="1">
        <f t="array" aca="1" ref="D11" ca="1">_xlfn.XLOOKUP(A11,[1]Table2_V5_w3C28!A:A,[1]Table2_V5_w3C28!E:E,nan(),0)</f>
        <v>26.302700000000002</v>
      </c>
      <c r="E11" s="1">
        <f>_xlfn.XLOOKUP($A11,[1]Table7_badETA!$A:$A,[1]Table7_badETA!C:C,"-",0)</f>
        <v>4.5039999999999997E-2</v>
      </c>
      <c r="F11" s="1">
        <f>_xlfn.XLOOKUP($A11,[1]Table7_badETA!$A:$A,[1]Table7_badETA!E:E,"-",0)</f>
        <v>1.5859999999999999E-2</v>
      </c>
      <c r="G11" s="5">
        <f>_xlfn.XLOOKUP($A11,[1]Table7_badETA!$A:$A,[1]Table7_badETA!F:F,"-",0)</f>
        <v>4.3100000000000002E-8</v>
      </c>
      <c r="H11" s="6">
        <f>_xlfn.XLOOKUP($A11,[1]Table7_badETA!$A:$A,[1]Table7_badETA!H:H,"-",0)</f>
        <v>5.5899999999999996E-7</v>
      </c>
      <c r="I11" s="2">
        <f>_xlfn.XLOOKUP($A11,[1]Table7_badETA!$A:$A,[1]Table7_badETA!M:M,"-",0)</f>
        <v>0.92710000000000004</v>
      </c>
      <c r="J11" s="2">
        <f>_xlfn.XLOOKUP($A11,[1]Table7_badETA!$A:$A,[1]Table7_badETA!O:O,"-",0)</f>
        <v>4.922E-2</v>
      </c>
      <c r="K11" s="2">
        <f>_xlfn.XLOOKUP($A11,[1]morph_04R500.dat!$A:$A,[1]morph_04R500.dat!P:P,"-",0)</f>
        <v>-80.02</v>
      </c>
      <c r="L11" s="2">
        <f>_xlfn.XLOOKUP($A11,[1]morph_04R500.dat!$A:$A,[1]morph_04R500.dat!R:R,"-",0)</f>
        <v>17.510000000000002</v>
      </c>
      <c r="M11" s="2" t="str">
        <f>_xlfn.XLOOKUP($A11,[1]Table7_badETA!$A:$A,[1]Table7_badETA!T:T,"-",0)</f>
        <v>-</v>
      </c>
      <c r="N11" s="2" t="str">
        <f>_xlfn.XLOOKUP($A11,[1]Table7_badETA!$A:$A,[1]Table7_badETA!U:U,"-",0)</f>
        <v>-</v>
      </c>
      <c r="O11" s="7">
        <f>_xlfn.XLOOKUP($A11,[1]Table7_badETA!$A:$A,[1]Table7_badETA!S:S,"-",0)</f>
        <v>257.79262999999997</v>
      </c>
    </row>
    <row r="12" spans="1:15" x14ac:dyDescent="0.2">
      <c r="A12" s="8" t="s">
        <v>23</v>
      </c>
      <c r="B12" s="8" cm="1">
        <f t="array" aca="1" ref="B12" ca="1">_xlfn.XLOOKUP(A12,[1]Table2_V5_w3C28!A:A,[1]Table2_V5_w3C28!B:B,nan(),0)</f>
        <v>0.255</v>
      </c>
      <c r="C12" s="8" cm="1">
        <f t="array" aca="1" ref="C12" ca="1">_xlfn.XLOOKUP(A12,[1]Table2_V5_w3C28!A:A,[1]Table2_V5_w3C28!D:D,nan(),0)</f>
        <v>9.2774999999999999</v>
      </c>
      <c r="D12" s="8" cm="1">
        <f t="array" aca="1" ref="D12" ca="1">_xlfn.XLOOKUP(A12,[1]Table2_V5_w3C28!A:A,[1]Table2_V5_w3C28!E:E,nan(),0)</f>
        <v>9.1577999999999999</v>
      </c>
      <c r="E12" s="1">
        <f>_xlfn.XLOOKUP($A12,[1]Table7_badETA!$A:$A,[1]Table7_badETA!C:C,"-",0)</f>
        <v>2.018E-2</v>
      </c>
      <c r="F12" s="1">
        <f>_xlfn.XLOOKUP($A12,[1]Table7_badETA!$A:$A,[1]Table7_badETA!E:E,"-",0)</f>
        <v>3.9899999999999996E-3</v>
      </c>
      <c r="G12" s="5">
        <f>_xlfn.XLOOKUP($A12,[1]Table7_badETA!$A:$A,[1]Table7_badETA!F:F,"-",0)</f>
        <v>3.5800000000000003E-8</v>
      </c>
      <c r="H12" s="6">
        <f>_xlfn.XLOOKUP($A12,[1]Table7_badETA!$A:$A,[1]Table7_badETA!H:H,"-",0)</f>
        <v>5.4599999999999999E-8</v>
      </c>
      <c r="I12" s="2">
        <f>_xlfn.XLOOKUP($A12,[1]Table7_badETA!$A:$A,[1]Table7_badETA!M:M,"-",0)</f>
        <v>0.83589999999999998</v>
      </c>
      <c r="J12" s="2">
        <f>_xlfn.XLOOKUP($A12,[1]Table7_badETA!$A:$A,[1]Table7_badETA!O:O,"-",0)</f>
        <v>1.1259999999999999E-2</v>
      </c>
      <c r="K12" s="2">
        <f>_xlfn.XLOOKUP($A12,[1]morph_04R500.dat!$A:$A,[1]morph_04R500.dat!P:P,"-",0)</f>
        <v>-47.2</v>
      </c>
      <c r="L12" s="2">
        <f>_xlfn.XLOOKUP($A12,[1]morph_04R500.dat!$A:$A,[1]morph_04R500.dat!R:R,"-",0)</f>
        <v>2.2970000000000002</v>
      </c>
      <c r="M12" s="2" t="str">
        <f>_xlfn.XLOOKUP($A12,[1]Table7_badETA!$A:$A,[1]Table7_badETA!T:T,"-",0)</f>
        <v>-</v>
      </c>
      <c r="N12" s="2" t="str">
        <f>_xlfn.XLOOKUP($A12,[1]Table7_badETA!$A:$A,[1]Table7_badETA!U:U,"-",0)</f>
        <v>-</v>
      </c>
      <c r="O12" s="7">
        <f>_xlfn.XLOOKUP($A12,[1]Table7_badETA!$A:$A,[1]Table7_badETA!S:S,"-",0)</f>
        <v>547.11275000000001</v>
      </c>
    </row>
    <row r="13" spans="1:15" x14ac:dyDescent="0.2">
      <c r="A13" s="8" t="s">
        <v>24</v>
      </c>
      <c r="B13" s="8" cm="1">
        <f t="array" aca="1" ref="B13" ca="1">_xlfn.XLOOKUP(A13,[1]Table2_V5_w3C28!A:A,[1]Table2_V5_w3C28!B:B,nan(),0)</f>
        <v>0.29199999999999998</v>
      </c>
      <c r="C13" s="8" cm="1">
        <f t="array" aca="1" ref="C13" ca="1">_xlfn.XLOOKUP(A13,[1]Table2_V5_w3C28!A:A,[1]Table2_V5_w3C28!D:D,nan(),0)</f>
        <v>10.8535</v>
      </c>
      <c r="D13" s="8" cm="1">
        <f t="array" aca="1" ref="D13" ca="1">_xlfn.XLOOKUP(A13,[1]Table2_V5_w3C28!A:A,[1]Table2_V5_w3C28!E:E,nan(),0)</f>
        <v>-20.6234</v>
      </c>
      <c r="E13" s="1">
        <f>_xlfn.XLOOKUP($A13,[1]Table7_badETA!$A:$A,[1]Table7_badETA!C:C,"-",0)</f>
        <v>1.1089999999999999E-2</v>
      </c>
      <c r="F13" s="1">
        <f>_xlfn.XLOOKUP($A13,[1]Table7_badETA!$A:$A,[1]Table7_badETA!E:E,"-",0)</f>
        <v>7.6540000000000002E-3</v>
      </c>
      <c r="G13" s="5">
        <f>_xlfn.XLOOKUP($A13,[1]Table7_badETA!$A:$A,[1]Table7_badETA!F:F,"-",0)</f>
        <v>2.7100000000000001E-8</v>
      </c>
      <c r="H13" s="6">
        <f>_xlfn.XLOOKUP($A13,[1]Table7_badETA!$A:$A,[1]Table7_badETA!H:H,"-",0)</f>
        <v>4.1199999999999998E-8</v>
      </c>
      <c r="I13" s="2">
        <f>_xlfn.XLOOKUP($A13,[1]Table7_badETA!$A:$A,[1]Table7_badETA!M:M,"-",0)</f>
        <v>0.90090000000000003</v>
      </c>
      <c r="J13" s="2">
        <f>_xlfn.XLOOKUP($A13,[1]Table7_badETA!$A:$A,[1]Table7_badETA!O:O,"-",0)</f>
        <v>9.4540000000000006E-3</v>
      </c>
      <c r="K13" s="2">
        <f>_xlfn.XLOOKUP($A13,[1]morph_04R500.dat!$A:$A,[1]morph_04R500.dat!P:P,"-",0)</f>
        <v>26.61</v>
      </c>
      <c r="L13" s="2">
        <f>_xlfn.XLOOKUP($A13,[1]morph_04R500.dat!$A:$A,[1]morph_04R500.dat!R:R,"-",0)</f>
        <v>2.9039999999999999</v>
      </c>
      <c r="M13" s="2">
        <f>_xlfn.XLOOKUP($A13,[1]Table7_badETA!$A:$A,[1]Table7_badETA!T:T,"-",0)</f>
        <v>0.46250274906531774</v>
      </c>
      <c r="N13" s="2">
        <f>_xlfn.XLOOKUP($A13,[1]Table7_badETA!$A:$A,[1]Table7_badETA!U:U,"-",0)</f>
        <v>1.2203183361559913E-2</v>
      </c>
      <c r="O13" s="7">
        <f>_xlfn.XLOOKUP($A13,[1]Table7_badETA!$A:$A,[1]Table7_badETA!S:S,"-",0)</f>
        <v>493.00258000000002</v>
      </c>
    </row>
    <row r="14" spans="1:15" x14ac:dyDescent="0.2">
      <c r="A14" s="8" t="s">
        <v>25</v>
      </c>
      <c r="B14" s="8" cm="1">
        <f t="array" aca="1" ref="B14" ca="1">_xlfn.XLOOKUP(A14,[1]Table2_V5_w3C28!A:A,[1]Table2_V5_w3C28!B:B,nan(),0)</f>
        <v>0.104</v>
      </c>
      <c r="C14" s="8" cm="1">
        <f t="array" aca="1" ref="C14" ca="1">_xlfn.XLOOKUP(A14,[1]Table2_V5_w3C28!A:A,[1]Table2_V5_w3C28!D:D,nan(),0)</f>
        <v>11.6029</v>
      </c>
      <c r="D14" s="8" cm="1">
        <f t="array" aca="1" ref="D14" ca="1">_xlfn.XLOOKUP(A14,[1]Table2_V5_w3C28!A:A,[1]Table2_V5_w3C28!E:E,nan(),0)</f>
        <v>20.6218</v>
      </c>
      <c r="E14" s="1">
        <f>_xlfn.XLOOKUP($A14,[1]Table7_badETA!$A:$A,[1]Table7_badETA!C:C,"-",0)</f>
        <v>1.4019999999999999E-2</v>
      </c>
      <c r="F14" s="1">
        <f>_xlfn.XLOOKUP($A14,[1]Table7_badETA!$A:$A,[1]Table7_badETA!E:E,"-",0)</f>
        <v>1.8979999999999999E-3</v>
      </c>
      <c r="G14" s="5">
        <f>_xlfn.XLOOKUP($A14,[1]Table7_badETA!$A:$A,[1]Table7_badETA!F:F,"-",0)</f>
        <v>4.95E-8</v>
      </c>
      <c r="H14" s="6">
        <f>_xlfn.XLOOKUP($A14,[1]Table7_badETA!$A:$A,[1]Table7_badETA!H:H,"-",0)</f>
        <v>4.5499999999999997E-8</v>
      </c>
      <c r="I14" s="2">
        <f>_xlfn.XLOOKUP($A14,[1]Table7_badETA!$A:$A,[1]Table7_badETA!M:M,"-",0)</f>
        <v>0.9345</v>
      </c>
      <c r="J14" s="2">
        <f>_xlfn.XLOOKUP($A14,[1]Table7_badETA!$A:$A,[1]Table7_badETA!O:O,"-",0)</f>
        <v>8.3300000000000006E-3</v>
      </c>
      <c r="K14" s="2">
        <f>_xlfn.XLOOKUP($A14,[1]morph_04R500.dat!$A:$A,[1]morph_04R500.dat!P:P,"-",0)</f>
        <v>-25.72</v>
      </c>
      <c r="L14" s="2">
        <f>_xlfn.XLOOKUP($A14,[1]morph_04R500.dat!$A:$A,[1]morph_04R500.dat!R:R,"-",0)</f>
        <v>4.0759999999999996</v>
      </c>
      <c r="M14" s="2">
        <f>_xlfn.XLOOKUP($A14,[1]Table7_badETA!$A:$A,[1]Table7_badETA!T:T,"-",0)</f>
        <v>0.55329385640266471</v>
      </c>
      <c r="N14" s="2">
        <f>_xlfn.XLOOKUP($A14,[1]Table7_badETA!$A:$A,[1]Table7_badETA!U:U,"-",0)</f>
        <v>2.6856350878093769E-2</v>
      </c>
      <c r="O14" s="7">
        <f>_xlfn.XLOOKUP($A14,[1]Table7_badETA!$A:$A,[1]Table7_badETA!S:S,"-",0)</f>
        <v>364.31076999999999</v>
      </c>
    </row>
    <row r="15" spans="1:15" x14ac:dyDescent="0.2">
      <c r="A15" s="8" t="s">
        <v>26</v>
      </c>
      <c r="B15" s="8" cm="1">
        <f t="array" aca="1" ref="B15" ca="1">_xlfn.XLOOKUP(A15,[1]Table2_V5_w3C28!A:A,[1]Table2_V5_w3C28!B:B,nan(),0)</f>
        <v>4.3999999999999997E-2</v>
      </c>
      <c r="C15" s="8" cm="1">
        <f t="array" aca="1" ref="C15" ca="1">_xlfn.XLOOKUP(A15,[1]Table2_V5_w3C28!A:A,[1]Table2_V5_w3C28!D:D,nan(),0)</f>
        <v>14.0755</v>
      </c>
      <c r="D15" s="8" cm="1">
        <f t="array" aca="1" ref="D15" ca="1">_xlfn.XLOOKUP(A15,[1]Table2_V5_w3C28!A:A,[1]Table2_V5_w3C28!E:E,nan(),0)</f>
        <v>-1.2422</v>
      </c>
      <c r="E15" s="1">
        <f>_xlfn.XLOOKUP($A15,[1]Table7_badETA!$A:$A,[1]Table7_badETA!C:C,"-",0)</f>
        <v>3.2190000000000003E-2</v>
      </c>
      <c r="F15" s="1">
        <f>_xlfn.XLOOKUP($A15,[1]Table7_badETA!$A:$A,[1]Table7_badETA!E:E,"-",0)</f>
        <v>2.5049999999999998E-3</v>
      </c>
      <c r="G15" s="5">
        <f>_xlfn.XLOOKUP($A15,[1]Table7_badETA!$A:$A,[1]Table7_badETA!F:F,"-",0)</f>
        <v>1.24E-7</v>
      </c>
      <c r="H15" s="6">
        <f>_xlfn.XLOOKUP($A15,[1]Table7_badETA!$A:$A,[1]Table7_badETA!H:H,"-",0)</f>
        <v>1.66E-8</v>
      </c>
      <c r="I15" s="2">
        <f>_xlfn.XLOOKUP($A15,[1]Table7_badETA!$A:$A,[1]Table7_badETA!M:M,"-",0)</f>
        <v>0.93830000000000002</v>
      </c>
      <c r="J15" s="2">
        <f>_xlfn.XLOOKUP($A15,[1]Table7_badETA!$A:$A,[1]Table7_badETA!O:O,"-",0)</f>
        <v>1.91E-3</v>
      </c>
      <c r="K15" s="2">
        <f>_xlfn.XLOOKUP($A15,[1]morph_04R500.dat!$A:$A,[1]morph_04R500.dat!P:P,"-",0)</f>
        <v>13.76</v>
      </c>
      <c r="L15" s="2">
        <f>_xlfn.XLOOKUP($A15,[1]morph_04R500.dat!$A:$A,[1]morph_04R500.dat!R:R,"-",0)</f>
        <v>0.85060000000000002</v>
      </c>
      <c r="M15" s="2">
        <f>_xlfn.XLOOKUP($A15,[1]Table7_badETA!$A:$A,[1]Table7_badETA!T:T,"-",0)</f>
        <v>0.26532381778163144</v>
      </c>
      <c r="N15" s="2">
        <f>_xlfn.XLOOKUP($A15,[1]Table7_badETA!$A:$A,[1]Table7_badETA!U:U,"-",0)</f>
        <v>4.2267676302635065E-3</v>
      </c>
      <c r="O15" s="7">
        <f>_xlfn.XLOOKUP($A15,[1]Table7_badETA!$A:$A,[1]Table7_badETA!S:S,"-",0)</f>
        <v>482.29065000000003</v>
      </c>
    </row>
    <row r="16" spans="1:15" x14ac:dyDescent="0.2">
      <c r="A16" s="8" t="s">
        <v>27</v>
      </c>
      <c r="B16" s="8" cm="1">
        <f t="array" aca="1" ref="B16" ca="1">_xlfn.XLOOKUP(A16,[1]Table2_V5_w3C28!A:A,[1]Table2_V5_w3C28!B:B,nan(),0)</f>
        <v>0.114</v>
      </c>
      <c r="C16" s="8" cm="1">
        <f t="array" aca="1" ref="C16" ca="1">_xlfn.XLOOKUP(A16,[1]Table2_V5_w3C28!A:A,[1]Table2_V5_w3C28!D:D,nan(),0)</f>
        <v>14.3453</v>
      </c>
      <c r="D16" s="8" cm="1">
        <f t="array" aca="1" ref="D16" ca="1">_xlfn.XLOOKUP(A16,[1]Table2_V5_w3C28!A:A,[1]Table2_V5_w3C28!E:E,nan(),0)</f>
        <v>-26.280799999999999</v>
      </c>
      <c r="E16" s="1">
        <f>_xlfn.XLOOKUP($A16,[1]Table7_badETA!$A:$A,[1]Table7_badETA!C:C,"-",0)</f>
        <v>8.4930000000000005E-3</v>
      </c>
      <c r="F16" s="1">
        <f>_xlfn.XLOOKUP($A16,[1]Table7_badETA!$A:$A,[1]Table7_badETA!E:E,"-",0)</f>
        <v>4.1200000000000004E-3</v>
      </c>
      <c r="G16" s="5">
        <f>_xlfn.XLOOKUP($A16,[1]Table7_badETA!$A:$A,[1]Table7_badETA!F:F,"-",0)</f>
        <v>6.0899999999999996E-8</v>
      </c>
      <c r="H16" s="6">
        <f>_xlfn.XLOOKUP($A16,[1]Table7_badETA!$A:$A,[1]Table7_badETA!H:H,"-",0)</f>
        <v>1.1000000000000001E-7</v>
      </c>
      <c r="I16" s="2">
        <f>_xlfn.XLOOKUP($A16,[1]Table7_badETA!$A:$A,[1]Table7_badETA!M:M,"-",0)</f>
        <v>0.90480000000000005</v>
      </c>
      <c r="J16" s="2">
        <f>_xlfn.XLOOKUP($A16,[1]Table7_badETA!$A:$A,[1]Table7_badETA!O:O,"-",0)</f>
        <v>5.6469999999999999E-2</v>
      </c>
      <c r="K16" s="2">
        <f>_xlfn.XLOOKUP($A16,[1]morph_04R500.dat!$A:$A,[1]morph_04R500.dat!P:P,"-",0)</f>
        <v>-86.03</v>
      </c>
      <c r="L16" s="2">
        <f>_xlfn.XLOOKUP($A16,[1]morph_04R500.dat!$A:$A,[1]morph_04R500.dat!R:R,"-",0)</f>
        <v>4.3710000000000004</v>
      </c>
      <c r="M16" s="2" t="str">
        <f>_xlfn.XLOOKUP($A16,[1]Table7_badETA!$A:$A,[1]Table7_badETA!T:T,"-",0)</f>
        <v>-</v>
      </c>
      <c r="N16" s="2" t="str">
        <f>_xlfn.XLOOKUP($A16,[1]Table7_badETA!$A:$A,[1]Table7_badETA!U:U,"-",0)</f>
        <v>-</v>
      </c>
      <c r="O16" s="7">
        <f>_xlfn.XLOOKUP($A16,[1]Table7_badETA!$A:$A,[1]Table7_badETA!S:S,"-",0)</f>
        <v>408.13828999999998</v>
      </c>
    </row>
    <row r="17" spans="1:15" x14ac:dyDescent="0.2">
      <c r="A17" s="8" t="s">
        <v>28</v>
      </c>
      <c r="B17" s="8" cm="1">
        <f t="array" aca="1" ref="B17" ca="1">_xlfn.XLOOKUP(A17,[1]Table2_V5_w3C28!A:A,[1]Table2_V5_w3C28!B:B,nan(),0)</f>
        <v>5.6599999999999998E-2</v>
      </c>
      <c r="C17" s="8" cm="1">
        <f t="array" aca="1" ref="C17" ca="1">_xlfn.XLOOKUP(A17,[1]Table2_V5_w3C28!A:A,[1]Table2_V5_w3C28!D:D,nan(),0)</f>
        <v>15.6737</v>
      </c>
      <c r="D17" s="8" cm="1">
        <f t="array" aca="1" ref="D17" ca="1">_xlfn.XLOOKUP(A17,[1]Table2_V5_w3C28!A:A,[1]Table2_V5_w3C28!E:E,nan(),0)</f>
        <v>-21.881799999999998</v>
      </c>
      <c r="E17" s="1">
        <f>_xlfn.XLOOKUP($A17,[1]Table7_badETA!$A:$A,[1]Table7_badETA!C:C,"-",0)</f>
        <v>1.089E-2</v>
      </c>
      <c r="F17" s="1">
        <f>_xlfn.XLOOKUP($A17,[1]Table7_badETA!$A:$A,[1]Table7_badETA!E:E,"-",0)</f>
        <v>2.9179999999999999E-4</v>
      </c>
      <c r="G17" s="5">
        <f>_xlfn.XLOOKUP($A17,[1]Table7_badETA!$A:$A,[1]Table7_badETA!F:F,"-",0)</f>
        <v>2.14E-8</v>
      </c>
      <c r="H17" s="6">
        <f>_xlfn.XLOOKUP($A17,[1]Table7_badETA!$A:$A,[1]Table7_badETA!H:H,"-",0)</f>
        <v>3.3099999999999999E-9</v>
      </c>
      <c r="I17" s="2">
        <f>_xlfn.XLOOKUP($A17,[1]Table7_badETA!$A:$A,[1]Table7_badETA!M:M,"-",0)</f>
        <v>0.90159999999999996</v>
      </c>
      <c r="J17" s="2">
        <f>_xlfn.XLOOKUP($A17,[1]Table7_badETA!$A:$A,[1]Table7_badETA!O:O,"-",0)</f>
        <v>1.787E-3</v>
      </c>
      <c r="K17" s="2">
        <f>_xlfn.XLOOKUP($A17,[1]morph_04R500.dat!$A:$A,[1]morph_04R500.dat!P:P,"-",0)</f>
        <v>26.18</v>
      </c>
      <c r="L17" s="2">
        <f>_xlfn.XLOOKUP($A17,[1]morph_04R500.dat!$A:$A,[1]morph_04R500.dat!R:R,"-",0)</f>
        <v>0.5625</v>
      </c>
      <c r="M17" s="2">
        <f>_xlfn.XLOOKUP($A17,[1]Table7_badETA!$A:$A,[1]Table7_badETA!T:T,"-",0)</f>
        <v>0.72233758528626513</v>
      </c>
      <c r="N17" s="2">
        <f>_xlfn.XLOOKUP($A17,[1]Table7_badETA!$A:$A,[1]Table7_badETA!U:U,"-",0)</f>
        <v>3.2389108473989876E-3</v>
      </c>
      <c r="O17" s="7">
        <f>_xlfn.XLOOKUP($A17,[1]Table7_badETA!$A:$A,[1]Table7_badETA!S:S,"-",0)</f>
        <v>402.85374000000002</v>
      </c>
    </row>
    <row r="18" spans="1:15" x14ac:dyDescent="0.2">
      <c r="A18" s="8" t="s">
        <v>29</v>
      </c>
      <c r="B18" s="8" cm="1">
        <f t="array" aca="1" ref="B18" ca="1">_xlfn.XLOOKUP(A18,[1]Table2_V5_w3C28!A:A,[1]Table2_V5_w3C28!B:B,nan(),0)</f>
        <v>0.75</v>
      </c>
      <c r="C18" s="8" cm="1">
        <f t="array" aca="1" ref="C18" ca="1">_xlfn.XLOOKUP(A18,[1]Table2_V5_w3C28!A:A,[1]Table2_V5_w3C28!D:D,nan(),0)</f>
        <v>15.7378</v>
      </c>
      <c r="D18" s="8" cm="1">
        <f t="array" aca="1" ref="D18" ca="1">_xlfn.XLOOKUP(A18,[1]Table2_V5_w3C28!A:A,[1]Table2_V5_w3C28!E:E,nan(),0)</f>
        <v>-49.272500000000001</v>
      </c>
      <c r="E18" s="1">
        <f>_xlfn.XLOOKUP($A18,[1]Table7_badETA!$A:$A,[1]Table7_badETA!C:C,"-",0)</f>
        <v>0.12989999999999999</v>
      </c>
      <c r="F18" s="1">
        <f>_xlfn.XLOOKUP($A18,[1]Table7_badETA!$A:$A,[1]Table7_badETA!E:E,"-",0)</f>
        <v>1.732E-3</v>
      </c>
      <c r="G18" s="5">
        <f>_xlfn.XLOOKUP($A18,[1]Table7_badETA!$A:$A,[1]Table7_badETA!F:F,"-",0)</f>
        <v>8.8199999999999998E-7</v>
      </c>
      <c r="H18" s="6">
        <f>_xlfn.XLOOKUP($A18,[1]Table7_badETA!$A:$A,[1]Table7_badETA!H:H,"-",0)</f>
        <v>8.9000000000000003E-8</v>
      </c>
      <c r="I18" s="2">
        <f>_xlfn.XLOOKUP($A18,[1]Table7_badETA!$A:$A,[1]Table7_badETA!M:M,"-",0)</f>
        <v>0.85440000000000005</v>
      </c>
      <c r="J18" s="2">
        <f>_xlfn.XLOOKUP($A18,[1]Table7_badETA!$A:$A,[1]Table7_badETA!O:O,"-",0)</f>
        <v>3.5639999999999999E-3</v>
      </c>
      <c r="K18" s="2">
        <f>_xlfn.XLOOKUP($A18,[1]morph_04R500.dat!$A:$A,[1]morph_04R500.dat!P:P,"-",0)</f>
        <v>-38.369999999999997</v>
      </c>
      <c r="L18" s="2">
        <f>_xlfn.XLOOKUP($A18,[1]morph_04R500.dat!$A:$A,[1]morph_04R500.dat!R:R,"-",0)</f>
        <v>0.83440000000000003</v>
      </c>
      <c r="M18" s="2">
        <f>_xlfn.XLOOKUP($A18,[1]Table7_badETA!$A:$A,[1]Table7_badETA!T:T,"-",0)</f>
        <v>0.43234012483806389</v>
      </c>
      <c r="N18" s="2">
        <f>_xlfn.XLOOKUP($A18,[1]Table7_badETA!$A:$A,[1]Table7_badETA!U:U,"-",0)</f>
        <v>6.5635291812962647E-3</v>
      </c>
      <c r="O18" s="7">
        <f>_xlfn.XLOOKUP($A18,[1]Table7_badETA!$A:$A,[1]Table7_badETA!S:S,"-",0)</f>
        <v>482.28438999999997</v>
      </c>
    </row>
    <row r="19" spans="1:15" x14ac:dyDescent="0.2">
      <c r="A19" s="8" t="s">
        <v>30</v>
      </c>
      <c r="B19" s="8" cm="1">
        <f t="array" aca="1" ref="B19" ca="1">_xlfn.XLOOKUP(A19,[1]Table2_V5_w3C28!A:A,[1]Table2_V5_w3C28!B:B,nan(),0)</f>
        <v>0.23</v>
      </c>
      <c r="C19" s="8" cm="1">
        <f t="array" aca="1" ref="C19" ca="1">_xlfn.XLOOKUP(A19,[1]Table2_V5_w3C28!A:A,[1]Table2_V5_w3C28!D:D,nan(),0)</f>
        <v>16.3979</v>
      </c>
      <c r="D19" s="8" cm="1">
        <f t="array" aca="1" ref="D19" ca="1">_xlfn.XLOOKUP(A19,[1]Table2_V5_w3C28!A:A,[1]Table2_V5_w3C28!E:E,nan(),0)</f>
        <v>-24.630099999999999</v>
      </c>
      <c r="E19" s="1">
        <f>_xlfn.XLOOKUP($A19,[1]Table7_badETA!$A:$A,[1]Table7_badETA!C:C,"-",0)</f>
        <v>6.6769999999999996E-2</v>
      </c>
      <c r="F19" s="1">
        <f>_xlfn.XLOOKUP($A19,[1]Table7_badETA!$A:$A,[1]Table7_badETA!E:E,"-",0)</f>
        <v>6.5290000000000001E-3</v>
      </c>
      <c r="G19" s="5">
        <f>_xlfn.XLOOKUP($A19,[1]Table7_badETA!$A:$A,[1]Table7_badETA!F:F,"-",0)</f>
        <v>1.8300000000000001E-6</v>
      </c>
      <c r="H19" s="6">
        <f>_xlfn.XLOOKUP($A19,[1]Table7_badETA!$A:$A,[1]Table7_badETA!H:H,"-",0)</f>
        <v>3.77E-7</v>
      </c>
      <c r="I19" s="2">
        <f>_xlfn.XLOOKUP($A19,[1]Table7_badETA!$A:$A,[1]Table7_badETA!M:M,"-",0)</f>
        <v>0.76539999999999997</v>
      </c>
      <c r="J19" s="2">
        <f>_xlfn.XLOOKUP($A19,[1]Table7_badETA!$A:$A,[1]Table7_badETA!O:O,"-",0)</f>
        <v>0.1187</v>
      </c>
      <c r="K19" s="2">
        <f>_xlfn.XLOOKUP($A19,[1]morph_04R500.dat!$A:$A,[1]morph_04R500.dat!P:P,"-",0)</f>
        <v>-1.3069999999999999</v>
      </c>
      <c r="L19" s="2">
        <f>_xlfn.XLOOKUP($A19,[1]morph_04R500.dat!$A:$A,[1]morph_04R500.dat!R:R,"-",0)</f>
        <v>1.107</v>
      </c>
      <c r="M19" s="2">
        <f>_xlfn.XLOOKUP($A19,[1]Table7_badETA!$A:$A,[1]Table7_badETA!T:T,"-",0)</f>
        <v>0.34563297350343475</v>
      </c>
      <c r="N19" s="2">
        <f>_xlfn.XLOOKUP($A19,[1]Table7_badETA!$A:$A,[1]Table7_badETA!U:U,"-",0)</f>
        <v>1.8903893383780523E-2</v>
      </c>
      <c r="O19" s="7">
        <f>_xlfn.XLOOKUP($A19,[1]Table7_badETA!$A:$A,[1]Table7_badETA!S:S,"-",0)</f>
        <v>488.56322</v>
      </c>
    </row>
    <row r="20" spans="1:15" x14ac:dyDescent="0.2">
      <c r="A20" s="8" t="s">
        <v>31</v>
      </c>
      <c r="B20" s="8" cm="1">
        <f t="array" aca="1" ref="B20" ca="1">_xlfn.XLOOKUP(A20,[1]Table2_V5_w3C28!A:A,[1]Table2_V5_w3C28!B:B,nan(),0)</f>
        <v>0.254</v>
      </c>
      <c r="C20" s="8" cm="1">
        <f t="array" aca="1" ref="C20" ca="1">_xlfn.XLOOKUP(A20,[1]Table2_V5_w3C28!A:A,[1]Table2_V5_w3C28!D:D,nan(),0)</f>
        <v>16.706199999999999</v>
      </c>
      <c r="D20" s="8" cm="1">
        <f t="array" aca="1" ref="D20" ca="1">_xlfn.XLOOKUP(A20,[1]Table2_V5_w3C28!A:A,[1]Table2_V5_w3C28!E:E,nan(),0)</f>
        <v>1.0563</v>
      </c>
      <c r="E20" s="1">
        <f>_xlfn.XLOOKUP($A20,[1]Table7_badETA!$A:$A,[1]Table7_badETA!C:C,"-",0)</f>
        <v>5.1409999999999997E-2</v>
      </c>
      <c r="F20" s="1">
        <f>_xlfn.XLOOKUP($A20,[1]Table7_badETA!$A:$A,[1]Table7_badETA!E:E,"-",0)</f>
        <v>2.2880000000000001E-3</v>
      </c>
      <c r="G20" s="5">
        <f>_xlfn.XLOOKUP($A20,[1]Table7_badETA!$A:$A,[1]Table7_badETA!F:F,"-",0)</f>
        <v>2.07E-8</v>
      </c>
      <c r="H20" s="6">
        <f>_xlfn.XLOOKUP($A20,[1]Table7_badETA!$A:$A,[1]Table7_badETA!H:H,"-",0)</f>
        <v>1.4100000000000001E-8</v>
      </c>
      <c r="I20" s="2">
        <f>_xlfn.XLOOKUP($A20,[1]Table7_badETA!$A:$A,[1]Table7_badETA!M:M,"-",0)</f>
        <v>0.91479999999999995</v>
      </c>
      <c r="J20" s="2">
        <f>_xlfn.XLOOKUP($A20,[1]Table7_badETA!$A:$A,[1]Table7_badETA!O:O,"-",0)</f>
        <v>6.2979999999999998E-3</v>
      </c>
      <c r="K20" s="2">
        <f>_xlfn.XLOOKUP($A20,[1]morph_04R500.dat!$A:$A,[1]morph_04R500.dat!P:P,"-",0)</f>
        <v>40.880000000000003</v>
      </c>
      <c r="L20" s="2">
        <f>_xlfn.XLOOKUP($A20,[1]morph_04R500.dat!$A:$A,[1]morph_04R500.dat!R:R,"-",0)</f>
        <v>2.5230000000000001</v>
      </c>
      <c r="M20" s="2">
        <f>_xlfn.XLOOKUP($A20,[1]Table7_badETA!$A:$A,[1]Table7_badETA!T:T,"-",0)</f>
        <v>0.77343829874245984</v>
      </c>
      <c r="N20" s="2">
        <f>_xlfn.XLOOKUP($A20,[1]Table7_badETA!$A:$A,[1]Table7_badETA!U:U,"-",0)</f>
        <v>7.6394243504942097E-3</v>
      </c>
      <c r="O20" s="7">
        <f>_xlfn.XLOOKUP($A20,[1]Table7_badETA!$A:$A,[1]Table7_badETA!S:S,"-",0)</f>
        <v>374.21087</v>
      </c>
    </row>
    <row r="21" spans="1:15" x14ac:dyDescent="0.2">
      <c r="A21" s="8" t="s">
        <v>32</v>
      </c>
      <c r="B21" s="8" cm="1">
        <f t="array" aca="1" ref="B21" ca="1">_xlfn.XLOOKUP(A21,[1]Table2_V5_w3C28!A:A,[1]Table2_V5_w3C28!B:B,nan(),0)</f>
        <v>0.20599999999999999</v>
      </c>
      <c r="C21" s="8" cm="1">
        <f t="array" aca="1" ref="C21" ca="1">_xlfn.XLOOKUP(A21,[1]Table2_V5_w3C28!A:A,[1]Table2_V5_w3C28!D:D,nan(),0)</f>
        <v>22.970099999999999</v>
      </c>
      <c r="D21" s="8" cm="1">
        <f t="array" aca="1" ref="D21" ca="1">_xlfn.XLOOKUP(A21,[1]Table2_V5_w3C28!A:A,[1]Table2_V5_w3C28!E:E,nan(),0)</f>
        <v>-13.6114</v>
      </c>
      <c r="E21" s="1">
        <f>_xlfn.XLOOKUP($A21,[1]Table7_badETA!$A:$A,[1]Table7_badETA!C:C,"-",0)</f>
        <v>2.2360000000000001E-2</v>
      </c>
      <c r="F21" s="1">
        <f>_xlfn.XLOOKUP($A21,[1]Table7_badETA!$A:$A,[1]Table7_badETA!E:E,"-",0)</f>
        <v>2.0179999999999998E-3</v>
      </c>
      <c r="G21" s="5">
        <f>_xlfn.XLOOKUP($A21,[1]Table7_badETA!$A:$A,[1]Table7_badETA!F:F,"-",0)</f>
        <v>2.9000000000000002E-8</v>
      </c>
      <c r="H21" s="6">
        <f>_xlfn.XLOOKUP($A21,[1]Table7_badETA!$A:$A,[1]Table7_badETA!H:H,"-",0)</f>
        <v>2.4699999999999999E-8</v>
      </c>
      <c r="I21" s="2">
        <f>_xlfn.XLOOKUP($A21,[1]Table7_badETA!$A:$A,[1]Table7_badETA!M:M,"-",0)</f>
        <v>0.88880000000000003</v>
      </c>
      <c r="J21" s="2">
        <f>_xlfn.XLOOKUP($A21,[1]Table7_badETA!$A:$A,[1]Table7_badETA!O:O,"-",0)</f>
        <v>7.0990000000000003E-3</v>
      </c>
      <c r="K21" s="2">
        <f>_xlfn.XLOOKUP($A21,[1]morph_04R500.dat!$A:$A,[1]morph_04R500.dat!P:P,"-",0)</f>
        <v>-46.45</v>
      </c>
      <c r="L21" s="2">
        <f>_xlfn.XLOOKUP($A21,[1]morph_04R500.dat!$A:$A,[1]morph_04R500.dat!R:R,"-",0)</f>
        <v>1.9119999999999999</v>
      </c>
      <c r="M21" s="2">
        <f>_xlfn.XLOOKUP($A21,[1]Table7_badETA!$A:$A,[1]Table7_badETA!T:T,"-",0)</f>
        <v>0.42963885429638854</v>
      </c>
      <c r="N21" s="2">
        <f>_xlfn.XLOOKUP($A21,[1]Table7_badETA!$A:$A,[1]Table7_badETA!U:U,"-",0)</f>
        <v>9.9041380521271722E-3</v>
      </c>
      <c r="O21" s="7">
        <f>_xlfn.XLOOKUP($A21,[1]Table7_badETA!$A:$A,[1]Table7_badETA!S:S,"-",0)</f>
        <v>553.69843000000003</v>
      </c>
    </row>
    <row r="22" spans="1:15" x14ac:dyDescent="0.2">
      <c r="A22" s="8" t="s">
        <v>33</v>
      </c>
      <c r="B22" s="8" cm="1">
        <f t="array" aca="1" ref="B22" ca="1">_xlfn.XLOOKUP(A22,[1]Table2_V5_w3C28!A:A,[1]Table2_V5_w3C28!B:B,nan(),0)</f>
        <v>0.21099999999999999</v>
      </c>
      <c r="C22" s="8" cm="1">
        <f t="array" aca="1" ref="C22" ca="1">_xlfn.XLOOKUP(A22,[1]Table2_V5_w3C28!A:A,[1]Table2_V5_w3C28!D:D,nan(),0)</f>
        <v>24.394600000000001</v>
      </c>
      <c r="D22" s="8" cm="1">
        <f t="array" aca="1" ref="D22" ca="1">_xlfn.XLOOKUP(A22,[1]Table2_V5_w3C28!A:A,[1]Table2_V5_w3C28!E:E,nan(),0)</f>
        <v>-12.9931</v>
      </c>
      <c r="E22" s="1">
        <f>_xlfn.XLOOKUP($A22,[1]Table7_badETA!$A:$A,[1]Table7_badETA!C:C,"-",0)</f>
        <v>3.7249999999999998E-2</v>
      </c>
      <c r="F22" s="1">
        <f>_xlfn.XLOOKUP($A22,[1]Table7_badETA!$A:$A,[1]Table7_badETA!E:E,"-",0)</f>
        <v>4.3220000000000003E-3</v>
      </c>
      <c r="G22" s="5">
        <f>_xlfn.XLOOKUP($A22,[1]Table7_badETA!$A:$A,[1]Table7_badETA!F:F,"-",0)</f>
        <v>9.3600000000000008E-9</v>
      </c>
      <c r="H22" s="6">
        <f>_xlfn.XLOOKUP($A22,[1]Table7_badETA!$A:$A,[1]Table7_badETA!H:H,"-",0)</f>
        <v>3.2399999999999999E-8</v>
      </c>
      <c r="I22" s="2">
        <f>_xlfn.XLOOKUP($A22,[1]Table7_badETA!$A:$A,[1]Table7_badETA!M:M,"-",0)</f>
        <v>0.88919999999999999</v>
      </c>
      <c r="J22" s="2">
        <f>_xlfn.XLOOKUP($A22,[1]Table7_badETA!$A:$A,[1]Table7_badETA!O:O,"-",0)</f>
        <v>5.534E-2</v>
      </c>
      <c r="K22" s="2">
        <f>_xlfn.XLOOKUP($A22,[1]morph_04R500.dat!$A:$A,[1]morph_04R500.dat!P:P,"-",0)</f>
        <v>87.56</v>
      </c>
      <c r="L22" s="2">
        <f>_xlfn.XLOOKUP($A22,[1]morph_04R500.dat!$A:$A,[1]morph_04R500.dat!R:R,"-",0)</f>
        <v>2.673</v>
      </c>
      <c r="M22" s="2">
        <f>_xlfn.XLOOKUP($A22,[1]Table7_badETA!$A:$A,[1]Table7_badETA!T:T,"-",0)</f>
        <v>0.35221930520788813</v>
      </c>
      <c r="N22" s="2">
        <f>_xlfn.XLOOKUP($A22,[1]Table7_badETA!$A:$A,[1]Table7_badETA!U:U,"-",0)</f>
        <v>1.5832018330992903E-2</v>
      </c>
      <c r="O22" s="7">
        <f>_xlfn.XLOOKUP($A22,[1]Table7_badETA!$A:$A,[1]Table7_badETA!S:S,"-",0)</f>
        <v>367.98565000000002</v>
      </c>
    </row>
    <row r="23" spans="1:15" x14ac:dyDescent="0.2">
      <c r="A23" s="8" t="s">
        <v>34</v>
      </c>
      <c r="B23" s="8" cm="1">
        <f t="array" aca="1" ref="B23" ca="1">_xlfn.XLOOKUP(A23,[1]Table2_V5_w3C28!A:A,[1]Table2_V5_w3C28!B:B,nan(),0)</f>
        <v>0.20699999999999999</v>
      </c>
      <c r="C23" s="8" cm="1">
        <f t="array" aca="1" ref="C23" ca="1">_xlfn.XLOOKUP(A23,[1]Table2_V5_w3C28!A:A,[1]Table2_V5_w3C28!D:D,nan(),0)</f>
        <v>24.483499999999999</v>
      </c>
      <c r="D23" s="8" cm="1">
        <f t="array" aca="1" ref="D23" ca="1">_xlfn.XLOOKUP(A23,[1]Table2_V5_w3C28!A:A,[1]Table2_V5_w3C28!E:E,nan(),0)</f>
        <v>-12.819800000000001</v>
      </c>
      <c r="E23" s="1">
        <f>_xlfn.XLOOKUP($A23,[1]Table7_badETA!$A:$A,[1]Table7_badETA!C:C,"-",0)</f>
        <v>4.0489999999999998E-2</v>
      </c>
      <c r="F23" s="1">
        <f>_xlfn.XLOOKUP($A23,[1]Table7_badETA!$A:$A,[1]Table7_badETA!E:E,"-",0)</f>
        <v>3.6879999999999999E-3</v>
      </c>
      <c r="G23" s="5">
        <f>_xlfn.XLOOKUP($A23,[1]Table7_badETA!$A:$A,[1]Table7_badETA!F:F,"-",0)</f>
        <v>5.0500000000000002E-8</v>
      </c>
      <c r="H23" s="6">
        <f>_xlfn.XLOOKUP($A23,[1]Table7_badETA!$A:$A,[1]Table7_badETA!H:H,"-",0)</f>
        <v>4.6800000000000002E-8</v>
      </c>
      <c r="I23" s="2">
        <f>_xlfn.XLOOKUP($A23,[1]Table7_badETA!$A:$A,[1]Table7_badETA!M:M,"-",0)</f>
        <v>0.87160000000000004</v>
      </c>
      <c r="J23" s="2">
        <f>_xlfn.XLOOKUP($A23,[1]Table7_badETA!$A:$A,[1]Table7_badETA!O:O,"-",0)</f>
        <v>1.027E-2</v>
      </c>
      <c r="K23" s="2">
        <f>_xlfn.XLOOKUP($A23,[1]morph_04R500.dat!$A:$A,[1]morph_04R500.dat!P:P,"-",0)</f>
        <v>11.49</v>
      </c>
      <c r="L23" s="2">
        <f>_xlfn.XLOOKUP($A23,[1]morph_04R500.dat!$A:$A,[1]morph_04R500.dat!R:R,"-",0)</f>
        <v>2.0539999999999998</v>
      </c>
      <c r="M23" s="2">
        <f>_xlfn.XLOOKUP($A23,[1]Table7_badETA!$A:$A,[1]Table7_badETA!T:T,"-",0)</f>
        <v>0.48719385753516786</v>
      </c>
      <c r="N23" s="2">
        <f>_xlfn.XLOOKUP($A23,[1]Table7_badETA!$A:$A,[1]Table7_badETA!U:U,"-",0)</f>
        <v>1.6008730833774496E-2</v>
      </c>
      <c r="O23" s="7">
        <f>_xlfn.XLOOKUP($A23,[1]Table7_badETA!$A:$A,[1]Table7_badETA!S:S,"-",0)</f>
        <v>419.09874000000002</v>
      </c>
    </row>
    <row r="24" spans="1:15" x14ac:dyDescent="0.2">
      <c r="A24" s="8" t="s">
        <v>35</v>
      </c>
      <c r="B24" s="8" cm="1">
        <f t="array" aca="1" ref="B24" ca="1">_xlfn.XLOOKUP(A24,[1]Table2_V5_w3C28!A:A,[1]Table2_V5_w3C28!B:B,nan(),0)</f>
        <v>0.28000000000000003</v>
      </c>
      <c r="C24" s="8" cm="1">
        <f t="array" aca="1" ref="C24" ca="1">_xlfn.XLOOKUP(A24,[1]Table2_V5_w3C28!A:A,[1]Table2_V5_w3C28!D:D,nan(),0)</f>
        <v>25.513400000000001</v>
      </c>
      <c r="D24" s="8" cm="1">
        <f t="array" aca="1" ref="D24" ca="1">_xlfn.XLOOKUP(A24,[1]Table2_V5_w3C28!A:A,[1]Table2_V5_w3C28!E:E,nan(),0)</f>
        <v>21.5212</v>
      </c>
      <c r="E24" s="1">
        <f>_xlfn.XLOOKUP($A24,[1]Table7_badETA!$A:$A,[1]Table7_badETA!C:C,"-",0)</f>
        <v>2.1329999999999998E-2</v>
      </c>
      <c r="F24" s="1">
        <f>_xlfn.XLOOKUP($A24,[1]Table7_badETA!$A:$A,[1]Table7_badETA!E:E,"-",0)</f>
        <v>2.7569999999999999E-3</v>
      </c>
      <c r="G24" s="5">
        <f>_xlfn.XLOOKUP($A24,[1]Table7_badETA!$A:$A,[1]Table7_badETA!F:F,"-",0)</f>
        <v>3.1699999999999999E-7</v>
      </c>
      <c r="H24" s="6">
        <f>_xlfn.XLOOKUP($A24,[1]Table7_badETA!$A:$A,[1]Table7_badETA!H:H,"-",0)</f>
        <v>1.3199999999999999E-7</v>
      </c>
      <c r="I24" s="2">
        <f>_xlfn.XLOOKUP($A24,[1]Table7_badETA!$A:$A,[1]Table7_badETA!M:M,"-",0)</f>
        <v>0.91649999999999998</v>
      </c>
      <c r="J24" s="2">
        <f>_xlfn.XLOOKUP($A24,[1]Table7_badETA!$A:$A,[1]Table7_badETA!O:O,"-",0)</f>
        <v>6.3009999999999997E-2</v>
      </c>
      <c r="K24" s="2">
        <f>_xlfn.XLOOKUP($A24,[1]morph_04R500.dat!$A:$A,[1]morph_04R500.dat!P:P,"-",0)</f>
        <v>-89.44</v>
      </c>
      <c r="L24" s="2">
        <f>_xlfn.XLOOKUP($A24,[1]morph_04R500.dat!$A:$A,[1]morph_04R500.dat!R:R,"-",0)</f>
        <v>4.2060000000000004</v>
      </c>
      <c r="M24" s="2" t="str">
        <f>_xlfn.XLOOKUP($A24,[1]Table7_badETA!$A:$A,[1]Table7_badETA!T:T,"-",0)</f>
        <v>-</v>
      </c>
      <c r="N24" s="2" t="str">
        <f>_xlfn.XLOOKUP($A24,[1]Table7_badETA!$A:$A,[1]Table7_badETA!U:U,"-",0)</f>
        <v>-</v>
      </c>
      <c r="O24" s="7">
        <f>_xlfn.XLOOKUP($A24,[1]Table7_badETA!$A:$A,[1]Table7_badETA!S:S,"-",0)</f>
        <v>478.33434999999997</v>
      </c>
    </row>
    <row r="25" spans="1:15" x14ac:dyDescent="0.2">
      <c r="A25" s="8" t="s">
        <v>36</v>
      </c>
      <c r="B25" s="8" cm="1">
        <f t="array" aca="1" ref="B25" ca="1">_xlfn.XLOOKUP(A25,[1]Table2_V5_w3C28!A:A,[1]Table2_V5_w3C28!B:B,nan(),0)</f>
        <v>0.36499999999999999</v>
      </c>
      <c r="C25" s="8" cm="1">
        <f t="array" aca="1" ref="C25" ca="1">_xlfn.XLOOKUP(A25,[1]Table2_V5_w3C28!A:A,[1]Table2_V5_w3C28!D:D,nan(),0)</f>
        <v>27.5885</v>
      </c>
      <c r="D25" s="8" cm="1">
        <f t="array" aca="1" ref="D25" ca="1">_xlfn.XLOOKUP(A25,[1]Table2_V5_w3C28!A:A,[1]Table2_V5_w3C28!E:E,nan(),0)</f>
        <v>-10.0915</v>
      </c>
      <c r="E25" s="1">
        <f>_xlfn.XLOOKUP($A25,[1]Table7_badETA!$A:$A,[1]Table7_badETA!C:C,"-",0)</f>
        <v>5.5280000000000003E-2</v>
      </c>
      <c r="F25" s="1">
        <f>_xlfn.XLOOKUP($A25,[1]Table7_badETA!$A:$A,[1]Table7_badETA!E:E,"-",0)</f>
        <v>6.5339999999999999E-3</v>
      </c>
      <c r="G25" s="5">
        <f>_xlfn.XLOOKUP($A25,[1]Table7_badETA!$A:$A,[1]Table7_badETA!F:F,"-",0)</f>
        <v>4.4500000000000001E-8</v>
      </c>
      <c r="H25" s="6">
        <f>_xlfn.XLOOKUP($A25,[1]Table7_badETA!$A:$A,[1]Table7_badETA!H:H,"-",0)</f>
        <v>6.4799999999999998E-8</v>
      </c>
      <c r="I25" s="2">
        <f>_xlfn.XLOOKUP($A25,[1]Table7_badETA!$A:$A,[1]Table7_badETA!M:M,"-",0)</f>
        <v>0.90100000000000002</v>
      </c>
      <c r="J25" s="2">
        <f>_xlfn.XLOOKUP($A25,[1]Table7_badETA!$A:$A,[1]Table7_badETA!O:O,"-",0)</f>
        <v>1.5129999999999999E-2</v>
      </c>
      <c r="K25" s="2">
        <f>_xlfn.XLOOKUP($A25,[1]morph_04R500.dat!$A:$A,[1]morph_04R500.dat!P:P,"-",0)</f>
        <v>-45.92</v>
      </c>
      <c r="L25" s="2">
        <f>_xlfn.XLOOKUP($A25,[1]morph_04R500.dat!$A:$A,[1]morph_04R500.dat!R:R,"-",0)</f>
        <v>4.4989999999999997</v>
      </c>
      <c r="M25" s="2">
        <f>_xlfn.XLOOKUP($A25,[1]Table7_badETA!$A:$A,[1]Table7_badETA!T:T,"-",0)</f>
        <v>0.65591514233142112</v>
      </c>
      <c r="N25" s="2">
        <f>_xlfn.XLOOKUP($A25,[1]Table7_badETA!$A:$A,[1]Table7_badETA!U:U,"-",0)</f>
        <v>2.0765679408236416E-2</v>
      </c>
      <c r="O25" s="7">
        <f>_xlfn.XLOOKUP($A25,[1]Table7_badETA!$A:$A,[1]Table7_badETA!S:S,"-",0)</f>
        <v>350.06020999999998</v>
      </c>
    </row>
    <row r="26" spans="1:15" x14ac:dyDescent="0.2">
      <c r="A26" s="8" t="s">
        <v>37</v>
      </c>
      <c r="B26" s="8" cm="1">
        <f t="array" aca="1" ref="B26" ca="1">_xlfn.XLOOKUP(A26,[1]Table2_V5_w3C28!A:A,[1]Table2_V5_w3C28!B:B,nan(),0)</f>
        <v>0.23100000000000001</v>
      </c>
      <c r="C26" s="8" cm="1">
        <f t="array" aca="1" ref="C26" ca="1">_xlfn.XLOOKUP(A26,[1]Table2_V5_w3C28!A:A,[1]Table2_V5_w3C28!D:D,nan(),0)</f>
        <v>28.177399999999999</v>
      </c>
      <c r="D26" s="8" cm="1">
        <f t="array" aca="1" ref="D26" ca="1">_xlfn.XLOOKUP(A26,[1]Table2_V5_w3C28!A:A,[1]Table2_V5_w3C28!E:E,nan(),0)</f>
        <v>1.0123</v>
      </c>
      <c r="E26" s="1">
        <f>_xlfn.XLOOKUP($A26,[1]Table7_badETA!$A:$A,[1]Table7_badETA!C:C,"-",0)</f>
        <v>2.878E-2</v>
      </c>
      <c r="F26" s="1">
        <f>_xlfn.XLOOKUP($A26,[1]Table7_badETA!$A:$A,[1]Table7_badETA!E:E,"-",0)</f>
        <v>3.7090000000000001E-3</v>
      </c>
      <c r="G26" s="5">
        <f>_xlfn.XLOOKUP($A26,[1]Table7_badETA!$A:$A,[1]Table7_badETA!F:F,"-",0)</f>
        <v>6.7999999999999997E-9</v>
      </c>
      <c r="H26" s="6">
        <f>_xlfn.XLOOKUP($A26,[1]Table7_badETA!$A:$A,[1]Table7_badETA!H:H,"-",0)</f>
        <v>1.7500000000000001E-8</v>
      </c>
      <c r="I26" s="2">
        <f>_xlfn.XLOOKUP($A26,[1]Table7_badETA!$A:$A,[1]Table7_badETA!M:M,"-",0)</f>
        <v>0.86040000000000005</v>
      </c>
      <c r="J26" s="2">
        <f>_xlfn.XLOOKUP($A26,[1]Table7_badETA!$A:$A,[1]Table7_badETA!O:O,"-",0)</f>
        <v>9.9740000000000002E-3</v>
      </c>
      <c r="K26" s="2">
        <f>_xlfn.XLOOKUP($A26,[1]morph_04R500.dat!$A:$A,[1]morph_04R500.dat!P:P,"-",0)</f>
        <v>17.05</v>
      </c>
      <c r="L26" s="2">
        <f>_xlfn.XLOOKUP($A26,[1]morph_04R500.dat!$A:$A,[1]morph_04R500.dat!R:R,"-",0)</f>
        <v>1.921</v>
      </c>
      <c r="M26" s="2">
        <f>_xlfn.XLOOKUP($A26,[1]Table7_badETA!$A:$A,[1]Table7_badETA!T:T,"-",0)</f>
        <v>0.54193548387096768</v>
      </c>
      <c r="N26" s="2">
        <f>_xlfn.XLOOKUP($A26,[1]Table7_badETA!$A:$A,[1]Table7_badETA!U:U,"-",0)</f>
        <v>1.0382339361736152E-2</v>
      </c>
      <c r="O26" s="7">
        <f>_xlfn.XLOOKUP($A26,[1]Table7_badETA!$A:$A,[1]Table7_badETA!S:S,"-",0)</f>
        <v>510.80651</v>
      </c>
    </row>
    <row r="27" spans="1:15" x14ac:dyDescent="0.2">
      <c r="A27" s="8" t="s">
        <v>38</v>
      </c>
      <c r="B27" s="8" cm="1">
        <f t="array" aca="1" ref="B27" ca="1">_xlfn.XLOOKUP(A27,[1]Table2_V5_w3C28!A:A,[1]Table2_V5_w3C28!B:B,nan(),0)</f>
        <v>0.32200000000000001</v>
      </c>
      <c r="C27" s="8" cm="1">
        <f t="array" aca="1" ref="C27" ca="1">_xlfn.XLOOKUP(A27,[1]Table2_V5_w3C28!A:A,[1]Table2_V5_w3C28!D:D,nan(),0)</f>
        <v>29.956</v>
      </c>
      <c r="D27" s="8" cm="1">
        <f t="array" aca="1" ref="D27" ca="1">_xlfn.XLOOKUP(A27,[1]Table2_V5_w3C28!A:A,[1]Table2_V5_w3C28!E:E,nan(),0)</f>
        <v>-8.8336000000000006</v>
      </c>
      <c r="E27" s="1">
        <f>_xlfn.XLOOKUP($A27,[1]Table7_badETA!$A:$A,[1]Table7_badETA!C:C,"-",0)</f>
        <v>4.4220000000000002E-2</v>
      </c>
      <c r="F27" s="1">
        <f>_xlfn.XLOOKUP($A27,[1]Table7_badETA!$A:$A,[1]Table7_badETA!E:E,"-",0)</f>
        <v>9.2130000000000007E-3</v>
      </c>
      <c r="G27" s="5">
        <f>_xlfn.XLOOKUP($A27,[1]Table7_badETA!$A:$A,[1]Table7_badETA!F:F,"-",0)</f>
        <v>1.2499999999999999E-8</v>
      </c>
      <c r="H27" s="6">
        <f>_xlfn.XLOOKUP($A27,[1]Table7_badETA!$A:$A,[1]Table7_badETA!H:H,"-",0)</f>
        <v>1.2499999999999999E-8</v>
      </c>
      <c r="I27" s="2">
        <f>_xlfn.XLOOKUP($A27,[1]Table7_badETA!$A:$A,[1]Table7_badETA!M:M,"-",0)</f>
        <v>0.96179999999999999</v>
      </c>
      <c r="J27" s="2">
        <f>_xlfn.XLOOKUP($A27,[1]Table7_badETA!$A:$A,[1]Table7_badETA!O:O,"-",0)</f>
        <v>6.4749999999999999E-3</v>
      </c>
      <c r="K27" s="2">
        <f>_xlfn.XLOOKUP($A27,[1]morph_04R500.dat!$A:$A,[1]morph_04R500.dat!P:P,"-",0)</f>
        <v>22.92</v>
      </c>
      <c r="L27" s="2">
        <f>_xlfn.XLOOKUP($A27,[1]morph_04R500.dat!$A:$A,[1]morph_04R500.dat!R:R,"-",0)</f>
        <v>5.0090000000000003</v>
      </c>
      <c r="M27" s="2">
        <f>_xlfn.XLOOKUP($A27,[1]Table7_badETA!$A:$A,[1]Table7_badETA!T:T,"-",0)</f>
        <v>0.70892216831892008</v>
      </c>
      <c r="N27" s="2">
        <f>_xlfn.XLOOKUP($A27,[1]Table7_badETA!$A:$A,[1]Table7_badETA!U:U,"-",0)</f>
        <v>6.2247011244389054E-3</v>
      </c>
      <c r="O27" s="7">
        <f>_xlfn.XLOOKUP($A27,[1]Table7_badETA!$A:$A,[1]Table7_badETA!S:S,"-",0)</f>
        <v>539.26590999999996</v>
      </c>
    </row>
    <row r="28" spans="1:15" x14ac:dyDescent="0.2">
      <c r="A28" s="8" t="s">
        <v>39</v>
      </c>
      <c r="B28" s="8" cm="1">
        <f t="array" aca="1" ref="B28" ca="1">_xlfn.XLOOKUP(A28,[1]Table2_V5_w3C28!A:A,[1]Table2_V5_w3C28!B:B,nan(),0)</f>
        <v>0.41399999999999998</v>
      </c>
      <c r="C28" s="8" cm="1">
        <f t="array" aca="1" ref="C28" ca="1">_xlfn.XLOOKUP(A28,[1]Table2_V5_w3C28!A:A,[1]Table2_V5_w3C28!D:D,nan(),0)</f>
        <v>37.107199999999999</v>
      </c>
      <c r="D28" s="8" cm="1">
        <f t="array" aca="1" ref="D28" ca="1">_xlfn.XLOOKUP(A28,[1]Table2_V5_w3C28!A:A,[1]Table2_V5_w3C28!E:E,nan(),0)</f>
        <v>0.53280000000000005</v>
      </c>
      <c r="E28" s="1">
        <f>_xlfn.XLOOKUP($A28,[1]Table7_badETA!$A:$A,[1]Table7_badETA!C:C,"-",0)</f>
        <v>0.1012</v>
      </c>
      <c r="F28" s="1">
        <f>_xlfn.XLOOKUP($A28,[1]Table7_badETA!$A:$A,[1]Table7_badETA!E:E,"-",0)</f>
        <v>2.911E-2</v>
      </c>
      <c r="G28" s="5">
        <f>_xlfn.XLOOKUP($A28,[1]Table7_badETA!$A:$A,[1]Table7_badETA!F:F,"-",0)</f>
        <v>1.06E-6</v>
      </c>
      <c r="H28" s="6">
        <f>_xlfn.XLOOKUP($A28,[1]Table7_badETA!$A:$A,[1]Table7_badETA!H:H,"-",0)</f>
        <v>1.08E-6</v>
      </c>
      <c r="I28" s="2">
        <f>_xlfn.XLOOKUP($A28,[1]Table7_badETA!$A:$A,[1]Table7_badETA!M:M,"-",0)</f>
        <v>0.81679999999999997</v>
      </c>
      <c r="J28" s="2">
        <f>_xlfn.XLOOKUP($A28,[1]Table7_badETA!$A:$A,[1]Table7_badETA!O:O,"-",0)</f>
        <v>1.8110000000000001E-2</v>
      </c>
      <c r="K28" s="2">
        <f>_xlfn.XLOOKUP($A28,[1]morph_04R500.dat!$A:$A,[1]morph_04R500.dat!P:P,"-",0)</f>
        <v>-36.799999999999997</v>
      </c>
      <c r="L28" s="2">
        <f>_xlfn.XLOOKUP($A28,[1]morph_04R500.dat!$A:$A,[1]morph_04R500.dat!R:R,"-",0)</f>
        <v>4.7329999999999997</v>
      </c>
      <c r="M28" s="2" t="str">
        <f>_xlfn.XLOOKUP($A28,[1]Table7_badETA!$A:$A,[1]Table7_badETA!T:T,"-",0)</f>
        <v>-</v>
      </c>
      <c r="N28" s="2" t="str">
        <f>_xlfn.XLOOKUP($A28,[1]Table7_badETA!$A:$A,[1]Table7_badETA!U:U,"-",0)</f>
        <v>-</v>
      </c>
      <c r="O28" s="7">
        <f>_xlfn.XLOOKUP($A28,[1]Table7_badETA!$A:$A,[1]Table7_badETA!S:S,"-",0)</f>
        <v>528.19518000000005</v>
      </c>
    </row>
    <row r="29" spans="1:15" x14ac:dyDescent="0.2">
      <c r="A29" s="8" t="s">
        <v>40</v>
      </c>
      <c r="B29" s="8" cm="1">
        <f t="array" aca="1" ref="B29" ca="1">_xlfn.XLOOKUP(A29,[1]Table2_V5_w3C28!A:A,[1]Table2_V5_w3C28!B:B,nan(),0)</f>
        <v>0.22</v>
      </c>
      <c r="C29" s="8" cm="1">
        <f t="array" aca="1" ref="C29" ca="1">_xlfn.XLOOKUP(A29,[1]Table2_V5_w3C28!A:A,[1]Table2_V5_w3C28!D:D,nan(),0)</f>
        <v>39.365200000000002</v>
      </c>
      <c r="D29" s="8" cm="1">
        <f t="array" aca="1" ref="D29" ca="1">_xlfn.XLOOKUP(A29,[1]Table2_V5_w3C28!A:A,[1]Table2_V5_w3C28!E:E,nan(),0)</f>
        <v>-26.507999999999999</v>
      </c>
      <c r="E29" s="1">
        <f>_xlfn.XLOOKUP($A29,[1]Table7_badETA!$A:$A,[1]Table7_badETA!C:C,"-",0)</f>
        <v>1.908E-2</v>
      </c>
      <c r="F29" s="1">
        <f>_xlfn.XLOOKUP($A29,[1]Table7_badETA!$A:$A,[1]Table7_badETA!E:E,"-",0)</f>
        <v>2.1779999999999998E-3</v>
      </c>
      <c r="G29" s="5">
        <f>_xlfn.XLOOKUP($A29,[1]Table7_badETA!$A:$A,[1]Table7_badETA!F:F,"-",0)</f>
        <v>2.4599999999999999E-8</v>
      </c>
      <c r="H29" s="6">
        <f>_xlfn.XLOOKUP($A29,[1]Table7_badETA!$A:$A,[1]Table7_badETA!H:H,"-",0)</f>
        <v>3.8600000000000002E-8</v>
      </c>
      <c r="I29" s="2">
        <f>_xlfn.XLOOKUP($A29,[1]Table7_badETA!$A:$A,[1]Table7_badETA!M:M,"-",0)</f>
        <v>0.874</v>
      </c>
      <c r="J29" s="2">
        <f>_xlfn.XLOOKUP($A29,[1]Table7_badETA!$A:$A,[1]Table7_badETA!O:O,"-",0)</f>
        <v>1.355E-2</v>
      </c>
      <c r="K29" s="2">
        <f>_xlfn.XLOOKUP($A29,[1]morph_04R500.dat!$A:$A,[1]morph_04R500.dat!P:P,"-",0)</f>
        <v>77.790000000000006</v>
      </c>
      <c r="L29" s="2">
        <f>_xlfn.XLOOKUP($A29,[1]morph_04R500.dat!$A:$A,[1]morph_04R500.dat!R:R,"-",0)</f>
        <v>2.9329999999999998</v>
      </c>
      <c r="M29" s="2" t="str">
        <f>_xlfn.XLOOKUP($A29,[1]Table7_badETA!$A:$A,[1]Table7_badETA!T:T,"-",0)</f>
        <v>-</v>
      </c>
      <c r="N29" s="2" t="str">
        <f>_xlfn.XLOOKUP($A29,[1]Table7_badETA!$A:$A,[1]Table7_badETA!U:U,"-",0)</f>
        <v>-</v>
      </c>
      <c r="O29" s="7">
        <f>_xlfn.XLOOKUP($A29,[1]Table7_badETA!$A:$A,[1]Table7_badETA!S:S,"-",0)</f>
        <v>442.76136000000002</v>
      </c>
    </row>
    <row r="30" spans="1:15" x14ac:dyDescent="0.2">
      <c r="A30" s="8" t="s">
        <v>41</v>
      </c>
      <c r="B30" s="8" cm="1">
        <f t="array" aca="1" ref="B30" ca="1">_xlfn.XLOOKUP(A30,[1]Table2_V5_w3C28!A:A,[1]Table2_V5_w3C28!B:B,nan(),0)</f>
        <v>0.13600000000000001</v>
      </c>
      <c r="C30" s="8" cm="1">
        <f t="array" aca="1" ref="C30" ca="1">_xlfn.XLOOKUP(A30,[1]Table2_V5_w3C28!A:A,[1]Table2_V5_w3C28!D:D,nan(),0)</f>
        <v>39.503399999999999</v>
      </c>
      <c r="D30" s="8" cm="1">
        <f t="array" aca="1" ref="D30" ca="1">_xlfn.XLOOKUP(A30,[1]Table2_V5_w3C28!A:A,[1]Table2_V5_w3C28!E:E,nan(),0)</f>
        <v>-52.419800000000002</v>
      </c>
      <c r="E30" s="1">
        <f>_xlfn.XLOOKUP($A30,[1]Table7_badETA!$A:$A,[1]Table7_badETA!C:C,"-",0)</f>
        <v>5.1139999999999998E-2</v>
      </c>
      <c r="F30" s="1">
        <f>_xlfn.XLOOKUP($A30,[1]Table7_badETA!$A:$A,[1]Table7_badETA!E:E,"-",0)</f>
        <v>1.1560000000000001E-2</v>
      </c>
      <c r="G30" s="5">
        <f>_xlfn.XLOOKUP($A30,[1]Table7_badETA!$A:$A,[1]Table7_badETA!F:F,"-",0)</f>
        <v>1.96E-8</v>
      </c>
      <c r="H30" s="6">
        <f>_xlfn.XLOOKUP($A30,[1]Table7_badETA!$A:$A,[1]Table7_badETA!H:H,"-",0)</f>
        <v>1.67E-7</v>
      </c>
      <c r="I30" s="2">
        <f>_xlfn.XLOOKUP($A30,[1]Table7_badETA!$A:$A,[1]Table7_badETA!M:M,"-",0)</f>
        <v>0.91239999999999999</v>
      </c>
      <c r="J30" s="2">
        <f>_xlfn.XLOOKUP($A30,[1]Table7_badETA!$A:$A,[1]Table7_badETA!O:O,"-",0)</f>
        <v>1.8239999999999999E-2</v>
      </c>
      <c r="K30" s="2">
        <f>_xlfn.XLOOKUP($A30,[1]morph_04R500.dat!$A:$A,[1]morph_04R500.dat!P:P,"-",0)</f>
        <v>-25.14</v>
      </c>
      <c r="L30" s="2">
        <f>_xlfn.XLOOKUP($A30,[1]morph_04R500.dat!$A:$A,[1]morph_04R500.dat!R:R,"-",0)</f>
        <v>6.9089999999999998</v>
      </c>
      <c r="M30" s="2" t="str">
        <f>_xlfn.XLOOKUP($A30,[1]Table7_badETA!$A:$A,[1]Table7_badETA!T:T,"-",0)</f>
        <v>-</v>
      </c>
      <c r="N30" s="2" t="str">
        <f>_xlfn.XLOOKUP($A30,[1]Table7_badETA!$A:$A,[1]Table7_badETA!U:U,"-",0)</f>
        <v>-</v>
      </c>
      <c r="O30" s="7">
        <f>_xlfn.XLOOKUP($A30,[1]Table7_badETA!$A:$A,[1]Table7_badETA!S:S,"-",0)</f>
        <v>322.30824000000001</v>
      </c>
    </row>
    <row r="31" spans="1:15" x14ac:dyDescent="0.2">
      <c r="A31" s="8" t="s">
        <v>42</v>
      </c>
      <c r="B31" s="8" cm="1">
        <f t="array" aca="1" ref="B31" ca="1">_xlfn.XLOOKUP(A31,[1]Table2_V5_w3C28!A:A,[1]Table2_V5_w3C28!B:B,nan(),0)</f>
        <v>0.375</v>
      </c>
      <c r="C31" s="8" cm="1">
        <f t="array" aca="1" ref="C31" ca="1">_xlfn.XLOOKUP(A31,[1]Table2_V5_w3C28!A:A,[1]Table2_V5_w3C28!D:D,nan(),0)</f>
        <v>39.970700000000001</v>
      </c>
      <c r="D31" s="8" cm="1">
        <f t="array" aca="1" ref="D31" ca="1">_xlfn.XLOOKUP(A31,[1]Table2_V5_w3C28!A:A,[1]Table2_V5_w3C28!E:E,nan(),0)</f>
        <v>-1.5792999999999999</v>
      </c>
      <c r="E31" s="1">
        <f>_xlfn.XLOOKUP($A31,[1]Table7_badETA!$A:$A,[1]Table7_badETA!C:C,"-",0)</f>
        <v>3.9129999999999998E-2</v>
      </c>
      <c r="F31" s="1">
        <f>_xlfn.XLOOKUP($A31,[1]Table7_badETA!$A:$A,[1]Table7_badETA!E:E,"-",0)</f>
        <v>4.9880000000000002E-3</v>
      </c>
      <c r="G31" s="5">
        <f>_xlfn.XLOOKUP($A31,[1]Table7_badETA!$A:$A,[1]Table7_badETA!F:F,"-",0)</f>
        <v>1.0700000000000001E-7</v>
      </c>
      <c r="H31" s="6">
        <f>_xlfn.XLOOKUP($A31,[1]Table7_badETA!$A:$A,[1]Table7_badETA!H:H,"-",0)</f>
        <v>4.73E-8</v>
      </c>
      <c r="I31" s="2">
        <f>_xlfn.XLOOKUP($A31,[1]Table7_badETA!$A:$A,[1]Table7_badETA!M:M,"-",0)</f>
        <v>0.82089999999999996</v>
      </c>
      <c r="J31" s="2">
        <f>_xlfn.XLOOKUP($A31,[1]Table7_badETA!$A:$A,[1]Table7_badETA!O:O,"-",0)</f>
        <v>5.6930000000000001E-2</v>
      </c>
      <c r="K31" s="2">
        <f>_xlfn.XLOOKUP($A31,[1]morph_04R500.dat!$A:$A,[1]morph_04R500.dat!P:P,"-",0)</f>
        <v>-1.552</v>
      </c>
      <c r="L31" s="2">
        <f>_xlfn.XLOOKUP($A31,[1]morph_04R500.dat!$A:$A,[1]morph_04R500.dat!R:R,"-",0)</f>
        <v>1.004</v>
      </c>
      <c r="M31" s="2">
        <f>_xlfn.XLOOKUP($A31,[1]Table7_badETA!$A:$A,[1]Table7_badETA!T:T,"-",0)</f>
        <v>0.35890383557533628</v>
      </c>
      <c r="N31" s="2">
        <f>_xlfn.XLOOKUP($A31,[1]Table7_badETA!$A:$A,[1]Table7_badETA!U:U,"-",0)</f>
        <v>8.4957458818189276E-3</v>
      </c>
      <c r="O31" s="7">
        <f>_xlfn.XLOOKUP($A31,[1]Table7_badETA!$A:$A,[1]Table7_badETA!S:S,"-",0)</f>
        <v>496.64053999999999</v>
      </c>
    </row>
    <row r="32" spans="1:15" x14ac:dyDescent="0.2">
      <c r="A32" s="8" t="s">
        <v>43</v>
      </c>
      <c r="B32" s="8" cm="1">
        <f t="array" aca="1" ref="B32" ca="1">_xlfn.XLOOKUP(A32,[1]Table2_V5_w3C28!A:A,[1]Table2_V5_w3C28!B:B,nan(),0)</f>
        <v>0.314</v>
      </c>
      <c r="C32" s="8" cm="1">
        <f t="array" aca="1" ref="C32" ca="1">_xlfn.XLOOKUP(A32,[1]Table2_V5_w3C28!A:A,[1]Table2_V5_w3C28!D:D,nan(),0)</f>
        <v>40.649500000000003</v>
      </c>
      <c r="D32" s="8" cm="1">
        <f t="array" aca="1" ref="D32" ca="1">_xlfn.XLOOKUP(A32,[1]Table2_V5_w3C28!A:A,[1]Table2_V5_w3C28!E:E,nan(),0)</f>
        <v>-21.540600000000001</v>
      </c>
      <c r="E32" s="1">
        <f>_xlfn.XLOOKUP($A32,[1]Table7_badETA!$A:$A,[1]Table7_badETA!C:C,"-",0)</f>
        <v>6.1069999999999999E-2</v>
      </c>
      <c r="F32" s="1">
        <f>_xlfn.XLOOKUP($A32,[1]Table7_badETA!$A:$A,[1]Table7_badETA!E:E,"-",0)</f>
        <v>5.47E-3</v>
      </c>
      <c r="G32" s="5">
        <f>_xlfn.XLOOKUP($A32,[1]Table7_badETA!$A:$A,[1]Table7_badETA!F:F,"-",0)</f>
        <v>1.55E-8</v>
      </c>
      <c r="H32" s="6">
        <f>_xlfn.XLOOKUP($A32,[1]Table7_badETA!$A:$A,[1]Table7_badETA!H:H,"-",0)</f>
        <v>4.0100000000000002E-8</v>
      </c>
      <c r="I32" s="2">
        <f>_xlfn.XLOOKUP($A32,[1]Table7_badETA!$A:$A,[1]Table7_badETA!M:M,"-",0)</f>
        <v>0.95479999999999998</v>
      </c>
      <c r="J32" s="2">
        <f>_xlfn.XLOOKUP($A32,[1]Table7_badETA!$A:$A,[1]Table7_badETA!O:O,"-",0)</f>
        <v>2.1999999999999999E-2</v>
      </c>
      <c r="K32" s="2">
        <f>_xlfn.XLOOKUP($A32,[1]morph_04R500.dat!$A:$A,[1]morph_04R500.dat!P:P,"-",0)</f>
        <v>-68.09</v>
      </c>
      <c r="L32" s="2">
        <f>_xlfn.XLOOKUP($A32,[1]morph_04R500.dat!$A:$A,[1]morph_04R500.dat!R:R,"-",0)</f>
        <v>12.91</v>
      </c>
      <c r="M32" s="2">
        <f>_xlfn.XLOOKUP($A32,[1]Table7_badETA!$A:$A,[1]Table7_badETA!T:T,"-",0)</f>
        <v>0.78493557978196238</v>
      </c>
      <c r="N32" s="2">
        <f>_xlfn.XLOOKUP($A32,[1]Table7_badETA!$A:$A,[1]Table7_badETA!U:U,"-",0)</f>
        <v>1.271310462609437E-2</v>
      </c>
      <c r="O32" s="7">
        <f>_xlfn.XLOOKUP($A32,[1]Table7_badETA!$A:$A,[1]Table7_badETA!S:S,"-",0)</f>
        <v>401.97676000000001</v>
      </c>
    </row>
    <row r="33" spans="1:15" x14ac:dyDescent="0.2">
      <c r="A33" s="8" t="s">
        <v>44</v>
      </c>
      <c r="B33" s="8" cm="1">
        <f t="array" aca="1" ref="B33" ca="1">_xlfn.XLOOKUP(A33,[1]Table2_V5_w3C28!A:A,[1]Table2_V5_w3C28!B:B,nan(),0)</f>
        <v>0.3</v>
      </c>
      <c r="C33" s="8" cm="1">
        <f t="array" aca="1" ref="C33" ca="1">_xlfn.XLOOKUP(A33,[1]Table2_V5_w3C28!A:A,[1]Table2_V5_w3C28!D:D,nan(),0)</f>
        <v>41.361600000000003</v>
      </c>
      <c r="D33" s="8" cm="1">
        <f t="array" aca="1" ref="D33" ca="1">_xlfn.XLOOKUP(A33,[1]Table2_V5_w3C28!A:A,[1]Table2_V5_w3C28!E:E,nan(),0)</f>
        <v>-53.03</v>
      </c>
      <c r="E33" s="1">
        <f>_xlfn.XLOOKUP($A33,[1]Table7_badETA!$A:$A,[1]Table7_badETA!C:C,"-",0)</f>
        <v>0.17299999999999999</v>
      </c>
      <c r="F33" s="1">
        <f>_xlfn.XLOOKUP($A33,[1]Table7_badETA!$A:$A,[1]Table7_badETA!E:E,"-",0)</f>
        <v>5.254E-3</v>
      </c>
      <c r="G33" s="5">
        <f>_xlfn.XLOOKUP($A33,[1]Table7_badETA!$A:$A,[1]Table7_badETA!F:F,"-",0)</f>
        <v>7.6399999999999996E-8</v>
      </c>
      <c r="H33" s="6">
        <f>_xlfn.XLOOKUP($A33,[1]Table7_badETA!$A:$A,[1]Table7_badETA!H:H,"-",0)</f>
        <v>6.2400000000000003E-8</v>
      </c>
      <c r="I33" s="2">
        <f>_xlfn.XLOOKUP($A33,[1]Table7_badETA!$A:$A,[1]Table7_badETA!M:M,"-",0)</f>
        <v>0.92779999999999996</v>
      </c>
      <c r="J33" s="2">
        <f>_xlfn.XLOOKUP($A33,[1]Table7_badETA!$A:$A,[1]Table7_badETA!O:O,"-",0)</f>
        <v>8.9829999999999997E-3</v>
      </c>
      <c r="K33" s="2">
        <f>_xlfn.XLOOKUP($A33,[1]morph_04R500.dat!$A:$A,[1]morph_04R500.dat!P:P,"-",0)</f>
        <v>-44.58</v>
      </c>
      <c r="L33" s="2">
        <f>_xlfn.XLOOKUP($A33,[1]morph_04R500.dat!$A:$A,[1]morph_04R500.dat!R:R,"-",0)</f>
        <v>3.9990000000000001</v>
      </c>
      <c r="M33" s="2">
        <f>_xlfn.XLOOKUP($A33,[1]Table7_badETA!$A:$A,[1]Table7_badETA!T:T,"-",0)</f>
        <v>0.36176661615068195</v>
      </c>
      <c r="N33" s="2">
        <f>_xlfn.XLOOKUP($A33,[1]Table7_badETA!$A:$A,[1]Table7_badETA!U:U,"-",0)</f>
        <v>1.402677725027252E-2</v>
      </c>
      <c r="O33" s="7">
        <f>_xlfn.XLOOKUP($A33,[1]Table7_badETA!$A:$A,[1]Table7_badETA!S:S,"-",0)</f>
        <v>472.91487000000001</v>
      </c>
    </row>
    <row r="34" spans="1:15" x14ac:dyDescent="0.2">
      <c r="A34" s="8" t="s">
        <v>45</v>
      </c>
      <c r="B34" s="8" cm="1">
        <f t="array" aca="1" ref="B34" ca="1">_xlfn.XLOOKUP(A34,[1]Table2_V5_w3C28!A:A,[1]Table2_V5_w3C28!B:B,nan(),0)</f>
        <v>0.14699999999999999</v>
      </c>
      <c r="C34" s="8" cm="1">
        <f t="array" aca="1" ref="C34" ca="1">_xlfn.XLOOKUP(A34,[1]Table2_V5_w3C28!A:A,[1]Table2_V5_w3C28!D:D,nan(),0)</f>
        <v>41.453800000000001</v>
      </c>
      <c r="D34" s="8" cm="1">
        <f t="array" aca="1" ref="D34" ca="1">_xlfn.XLOOKUP(A34,[1]Table2_V5_w3C28!A:A,[1]Table2_V5_w3C28!E:E,nan(),0)</f>
        <v>9.6105999999999998</v>
      </c>
      <c r="E34" s="1">
        <f>_xlfn.XLOOKUP($A34,[1]Table7_badETA!$A:$A,[1]Table7_badETA!C:C,"-",0)</f>
        <v>2.981E-2</v>
      </c>
      <c r="F34" s="1">
        <f>_xlfn.XLOOKUP($A34,[1]Table7_badETA!$A:$A,[1]Table7_badETA!E:E,"-",0)</f>
        <v>8.9200000000000008E-3</v>
      </c>
      <c r="G34" s="5">
        <f>_xlfn.XLOOKUP($A34,[1]Table7_badETA!$A:$A,[1]Table7_badETA!F:F,"-",0)</f>
        <v>1.5900000000000001E-7</v>
      </c>
      <c r="H34" s="6">
        <f>_xlfn.XLOOKUP($A34,[1]Table7_badETA!$A:$A,[1]Table7_badETA!H:H,"-",0)</f>
        <v>2.6399999999999998E-7</v>
      </c>
      <c r="I34" s="2">
        <f>_xlfn.XLOOKUP($A34,[1]Table7_badETA!$A:$A,[1]Table7_badETA!M:M,"-",0)</f>
        <v>0.95960000000000001</v>
      </c>
      <c r="J34" s="2">
        <f>_xlfn.XLOOKUP($A34,[1]Table7_badETA!$A:$A,[1]Table7_badETA!O:O,"-",0)</f>
        <v>3.3340000000000002E-2</v>
      </c>
      <c r="K34" s="2">
        <f>_xlfn.XLOOKUP($A34,[1]morph_04R500.dat!$A:$A,[1]morph_04R500.dat!P:P,"-",0)</f>
        <v>78.72</v>
      </c>
      <c r="L34" s="2">
        <f>_xlfn.XLOOKUP($A34,[1]morph_04R500.dat!$A:$A,[1]morph_04R500.dat!R:R,"-",0)</f>
        <v>23.98</v>
      </c>
      <c r="M34" s="2" t="str">
        <f>_xlfn.XLOOKUP($A34,[1]Table7_badETA!$A:$A,[1]Table7_badETA!T:T,"-",0)</f>
        <v>-</v>
      </c>
      <c r="N34" s="2" t="str">
        <f>_xlfn.XLOOKUP($A34,[1]Table7_badETA!$A:$A,[1]Table7_badETA!U:U,"-",0)</f>
        <v>-</v>
      </c>
      <c r="O34" s="7">
        <f>_xlfn.XLOOKUP($A34,[1]Table7_badETA!$A:$A,[1]Table7_badETA!S:S,"-",0)</f>
        <v>349.55385000000001</v>
      </c>
    </row>
    <row r="35" spans="1:15" x14ac:dyDescent="0.2">
      <c r="A35" s="8" t="s">
        <v>46</v>
      </c>
      <c r="B35" s="8" cm="1">
        <f t="array" aca="1" ref="B35" ca="1">_xlfn.XLOOKUP(A35,[1]Table2_V5_w3C28!A:A,[1]Table2_V5_w3C28!B:B,nan(),0)</f>
        <v>0.187</v>
      </c>
      <c r="C35" s="8" cm="1">
        <f t="array" aca="1" ref="C35" ca="1">_xlfn.XLOOKUP(A35,[1]Table2_V5_w3C28!A:A,[1]Table2_V5_w3C28!D:D,nan(),0)</f>
        <v>42.014099999999999</v>
      </c>
      <c r="D35" s="8" cm="1">
        <f t="array" aca="1" ref="D35" ca="1">_xlfn.XLOOKUP(A35,[1]Table2_V5_w3C28!A:A,[1]Table2_V5_w3C28!E:E,nan(),0)</f>
        <v>-3.5293000000000001</v>
      </c>
      <c r="E35" s="1">
        <f>_xlfn.XLOOKUP($A35,[1]Table7_badETA!$A:$A,[1]Table7_badETA!C:C,"-",0)</f>
        <v>3.3360000000000001E-2</v>
      </c>
      <c r="F35" s="1">
        <f>_xlfn.XLOOKUP($A35,[1]Table7_badETA!$A:$A,[1]Table7_badETA!E:E,"-",0)</f>
        <v>2.3909999999999999E-3</v>
      </c>
      <c r="G35" s="5">
        <f>_xlfn.XLOOKUP($A35,[1]Table7_badETA!$A:$A,[1]Table7_badETA!F:F,"-",0)</f>
        <v>1.1700000000000001E-8</v>
      </c>
      <c r="H35" s="6">
        <f>_xlfn.XLOOKUP($A35,[1]Table7_badETA!$A:$A,[1]Table7_badETA!H:H,"-",0)</f>
        <v>7.54E-9</v>
      </c>
      <c r="I35" s="2">
        <f>_xlfn.XLOOKUP($A35,[1]Table7_badETA!$A:$A,[1]Table7_badETA!M:M,"-",0)</f>
        <v>0.97899999999999998</v>
      </c>
      <c r="J35" s="2">
        <f>_xlfn.XLOOKUP($A35,[1]Table7_badETA!$A:$A,[1]Table7_badETA!O:O,"-",0)</f>
        <v>7.2630000000000004E-3</v>
      </c>
      <c r="K35" s="2">
        <f>_xlfn.XLOOKUP($A35,[1]morph_04R500.dat!$A:$A,[1]morph_04R500.dat!P:P,"-",0)</f>
        <v>16.77</v>
      </c>
      <c r="L35" s="2">
        <f>_xlfn.XLOOKUP($A35,[1]morph_04R500.dat!$A:$A,[1]morph_04R500.dat!R:R,"-",0)</f>
        <v>9.5340000000000007</v>
      </c>
      <c r="M35" s="2">
        <f>_xlfn.XLOOKUP($A35,[1]Table7_badETA!$A:$A,[1]Table7_badETA!T:T,"-",0)</f>
        <v>0.66027772345002933</v>
      </c>
      <c r="N35" s="2">
        <f>_xlfn.XLOOKUP($A35,[1]Table7_badETA!$A:$A,[1]Table7_badETA!U:U,"-",0)</f>
        <v>9.1472475689833854E-3</v>
      </c>
      <c r="O35" s="7">
        <f>_xlfn.XLOOKUP($A35,[1]Table7_badETA!$A:$A,[1]Table7_badETA!S:S,"-",0)</f>
        <v>425.72818999999998</v>
      </c>
    </row>
    <row r="36" spans="1:15" x14ac:dyDescent="0.2">
      <c r="A36" s="8" t="s">
        <v>47</v>
      </c>
      <c r="B36" s="8" cm="1">
        <f t="array" aca="1" ref="B36" ca="1">_xlfn.XLOOKUP(A36,[1]Table2_V5_w3C28!A:A,[1]Table2_V5_w3C28!B:B,nan(),0)</f>
        <v>0.50490000000000002</v>
      </c>
      <c r="C36" s="8" cm="1">
        <f t="array" aca="1" ref="C36" ca="1">_xlfn.XLOOKUP(A36,[1]Table2_V5_w3C28!A:A,[1]Table2_V5_w3C28!D:D,nan(),0)</f>
        <v>44.287999999999997</v>
      </c>
      <c r="D36" s="8" cm="1">
        <f t="array" aca="1" ref="D36" ca="1">_xlfn.XLOOKUP(A36,[1]Table2_V5_w3C28!A:A,[1]Table2_V5_w3C28!E:E,nan(),0)</f>
        <v>-23.434999999999999</v>
      </c>
      <c r="E36" s="1">
        <f>_xlfn.XLOOKUP($A36,[1]Table7_badETA!$A:$A,[1]Table7_badETA!C:C,"-",0)</f>
        <v>1.285E-2</v>
      </c>
      <c r="F36" s="1">
        <f>_xlfn.XLOOKUP($A36,[1]Table7_badETA!$A:$A,[1]Table7_badETA!E:E,"-",0)</f>
        <v>2.2279999999999999E-3</v>
      </c>
      <c r="G36" s="5">
        <f>_xlfn.XLOOKUP($A36,[1]Table7_badETA!$A:$A,[1]Table7_badETA!F:F,"-",0)</f>
        <v>2.4E-8</v>
      </c>
      <c r="H36" s="6">
        <f>_xlfn.XLOOKUP($A36,[1]Table7_badETA!$A:$A,[1]Table7_badETA!H:H,"-",0)</f>
        <v>3.7599999999999999E-8</v>
      </c>
      <c r="I36" s="2">
        <f>_xlfn.XLOOKUP($A36,[1]Table7_badETA!$A:$A,[1]Table7_badETA!M:M,"-",0)</f>
        <v>0.87090000000000001</v>
      </c>
      <c r="J36" s="2">
        <f>_xlfn.XLOOKUP($A36,[1]Table7_badETA!$A:$A,[1]Table7_badETA!O:O,"-",0)</f>
        <v>3.2250000000000001E-2</v>
      </c>
      <c r="K36" s="2">
        <f>_xlfn.XLOOKUP($A36,[1]morph_04R500.dat!$A:$A,[1]morph_04R500.dat!P:P,"-",0)</f>
        <v>85.76</v>
      </c>
      <c r="L36" s="2">
        <f>_xlfn.XLOOKUP($A36,[1]morph_04R500.dat!$A:$A,[1]morph_04R500.dat!R:R,"-",0)</f>
        <v>2.653</v>
      </c>
      <c r="M36" s="2" t="str">
        <f>_xlfn.XLOOKUP($A36,[1]Table7_badETA!$A:$A,[1]Table7_badETA!T:T,"-",0)</f>
        <v>-</v>
      </c>
      <c r="N36" s="2" t="str">
        <f>_xlfn.XLOOKUP($A36,[1]Table7_badETA!$A:$A,[1]Table7_badETA!U:U,"-",0)</f>
        <v>-</v>
      </c>
      <c r="O36" s="7">
        <f>_xlfn.XLOOKUP($A36,[1]Table7_badETA!$A:$A,[1]Table7_badETA!S:S,"-",0)</f>
        <v>492.72784000000001</v>
      </c>
    </row>
    <row r="37" spans="1:15" x14ac:dyDescent="0.2">
      <c r="A37" s="8" t="s">
        <v>48</v>
      </c>
      <c r="B37" s="8" cm="1">
        <f t="array" aca="1" ref="B37" ca="1">_xlfn.XLOOKUP(A37,[1]Table2_V5_w3C28!A:A,[1]Table2_V5_w3C28!B:B,nan(),0)</f>
        <v>0.32200000000000001</v>
      </c>
      <c r="C37" s="8" cm="1">
        <f t="array" aca="1" ref="C37" ca="1">_xlfn.XLOOKUP(A37,[1]Table2_V5_w3C28!A:A,[1]Table2_V5_w3C28!D:D,nan(),0)</f>
        <v>44.421700000000001</v>
      </c>
      <c r="D37" s="8" cm="1">
        <f t="array" aca="1" ref="D37" ca="1">_xlfn.XLOOKUP(A37,[1]Table2_V5_w3C28!A:A,[1]Table2_V5_w3C28!E:E,nan(),0)</f>
        <v>-22.154900000000001</v>
      </c>
      <c r="E37" s="1">
        <f>_xlfn.XLOOKUP($A37,[1]Table7_badETA!$A:$A,[1]Table7_badETA!C:C,"-",0)</f>
        <v>3.6179999999999997E-2</v>
      </c>
      <c r="F37" s="1">
        <f>_xlfn.XLOOKUP($A37,[1]Table7_badETA!$A:$A,[1]Table7_badETA!E:E,"-",0)</f>
        <v>2.395E-3</v>
      </c>
      <c r="G37" s="5">
        <f>_xlfn.XLOOKUP($A37,[1]Table7_badETA!$A:$A,[1]Table7_badETA!F:F,"-",0)</f>
        <v>1.98E-7</v>
      </c>
      <c r="H37" s="6">
        <f>_xlfn.XLOOKUP($A37,[1]Table7_badETA!$A:$A,[1]Table7_badETA!H:H,"-",0)</f>
        <v>9.0600000000000004E-8</v>
      </c>
      <c r="I37" s="2">
        <f>_xlfn.XLOOKUP($A37,[1]Table7_badETA!$A:$A,[1]Table7_badETA!M:M,"-",0)</f>
        <v>0.92490000000000006</v>
      </c>
      <c r="J37" s="2">
        <f>_xlfn.XLOOKUP($A37,[1]Table7_badETA!$A:$A,[1]Table7_badETA!O:O,"-",0)</f>
        <v>5.0610000000000002E-2</v>
      </c>
      <c r="K37" s="2">
        <f>_xlfn.XLOOKUP($A37,[1]morph_04R500.dat!$A:$A,[1]morph_04R500.dat!P:P,"-",0)</f>
        <v>87.05</v>
      </c>
      <c r="L37" s="2">
        <f>_xlfn.XLOOKUP($A37,[1]morph_04R500.dat!$A:$A,[1]morph_04R500.dat!R:R,"-",0)</f>
        <v>4.9669999999999996</v>
      </c>
      <c r="M37" s="2">
        <f>_xlfn.XLOOKUP($A37,[1]Table7_badETA!$A:$A,[1]Table7_badETA!T:T,"-",0)</f>
        <v>0.60983715520106352</v>
      </c>
      <c r="N37" s="2">
        <f>_xlfn.XLOOKUP($A37,[1]Table7_badETA!$A:$A,[1]Table7_badETA!U:U,"-",0)</f>
        <v>1.4666993190916043E-2</v>
      </c>
      <c r="O37" s="7">
        <f>_xlfn.XLOOKUP($A37,[1]Table7_badETA!$A:$A,[1]Table7_badETA!S:S,"-",0)</f>
        <v>481.89562000000001</v>
      </c>
    </row>
    <row r="38" spans="1:15" x14ac:dyDescent="0.2">
      <c r="A38" s="8" t="s">
        <v>49</v>
      </c>
      <c r="B38" s="8" cm="1">
        <f t="array" aca="1" ref="B38" ca="1">_xlfn.XLOOKUP(A38,[1]Table2_V5_w3C28!A:A,[1]Table2_V5_w3C28!B:B,nan(),0)</f>
        <v>7.1999999999999995E-2</v>
      </c>
      <c r="C38" s="8" cm="1">
        <f t="array" aca="1" ref="C38" ca="1">_xlfn.XLOOKUP(A38,[1]Table2_V5_w3C28!A:A,[1]Table2_V5_w3C28!D:D,nan(),0)</f>
        <v>44.4726</v>
      </c>
      <c r="D38" s="8" cm="1">
        <f t="array" aca="1" ref="D38" ca="1">_xlfn.XLOOKUP(A38,[1]Table2_V5_w3C28!A:A,[1]Table2_V5_w3C28!E:E,nan(),0)</f>
        <v>13.0253</v>
      </c>
      <c r="E38" s="1">
        <f>_xlfn.XLOOKUP($A38,[1]Table7_badETA!$A:$A,[1]Table7_badETA!C:C,"-",0)</f>
        <v>4.8829999999999998E-2</v>
      </c>
      <c r="F38" s="1">
        <f>_xlfn.XLOOKUP($A38,[1]Table7_badETA!$A:$A,[1]Table7_badETA!E:E,"-",0)</f>
        <v>2.892E-3</v>
      </c>
      <c r="G38" s="5">
        <f>_xlfn.XLOOKUP($A38,[1]Table7_badETA!$A:$A,[1]Table7_badETA!F:F,"-",0)</f>
        <v>2.1500000000000001E-7</v>
      </c>
      <c r="H38" s="6">
        <f>_xlfn.XLOOKUP($A38,[1]Table7_badETA!$A:$A,[1]Table7_badETA!H:H,"-",0)</f>
        <v>2.0199999999999999E-8</v>
      </c>
      <c r="I38" s="2">
        <f>_xlfn.XLOOKUP($A38,[1]Table7_badETA!$A:$A,[1]Table7_badETA!M:M,"-",0)</f>
        <v>0.91269999999999996</v>
      </c>
      <c r="J38" s="2">
        <f>_xlfn.XLOOKUP($A38,[1]Table7_badETA!$A:$A,[1]Table7_badETA!O:O,"-",0)</f>
        <v>2.4130000000000002E-3</v>
      </c>
      <c r="K38" s="2">
        <f>_xlfn.XLOOKUP($A38,[1]morph_04R500.dat!$A:$A,[1]morph_04R500.dat!P:P,"-",0)</f>
        <v>27.62</v>
      </c>
      <c r="L38" s="2">
        <f>_xlfn.XLOOKUP($A38,[1]morph_04R500.dat!$A:$A,[1]morph_04R500.dat!R:R,"-",0)</f>
        <v>0.78939999999999999</v>
      </c>
      <c r="M38" s="2">
        <f>_xlfn.XLOOKUP($A38,[1]Table7_badETA!$A:$A,[1]Table7_badETA!T:T,"-",0)</f>
        <v>0.29533508541392905</v>
      </c>
      <c r="N38" s="2">
        <f>_xlfn.XLOOKUP($A38,[1]Table7_badETA!$A:$A,[1]Table7_badETA!U:U,"-",0)</f>
        <v>3.2715360740739664E-3</v>
      </c>
      <c r="O38" s="7">
        <f>_xlfn.XLOOKUP($A38,[1]Table7_badETA!$A:$A,[1]Table7_badETA!S:S,"-",0)</f>
        <v>520.25210000000004</v>
      </c>
    </row>
    <row r="39" spans="1:15" x14ac:dyDescent="0.2">
      <c r="A39" s="8" t="s">
        <v>50</v>
      </c>
      <c r="B39" s="8" cm="1">
        <f t="array" aca="1" ref="B39" ca="1">_xlfn.XLOOKUP(A39,[1]Table2_V5_w3C28!A:A,[1]Table2_V5_w3C28!B:B,nan(),0)</f>
        <v>7.2999999999999995E-2</v>
      </c>
      <c r="C39" s="8" cm="1">
        <f t="array" aca="1" ref="C39" ca="1">_xlfn.XLOOKUP(A39,[1]Table2_V5_w3C28!A:A,[1]Table2_V5_w3C28!D:D,nan(),0)</f>
        <v>44.546900000000001</v>
      </c>
      <c r="D39" s="8" cm="1">
        <f t="array" aca="1" ref="D39" ca="1">_xlfn.XLOOKUP(A39,[1]Table2_V5_w3C28!A:A,[1]Table2_V5_w3C28!E:E,nan(),0)</f>
        <v>-52.728400000000001</v>
      </c>
      <c r="E39" s="1">
        <f>_xlfn.XLOOKUP($A39,[1]Table7_badETA!$A:$A,[1]Table7_badETA!C:C,"-",0)</f>
        <v>0.21249999999999999</v>
      </c>
      <c r="F39" s="1">
        <f>_xlfn.XLOOKUP($A39,[1]Table7_badETA!$A:$A,[1]Table7_badETA!E:E,"-",0)</f>
        <v>1.448E-2</v>
      </c>
      <c r="G39" s="5">
        <f>_xlfn.XLOOKUP($A39,[1]Table7_badETA!$A:$A,[1]Table7_badETA!F:F,"-",0)</f>
        <v>7.6599999999999998E-8</v>
      </c>
      <c r="H39" s="6">
        <f>_xlfn.XLOOKUP($A39,[1]Table7_badETA!$A:$A,[1]Table7_badETA!H:H,"-",0)</f>
        <v>7.61E-8</v>
      </c>
      <c r="I39" s="2">
        <f>_xlfn.XLOOKUP($A39,[1]Table7_badETA!$A:$A,[1]Table7_badETA!M:M,"-",0)</f>
        <v>0.94430000000000003</v>
      </c>
      <c r="J39" s="2">
        <f>_xlfn.XLOOKUP($A39,[1]Table7_badETA!$A:$A,[1]Table7_badETA!O:O,"-",0)</f>
        <v>4.0189999999999997E-2</v>
      </c>
      <c r="K39" s="2">
        <f>_xlfn.XLOOKUP($A39,[1]morph_04R500.dat!$A:$A,[1]morph_04R500.dat!P:P,"-",0)</f>
        <v>1.4019999999999999</v>
      </c>
      <c r="L39" s="2">
        <f>_xlfn.XLOOKUP($A39,[1]morph_04R500.dat!$A:$A,[1]morph_04R500.dat!R:R,"-",0)</f>
        <v>4.6120000000000001</v>
      </c>
      <c r="M39" s="2" t="str">
        <f>_xlfn.XLOOKUP($A39,[1]Table7_badETA!$A:$A,[1]Table7_badETA!T:T,"-",0)</f>
        <v>-</v>
      </c>
      <c r="N39" s="2" t="str">
        <f>_xlfn.XLOOKUP($A39,[1]Table7_badETA!$A:$A,[1]Table7_badETA!U:U,"-",0)</f>
        <v>-</v>
      </c>
      <c r="O39" s="7">
        <f>_xlfn.XLOOKUP($A39,[1]Table7_badETA!$A:$A,[1]Table7_badETA!S:S,"-",0)</f>
        <v>327.90746999999999</v>
      </c>
    </row>
    <row r="40" spans="1:15" x14ac:dyDescent="0.2">
      <c r="A40" s="8" t="s">
        <v>51</v>
      </c>
      <c r="B40" s="8" cm="1">
        <f t="array" aca="1" ref="B40" ca="1">_xlfn.XLOOKUP(A40,[1]Table2_V5_w3C28!A:A,[1]Table2_V5_w3C28!B:B,nan(),0)</f>
        <v>7.3999999999999996E-2</v>
      </c>
      <c r="C40" s="8" cm="1">
        <f t="array" aca="1" ref="C40" ca="1">_xlfn.XLOOKUP(A40,[1]Table2_V5_w3C28!A:A,[1]Table2_V5_w3C28!D:D,nan(),0)</f>
        <v>44.7438</v>
      </c>
      <c r="D40" s="8" cm="1">
        <f t="array" aca="1" ref="D40" ca="1">_xlfn.XLOOKUP(A40,[1]Table2_V5_w3C28!A:A,[1]Table2_V5_w3C28!E:E,nan(),0)</f>
        <v>13.578799999999999</v>
      </c>
      <c r="E40" s="1">
        <f>_xlfn.XLOOKUP($A40,[1]Table7_badETA!$A:$A,[1]Table7_badETA!C:C,"-",0)</f>
        <v>1.2619999999999999E-2</v>
      </c>
      <c r="F40" s="1">
        <f>_xlfn.XLOOKUP($A40,[1]Table7_badETA!$A:$A,[1]Table7_badETA!E:E,"-",0)</f>
        <v>2.6450000000000002E-3</v>
      </c>
      <c r="G40" s="5">
        <f>_xlfn.XLOOKUP($A40,[1]Table7_badETA!$A:$A,[1]Table7_badETA!F:F,"-",0)</f>
        <v>1.67E-7</v>
      </c>
      <c r="H40" s="6">
        <f>_xlfn.XLOOKUP($A40,[1]Table7_badETA!$A:$A,[1]Table7_badETA!H:H,"-",0)</f>
        <v>6.8599999999999999E-9</v>
      </c>
      <c r="I40" s="2">
        <f>_xlfn.XLOOKUP($A40,[1]Table7_badETA!$A:$A,[1]Table7_badETA!M:M,"-",0)</f>
        <v>0.90549999999999997</v>
      </c>
      <c r="J40" s="2">
        <f>_xlfn.XLOOKUP($A40,[1]Table7_badETA!$A:$A,[1]Table7_badETA!O:O,"-",0)</f>
        <v>1.2489999999999999E-3</v>
      </c>
      <c r="K40" s="2">
        <f>_xlfn.XLOOKUP($A40,[1]morph_04R500.dat!$A:$A,[1]morph_04R500.dat!P:P,"-",0)</f>
        <v>37.07</v>
      </c>
      <c r="L40" s="2">
        <f>_xlfn.XLOOKUP($A40,[1]morph_04R500.dat!$A:$A,[1]morph_04R500.dat!R:R,"-",0)</f>
        <v>0.35399999999999998</v>
      </c>
      <c r="M40" s="2">
        <f>_xlfn.XLOOKUP($A40,[1]Table7_badETA!$A:$A,[1]Table7_badETA!T:T,"-",0)</f>
        <v>0.51016225448334751</v>
      </c>
      <c r="N40" s="2">
        <f>_xlfn.XLOOKUP($A40,[1]Table7_badETA!$A:$A,[1]Table7_badETA!U:U,"-",0)</f>
        <v>1.2967511571239413E-3</v>
      </c>
      <c r="O40" s="7">
        <f>_xlfn.XLOOKUP($A40,[1]Table7_badETA!$A:$A,[1]Table7_badETA!S:S,"-",0)</f>
        <v>546.61210000000005</v>
      </c>
    </row>
    <row r="41" spans="1:15" x14ac:dyDescent="0.2">
      <c r="A41" s="8" t="s">
        <v>52</v>
      </c>
      <c r="B41" s="8" cm="1">
        <f t="array" aca="1" ref="B41" ca="1">_xlfn.XLOOKUP(A41,[1]Table2_V5_w3C28!A:A,[1]Table2_V5_w3C28!B:B,nan(),0)</f>
        <v>0.17</v>
      </c>
      <c r="C41" s="8" cm="1">
        <f t="array" aca="1" ref="C41" ca="1">_xlfn.XLOOKUP(A41,[1]Table2_V5_w3C28!A:A,[1]Table2_V5_w3C28!D:D,nan(),0)</f>
        <v>45.409199999999998</v>
      </c>
      <c r="D41" s="8" cm="1">
        <f t="array" aca="1" ref="D41" ca="1">_xlfn.XLOOKUP(A41,[1]Table2_V5_w3C28!A:A,[1]Table2_V5_w3C28!E:E,nan(),0)</f>
        <v>1.9208000000000001</v>
      </c>
      <c r="E41" s="1">
        <f>_xlfn.XLOOKUP($A41,[1]Table7_badETA!$A:$A,[1]Table7_badETA!C:C,"-",0)</f>
        <v>2.649E-2</v>
      </c>
      <c r="F41" s="1">
        <f>_xlfn.XLOOKUP($A41,[1]Table7_badETA!$A:$A,[1]Table7_badETA!E:E,"-",0)</f>
        <v>3.372E-3</v>
      </c>
      <c r="G41" s="5">
        <f>_xlfn.XLOOKUP($A41,[1]Table7_badETA!$A:$A,[1]Table7_badETA!F:F,"-",0)</f>
        <v>1.2700000000000001E-7</v>
      </c>
      <c r="H41" s="6">
        <f>_xlfn.XLOOKUP($A41,[1]Table7_badETA!$A:$A,[1]Table7_badETA!H:H,"-",0)</f>
        <v>4.7799999999999998E-8</v>
      </c>
      <c r="I41" s="2">
        <f>_xlfn.XLOOKUP($A41,[1]Table7_badETA!$A:$A,[1]Table7_badETA!M:M,"-",0)</f>
        <v>0.96079999999999999</v>
      </c>
      <c r="J41" s="2">
        <f>_xlfn.XLOOKUP($A41,[1]Table7_badETA!$A:$A,[1]Table7_badETA!O:O,"-",0)</f>
        <v>2.75E-2</v>
      </c>
      <c r="K41" s="2">
        <f>_xlfn.XLOOKUP($A41,[1]morph_04R500.dat!$A:$A,[1]morph_04R500.dat!P:P,"-",0)</f>
        <v>-5.9089999999999998</v>
      </c>
      <c r="L41" s="2">
        <f>_xlfn.XLOOKUP($A41,[1]morph_04R500.dat!$A:$A,[1]morph_04R500.dat!R:R,"-",0)</f>
        <v>9.09</v>
      </c>
      <c r="M41" s="2">
        <f>_xlfn.XLOOKUP($A41,[1]Table7_badETA!$A:$A,[1]Table7_badETA!T:T,"-",0)</f>
        <v>0.68793840889649271</v>
      </c>
      <c r="N41" s="2">
        <f>_xlfn.XLOOKUP($A41,[1]Table7_badETA!$A:$A,[1]Table7_badETA!U:U,"-",0)</f>
        <v>1.3282036042199734E-2</v>
      </c>
      <c r="O41" s="7">
        <f>_xlfn.XLOOKUP($A41,[1]Table7_badETA!$A:$A,[1]Table7_badETA!S:S,"-",0)</f>
        <v>377.84195999999997</v>
      </c>
    </row>
    <row r="42" spans="1:15" x14ac:dyDescent="0.2">
      <c r="A42" s="8" t="s">
        <v>53</v>
      </c>
      <c r="B42" s="8" cm="1">
        <f t="array" aca="1" ref="B42" ca="1">_xlfn.XLOOKUP(A42,[1]Table2_V5_w3C28!A:A,[1]Table2_V5_w3C28!B:B,nan(),0)</f>
        <v>0.27400000000000002</v>
      </c>
      <c r="C42" s="8" cm="1">
        <f t="array" aca="1" ref="C42" ca="1">_xlfn.XLOOKUP(A42,[1]Table2_V5_w3C28!A:A,[1]Table2_V5_w3C28!D:D,nan(),0)</f>
        <v>45.941299999999998</v>
      </c>
      <c r="D42" s="8" cm="1">
        <f t="array" aca="1" ref="D42" ca="1">_xlfn.XLOOKUP(A42,[1]Table2_V5_w3C28!A:A,[1]Table2_V5_w3C28!E:E,nan(),0)</f>
        <v>-77.879199999999997</v>
      </c>
      <c r="E42" s="1">
        <f>_xlfn.XLOOKUP($A42,[1]Table7_badETA!$A:$A,[1]Table7_badETA!C:C,"-",0)</f>
        <v>2.2530000000000001E-2</v>
      </c>
      <c r="F42" s="1">
        <f>_xlfn.XLOOKUP($A42,[1]Table7_badETA!$A:$A,[1]Table7_badETA!E:E,"-",0)</f>
        <v>2.3839999999999998E-3</v>
      </c>
      <c r="G42" s="5">
        <f>_xlfn.XLOOKUP($A42,[1]Table7_badETA!$A:$A,[1]Table7_badETA!F:F,"-",0)</f>
        <v>6.0300000000000004E-8</v>
      </c>
      <c r="H42" s="6">
        <f>_xlfn.XLOOKUP($A42,[1]Table7_badETA!$A:$A,[1]Table7_badETA!H:H,"-",0)</f>
        <v>3.7E-8</v>
      </c>
      <c r="I42" s="2">
        <f>_xlfn.XLOOKUP($A42,[1]Table7_badETA!$A:$A,[1]Table7_badETA!M:M,"-",0)</f>
        <v>0.9486</v>
      </c>
      <c r="J42" s="2">
        <f>_xlfn.XLOOKUP($A42,[1]Table7_badETA!$A:$A,[1]Table7_badETA!O:O,"-",0)</f>
        <v>8.1630000000000001E-3</v>
      </c>
      <c r="K42" s="2">
        <f>_xlfn.XLOOKUP($A42,[1]morph_04R500.dat!$A:$A,[1]morph_04R500.dat!P:P,"-",0)</f>
        <v>49.49</v>
      </c>
      <c r="L42" s="2">
        <f>_xlfn.XLOOKUP($A42,[1]morph_04R500.dat!$A:$A,[1]morph_04R500.dat!R:R,"-",0)</f>
        <v>4.91</v>
      </c>
      <c r="M42" s="2">
        <f>_xlfn.XLOOKUP($A42,[1]Table7_badETA!$A:$A,[1]Table7_badETA!T:T,"-",0)</f>
        <v>0.47679655374975527</v>
      </c>
      <c r="N42" s="2">
        <f>_xlfn.XLOOKUP($A42,[1]Table7_badETA!$A:$A,[1]Table7_badETA!U:U,"-",0)</f>
        <v>1.1222995919539118E-2</v>
      </c>
      <c r="O42" s="7">
        <f>_xlfn.XLOOKUP($A42,[1]Table7_badETA!$A:$A,[1]Table7_badETA!S:S,"-",0)</f>
        <v>566.47024999999996</v>
      </c>
    </row>
    <row r="43" spans="1:15" x14ac:dyDescent="0.2">
      <c r="A43" s="8" t="s">
        <v>54</v>
      </c>
      <c r="B43" s="8" cm="1">
        <f t="array" aca="1" ref="B43" ca="1">_xlfn.XLOOKUP(A43,[1]Table2_V5_w3C28!A:A,[1]Table2_V5_w3C28!B:B,nan(),0)</f>
        <v>0.39200000000000002</v>
      </c>
      <c r="C43" s="8" cm="1">
        <f t="array" aca="1" ref="C43" ca="1">_xlfn.XLOOKUP(A43,[1]Table2_V5_w3C28!A:A,[1]Table2_V5_w3C28!D:D,nan(),0)</f>
        <v>46.067300000000003</v>
      </c>
      <c r="D43" s="8" cm="1">
        <f t="array" aca="1" ref="D43" ca="1">_xlfn.XLOOKUP(A43,[1]Table2_V5_w3C28!A:A,[1]Table2_V5_w3C28!E:E,nan(),0)</f>
        <v>-49.356999999999999</v>
      </c>
      <c r="E43" s="1">
        <f>_xlfn.XLOOKUP($A43,[1]Table7_badETA!$A:$A,[1]Table7_badETA!C:C,"-",0)</f>
        <v>8.1949999999999995E-2</v>
      </c>
      <c r="F43" s="1">
        <f>_xlfn.XLOOKUP($A43,[1]Table7_badETA!$A:$A,[1]Table7_badETA!E:E,"-",0)</f>
        <v>7.6959999999999997E-3</v>
      </c>
      <c r="G43" s="5">
        <f>_xlfn.XLOOKUP($A43,[1]Table7_badETA!$A:$A,[1]Table7_badETA!F:F,"-",0)</f>
        <v>6.8E-8</v>
      </c>
      <c r="H43" s="6">
        <f>_xlfn.XLOOKUP($A43,[1]Table7_badETA!$A:$A,[1]Table7_badETA!H:H,"-",0)</f>
        <v>1.09E-7</v>
      </c>
      <c r="I43" s="2">
        <f>_xlfn.XLOOKUP($A43,[1]Table7_badETA!$A:$A,[1]Table7_badETA!M:M,"-",0)</f>
        <v>0.8528</v>
      </c>
      <c r="J43" s="2">
        <f>_xlfn.XLOOKUP($A43,[1]Table7_badETA!$A:$A,[1]Table7_badETA!O:O,"-",0)</f>
        <v>1.5980000000000001E-2</v>
      </c>
      <c r="K43" s="2">
        <f>_xlfn.XLOOKUP($A43,[1]morph_04R500.dat!$A:$A,[1]morph_04R500.dat!P:P,"-",0)</f>
        <v>58.54</v>
      </c>
      <c r="L43" s="2">
        <f>_xlfn.XLOOKUP($A43,[1]morph_04R500.dat!$A:$A,[1]morph_04R500.dat!R:R,"-",0)</f>
        <v>2.9689999999999999</v>
      </c>
      <c r="M43" s="2" t="str">
        <f>_xlfn.XLOOKUP($A43,[1]Table7_badETA!$A:$A,[1]Table7_badETA!T:T,"-",0)</f>
        <v>-</v>
      </c>
      <c r="N43" s="2" t="str">
        <f>_xlfn.XLOOKUP($A43,[1]Table7_badETA!$A:$A,[1]Table7_badETA!U:U,"-",0)</f>
        <v>-</v>
      </c>
      <c r="O43" s="7">
        <f>_xlfn.XLOOKUP($A43,[1]Table7_badETA!$A:$A,[1]Table7_badETA!S:S,"-",0)</f>
        <v>411.79458</v>
      </c>
    </row>
    <row r="44" spans="1:15" x14ac:dyDescent="0.2">
      <c r="A44" s="8" t="s">
        <v>55</v>
      </c>
      <c r="B44" s="8" cm="1">
        <f t="array" aca="1" ref="B44" ca="1">_xlfn.XLOOKUP(A44,[1]Table2_V5_w3C28!A:A,[1]Table2_V5_w3C28!B:B,nan(),0)</f>
        <v>3.3799999999999997E-2</v>
      </c>
      <c r="C44" s="8" cm="1">
        <f t="array" aca="1" ref="C44" ca="1">_xlfn.XLOOKUP(A44,[1]Table2_V5_w3C28!A:A,[1]Table2_V5_w3C28!D:D,nan(),0)</f>
        <v>46.618600000000001</v>
      </c>
      <c r="D44" s="8" cm="1">
        <f t="array" aca="1" ref="D44" ca="1">_xlfn.XLOOKUP(A44,[1]Table2_V5_w3C28!A:A,[1]Table2_V5_w3C28!E:E,nan(),0)</f>
        <v>-9.7311999999999994</v>
      </c>
      <c r="E44" s="1">
        <f>_xlfn.XLOOKUP($A44,[1]Table7_badETA!$A:$A,[1]Table7_badETA!C:C,"-",0)</f>
        <v>3.1009999999999999E-2</v>
      </c>
      <c r="F44" s="1">
        <f>_xlfn.XLOOKUP($A44,[1]Table7_badETA!$A:$A,[1]Table7_badETA!E:E,"-",0)</f>
        <v>4.2319999999999997E-3</v>
      </c>
      <c r="G44" s="5">
        <f>_xlfn.XLOOKUP($A44,[1]Table7_badETA!$A:$A,[1]Table7_badETA!F:F,"-",0)</f>
        <v>2.6300000000000001E-7</v>
      </c>
      <c r="H44" s="6">
        <f>_xlfn.XLOOKUP($A44,[1]Table7_badETA!$A:$A,[1]Table7_badETA!H:H,"-",0)</f>
        <v>1.24E-7</v>
      </c>
      <c r="I44" s="2">
        <f>_xlfn.XLOOKUP($A44,[1]Table7_badETA!$A:$A,[1]Table7_badETA!M:M,"-",0)</f>
        <v>0.92930000000000001</v>
      </c>
      <c r="J44" s="2">
        <f>_xlfn.XLOOKUP($A44,[1]Table7_badETA!$A:$A,[1]Table7_badETA!O:O,"-",0)</f>
        <v>1.285E-2</v>
      </c>
      <c r="K44" s="2">
        <f>_xlfn.XLOOKUP($A44,[1]morph_04R500.dat!$A:$A,[1]morph_04R500.dat!P:P,"-",0)</f>
        <v>12.55</v>
      </c>
      <c r="L44" s="2">
        <f>_xlfn.XLOOKUP($A44,[1]morph_04R500.dat!$A:$A,[1]morph_04R500.dat!R:R,"-",0)</f>
        <v>5.0730000000000004</v>
      </c>
      <c r="M44" s="2" t="str">
        <f>_xlfn.XLOOKUP($A44,[1]Table7_badETA!$A:$A,[1]Table7_badETA!T:T,"-",0)</f>
        <v>-</v>
      </c>
      <c r="N44" s="2" t="str">
        <f>_xlfn.XLOOKUP($A44,[1]Table7_badETA!$A:$A,[1]Table7_badETA!U:U,"-",0)</f>
        <v>-</v>
      </c>
      <c r="O44" s="7">
        <f>_xlfn.XLOOKUP($A44,[1]Table7_badETA!$A:$A,[1]Table7_badETA!S:S,"-",0)</f>
        <v>305.06875000000002</v>
      </c>
    </row>
    <row r="45" spans="1:15" x14ac:dyDescent="0.2">
      <c r="A45" s="8" t="s">
        <v>56</v>
      </c>
      <c r="B45" s="8" cm="1">
        <f t="array" aca="1" ref="B45" ca="1">_xlfn.XLOOKUP(A45,[1]Table2_V5_w3C28!A:A,[1]Table2_V5_w3C28!B:B,nan(),0)</f>
        <v>0.32400000000000001</v>
      </c>
      <c r="C45" s="8" cm="1">
        <f t="array" aca="1" ref="C45" ca="1">_xlfn.XLOOKUP(A45,[1]Table2_V5_w3C28!A:A,[1]Table2_V5_w3C28!D:D,nan(),0)</f>
        <v>47.2331</v>
      </c>
      <c r="D45" s="8" cm="1">
        <f t="array" aca="1" ref="D45" ca="1">_xlfn.XLOOKUP(A45,[1]Table2_V5_w3C28!A:A,[1]Table2_V5_w3C28!E:E,nan(),0)</f>
        <v>26.761099999999999</v>
      </c>
      <c r="E45" s="1">
        <f>_xlfn.XLOOKUP($A45,[1]Table7_badETA!$A:$A,[1]Table7_badETA!C:C,"-",0)</f>
        <v>1.329E-2</v>
      </c>
      <c r="F45" s="1">
        <f>_xlfn.XLOOKUP($A45,[1]Table7_badETA!$A:$A,[1]Table7_badETA!E:E,"-",0)</f>
        <v>3.6519999999999999E-3</v>
      </c>
      <c r="G45" s="5">
        <f>_xlfn.XLOOKUP($A45,[1]Table7_badETA!$A:$A,[1]Table7_badETA!F:F,"-",0)</f>
        <v>3.5700000000000002E-8</v>
      </c>
      <c r="H45" s="6">
        <f>_xlfn.XLOOKUP($A45,[1]Table7_badETA!$A:$A,[1]Table7_badETA!H:H,"-",0)</f>
        <v>1.96E-8</v>
      </c>
      <c r="I45" s="2">
        <f>_xlfn.XLOOKUP($A45,[1]Table7_badETA!$A:$A,[1]Table7_badETA!M:M,"-",0)</f>
        <v>0.94710000000000005</v>
      </c>
      <c r="J45" s="2">
        <f>_xlfn.XLOOKUP($A45,[1]Table7_badETA!$A:$A,[1]Table7_badETA!O:O,"-",0)</f>
        <v>2.9170000000000001E-2</v>
      </c>
      <c r="K45" s="2">
        <f>_xlfn.XLOOKUP($A45,[1]morph_04R500.dat!$A:$A,[1]morph_04R500.dat!P:P,"-",0)</f>
        <v>-83.39</v>
      </c>
      <c r="L45" s="2">
        <f>_xlfn.XLOOKUP($A45,[1]morph_04R500.dat!$A:$A,[1]morph_04R500.dat!R:R,"-",0)</f>
        <v>5.46</v>
      </c>
      <c r="M45" s="2">
        <f>_xlfn.XLOOKUP($A45,[1]Table7_badETA!$A:$A,[1]Table7_badETA!T:T,"-",0)</f>
        <v>0.52428163333893463</v>
      </c>
      <c r="N45" s="2">
        <f>_xlfn.XLOOKUP($A45,[1]Table7_badETA!$A:$A,[1]Table7_badETA!U:U,"-",0)</f>
        <v>1.034467809192152E-2</v>
      </c>
      <c r="O45" s="7">
        <f>_xlfn.XLOOKUP($A45,[1]Table7_badETA!$A:$A,[1]Table7_badETA!S:S,"-",0)</f>
        <v>540.63282000000004</v>
      </c>
    </row>
    <row r="46" spans="1:15" x14ac:dyDescent="0.2">
      <c r="A46" s="8" t="s">
        <v>57</v>
      </c>
      <c r="B46" s="8" cm="1">
        <f t="array" aca="1" ref="B46" ca="1">_xlfn.XLOOKUP(A46,[1]Table2_V5_w3C28!A:A,[1]Table2_V5_w3C28!B:B,nan(),0)</f>
        <v>6.8000000000000005E-2</v>
      </c>
      <c r="C46" s="8" cm="1">
        <f t="array" aca="1" ref="C46" ca="1">_xlfn.XLOOKUP(A46,[1]Table2_V5_w3C28!A:A,[1]Table2_V5_w3C28!D:D,nan(),0)</f>
        <v>47.898899999999998</v>
      </c>
      <c r="D46" s="8" cm="1">
        <f t="array" aca="1" ref="D46" ca="1">_xlfn.XLOOKUP(A46,[1]Table2_V5_w3C28!A:A,[1]Table2_V5_w3C28!E:E,nan(),0)</f>
        <v>-26.898499999999999</v>
      </c>
      <c r="E46" s="1">
        <f>_xlfn.XLOOKUP($A46,[1]Table7_badETA!$A:$A,[1]Table7_badETA!C:C,"-",0)</f>
        <v>6.6100000000000006E-2</v>
      </c>
      <c r="F46" s="1">
        <f>_xlfn.XLOOKUP($A46,[1]Table7_badETA!$A:$A,[1]Table7_badETA!E:E,"-",0)</f>
        <v>4.6129999999999999E-3</v>
      </c>
      <c r="G46" s="5">
        <f>_xlfn.XLOOKUP($A46,[1]Table7_badETA!$A:$A,[1]Table7_badETA!F:F,"-",0)</f>
        <v>1.9600000000000001E-7</v>
      </c>
      <c r="H46" s="6">
        <f>_xlfn.XLOOKUP($A46,[1]Table7_badETA!$A:$A,[1]Table7_badETA!H:H,"-",0)</f>
        <v>7.8499999999999995E-8</v>
      </c>
      <c r="I46" s="2">
        <f>_xlfn.XLOOKUP($A46,[1]Table7_badETA!$A:$A,[1]Table7_badETA!M:M,"-",0)</f>
        <v>0.90669999999999995</v>
      </c>
      <c r="J46" s="2">
        <f>_xlfn.XLOOKUP($A46,[1]Table7_badETA!$A:$A,[1]Table7_badETA!O:O,"-",0)</f>
        <v>6.4359999999999999E-3</v>
      </c>
      <c r="K46" s="2">
        <f>_xlfn.XLOOKUP($A46,[1]morph_04R500.dat!$A:$A,[1]morph_04R500.dat!P:P,"-",0)</f>
        <v>49</v>
      </c>
      <c r="L46" s="2">
        <f>_xlfn.XLOOKUP($A46,[1]morph_04R500.dat!$A:$A,[1]morph_04R500.dat!R:R,"-",0)</f>
        <v>2.1379999999999999</v>
      </c>
      <c r="M46" s="2">
        <f>_xlfn.XLOOKUP($A46,[1]Table7_badETA!$A:$A,[1]Table7_badETA!T:T,"-",0)</f>
        <v>0.35501230012300128</v>
      </c>
      <c r="N46" s="2">
        <f>_xlfn.XLOOKUP($A46,[1]Table7_badETA!$A:$A,[1]Table7_badETA!U:U,"-",0)</f>
        <v>1.9729455877391795E-2</v>
      </c>
      <c r="O46" s="7">
        <f>_xlfn.XLOOKUP($A46,[1]Table7_badETA!$A:$A,[1]Table7_badETA!S:S,"-",0)</f>
        <v>325.26434</v>
      </c>
    </row>
    <row r="47" spans="1:15" x14ac:dyDescent="0.2">
      <c r="A47" s="8" t="s">
        <v>58</v>
      </c>
      <c r="B47" s="8" cm="1">
        <f t="array" aca="1" ref="B47" ca="1">_xlfn.XLOOKUP(A47,[1]Table2_V5_w3C28!A:A,[1]Table2_V5_w3C28!B:B,nan(),0)</f>
        <v>7.5200000000000003E-2</v>
      </c>
      <c r="C47" s="8" cm="1">
        <f t="array" aca="1" ref="C47" ca="1">_xlfn.XLOOKUP(A47,[1]Table2_V5_w3C28!A:A,[1]Table2_V5_w3C28!D:D,nan(),0)</f>
        <v>49.490499999999997</v>
      </c>
      <c r="D47" s="8" cm="1">
        <f t="array" aca="1" ref="D47" ca="1">_xlfn.XLOOKUP(A47,[1]Table2_V5_w3C28!A:A,[1]Table2_V5_w3C28!E:E,nan(),0)</f>
        <v>-44.238399999999999</v>
      </c>
      <c r="E47" s="1">
        <f>_xlfn.XLOOKUP($A47,[1]Table7_badETA!$A:$A,[1]Table7_badETA!C:C,"-",0)</f>
        <v>5.6619999999999997E-2</v>
      </c>
      <c r="F47" s="1">
        <f>_xlfn.XLOOKUP($A47,[1]Table7_badETA!$A:$A,[1]Table7_badETA!E:E,"-",0)</f>
        <v>2.108E-4</v>
      </c>
      <c r="G47" s="5">
        <f>_xlfn.XLOOKUP($A47,[1]Table7_badETA!$A:$A,[1]Table7_badETA!F:F,"-",0)</f>
        <v>7.6899999999999994E-8</v>
      </c>
      <c r="H47" s="6">
        <f>_xlfn.XLOOKUP($A47,[1]Table7_badETA!$A:$A,[1]Table7_badETA!H:H,"-",0)</f>
        <v>5.3599999999999997E-9</v>
      </c>
      <c r="I47" s="2">
        <f>_xlfn.XLOOKUP($A47,[1]Table7_badETA!$A:$A,[1]Table7_badETA!M:M,"-",0)</f>
        <v>0.7339</v>
      </c>
      <c r="J47" s="2">
        <f>_xlfn.XLOOKUP($A47,[1]Table7_badETA!$A:$A,[1]Table7_badETA!O:O,"-",0)</f>
        <v>2.4580000000000001E-3</v>
      </c>
      <c r="K47" s="2">
        <f>_xlfn.XLOOKUP($A47,[1]morph_04R500.dat!$A:$A,[1]morph_04R500.dat!P:P,"-",0)</f>
        <v>18.309999999999999</v>
      </c>
      <c r="L47" s="2">
        <f>_xlfn.XLOOKUP($A47,[1]morph_04R500.dat!$A:$A,[1]morph_04R500.dat!R:R,"-",0)</f>
        <v>0.2994</v>
      </c>
      <c r="M47" s="2">
        <f>_xlfn.XLOOKUP($A47,[1]Table7_badETA!$A:$A,[1]Table7_badETA!T:T,"-",0)</f>
        <v>0.76200021670820228</v>
      </c>
      <c r="N47" s="2">
        <f>_xlfn.XLOOKUP($A47,[1]Table7_badETA!$A:$A,[1]Table7_badETA!U:U,"-",0)</f>
        <v>2.520582032507746E-3</v>
      </c>
      <c r="O47" s="7">
        <f>_xlfn.XLOOKUP($A47,[1]Table7_badETA!$A:$A,[1]Table7_badETA!S:S,"-",0)</f>
        <v>471.01889</v>
      </c>
    </row>
    <row r="48" spans="1:15" x14ac:dyDescent="0.2">
      <c r="A48" s="8" t="s">
        <v>59</v>
      </c>
      <c r="B48" s="8" cm="1">
        <f t="array" aca="1" ref="B48" ca="1">_xlfn.XLOOKUP(A48,[1]Table2_V5_w3C28!A:A,[1]Table2_V5_w3C28!B:B,nan(),0)</f>
        <v>0.37</v>
      </c>
      <c r="C48" s="8" cm="1">
        <f t="array" aca="1" ref="C48" ca="1">_xlfn.XLOOKUP(A48,[1]Table2_V5_w3C28!A:A,[1]Table2_V5_w3C28!D:D,nan(),0)</f>
        <v>49.643700000000003</v>
      </c>
      <c r="D48" s="8" cm="1">
        <f t="array" aca="1" ref="D48" ca="1">_xlfn.XLOOKUP(A48,[1]Table2_V5_w3C28!A:A,[1]Table2_V5_w3C28!E:E,nan(),0)</f>
        <v>-3.0508999999999999</v>
      </c>
      <c r="E48" s="1">
        <f>_xlfn.XLOOKUP($A48,[1]Table7_badETA!$A:$A,[1]Table7_badETA!C:C,"-",0)</f>
        <v>8.6430000000000007E-2</v>
      </c>
      <c r="F48" s="1">
        <f>_xlfn.XLOOKUP($A48,[1]Table7_badETA!$A:$A,[1]Table7_badETA!E:E,"-",0)</f>
        <v>1.098E-2</v>
      </c>
      <c r="G48" s="5">
        <f>_xlfn.XLOOKUP($A48,[1]Table7_badETA!$A:$A,[1]Table7_badETA!F:F,"-",0)</f>
        <v>1.8E-7</v>
      </c>
      <c r="H48" s="6">
        <f>_xlfn.XLOOKUP($A48,[1]Table7_badETA!$A:$A,[1]Table7_badETA!H:H,"-",0)</f>
        <v>2.4200000000000002E-7</v>
      </c>
      <c r="I48" s="2">
        <f>_xlfn.XLOOKUP($A48,[1]Table7_badETA!$A:$A,[1]Table7_badETA!M:M,"-",0)</f>
        <v>0.94359999999999999</v>
      </c>
      <c r="J48" s="2">
        <f>_xlfn.XLOOKUP($A48,[1]Table7_badETA!$A:$A,[1]Table7_badETA!O:O,"-",0)</f>
        <v>4.4290000000000003E-2</v>
      </c>
      <c r="K48" s="2">
        <f>_xlfn.XLOOKUP($A48,[1]morph_04R500.dat!$A:$A,[1]morph_04R500.dat!P:P,"-",0)</f>
        <v>-81.58</v>
      </c>
      <c r="L48" s="2">
        <f>_xlfn.XLOOKUP($A48,[1]morph_04R500.dat!$A:$A,[1]morph_04R500.dat!R:R,"-",0)</f>
        <v>15.05</v>
      </c>
      <c r="M48" s="2" t="str">
        <f>_xlfn.XLOOKUP($A48,[1]Table7_badETA!$A:$A,[1]Table7_badETA!T:T,"-",0)</f>
        <v>-</v>
      </c>
      <c r="N48" s="2" t="str">
        <f>_xlfn.XLOOKUP($A48,[1]Table7_badETA!$A:$A,[1]Table7_badETA!U:U,"-",0)</f>
        <v>-</v>
      </c>
      <c r="O48" s="7">
        <f>_xlfn.XLOOKUP($A48,[1]Table7_badETA!$A:$A,[1]Table7_badETA!S:S,"-",0)</f>
        <v>382.08033999999998</v>
      </c>
    </row>
    <row r="49" spans="1:15" x14ac:dyDescent="0.2">
      <c r="A49" s="8" t="s">
        <v>60</v>
      </c>
      <c r="B49" s="8" cm="1">
        <f t="array" aca="1" ref="B49" ca="1">_xlfn.XLOOKUP(A49,[1]Table2_V5_w3C28!A:A,[1]Table2_V5_w3C28!B:B,nan(),0)</f>
        <v>8.5999999999999993E-2</v>
      </c>
      <c r="C49" s="8" cm="1">
        <f t="array" aca="1" ref="C49" ca="1">_xlfn.XLOOKUP(A49,[1]Table2_V5_w3C28!A:A,[1]Table2_V5_w3C28!D:D,nan(),0)</f>
        <v>52.1494</v>
      </c>
      <c r="D49" s="8" cm="1">
        <f t="array" aca="1" ref="D49" ca="1">_xlfn.XLOOKUP(A49,[1]Table2_V5_w3C28!A:A,[1]Table2_V5_w3C28!E:E,nan(),0)</f>
        <v>-55.718000000000004</v>
      </c>
      <c r="E49" s="1">
        <f>_xlfn.XLOOKUP($A49,[1]Table7_badETA!$A:$A,[1]Table7_badETA!C:C,"-",0)</f>
        <v>2.63E-2</v>
      </c>
      <c r="F49" s="1">
        <f>_xlfn.XLOOKUP($A49,[1]Table7_badETA!$A:$A,[1]Table7_badETA!E:E,"-",0)</f>
        <v>5.4120000000000001E-3</v>
      </c>
      <c r="G49" s="5">
        <f>_xlfn.XLOOKUP($A49,[1]Table7_badETA!$A:$A,[1]Table7_badETA!F:F,"-",0)</f>
        <v>1.2299999999999999E-8</v>
      </c>
      <c r="H49" s="6">
        <f>_xlfn.XLOOKUP($A49,[1]Table7_badETA!$A:$A,[1]Table7_badETA!H:H,"-",0)</f>
        <v>1.5700000000000002E-8</v>
      </c>
      <c r="I49" s="2">
        <f>_xlfn.XLOOKUP($A49,[1]Table7_badETA!$A:$A,[1]Table7_badETA!M:M,"-",0)</f>
        <v>0.97740000000000005</v>
      </c>
      <c r="J49" s="2">
        <f>_xlfn.XLOOKUP($A49,[1]Table7_badETA!$A:$A,[1]Table7_badETA!O:O,"-",0)</f>
        <v>1.9009999999999999E-2</v>
      </c>
      <c r="K49" s="2">
        <f>_xlfn.XLOOKUP($A49,[1]morph_04R500.dat!$A:$A,[1]morph_04R500.dat!P:P,"-",0)</f>
        <v>-1.1559999999999999</v>
      </c>
      <c r="L49" s="2">
        <f>_xlfn.XLOOKUP($A49,[1]morph_04R500.dat!$A:$A,[1]morph_04R500.dat!R:R,"-",0)</f>
        <v>15.04</v>
      </c>
      <c r="M49" s="2">
        <f>_xlfn.XLOOKUP($A49,[1]Table7_badETA!$A:$A,[1]Table7_badETA!T:T,"-",0)</f>
        <v>0.53498286383014293</v>
      </c>
      <c r="N49" s="2">
        <f>_xlfn.XLOOKUP($A49,[1]Table7_badETA!$A:$A,[1]Table7_badETA!U:U,"-",0)</f>
        <v>1.1708486973161876E-2</v>
      </c>
      <c r="O49" s="7">
        <f>_xlfn.XLOOKUP($A49,[1]Table7_badETA!$A:$A,[1]Table7_badETA!S:S,"-",0)</f>
        <v>430.27323000000001</v>
      </c>
    </row>
    <row r="50" spans="1:15" x14ac:dyDescent="0.2">
      <c r="A50" s="8" t="s">
        <v>61</v>
      </c>
      <c r="B50" s="8" cm="1">
        <f t="array" aca="1" ref="B50" ca="1">_xlfn.XLOOKUP(A50,[1]Table2_V5_w3C28!A:A,[1]Table2_V5_w3C28!B:B,nan(),0)</f>
        <v>0.45</v>
      </c>
      <c r="C50" s="8" cm="1">
        <f t="array" aca="1" ref="C50" ca="1">_xlfn.XLOOKUP(A50,[1]Table2_V5_w3C28!A:A,[1]Table2_V5_w3C28!D:D,nan(),0)</f>
        <v>52.423699999999997</v>
      </c>
      <c r="D50" s="8" cm="1">
        <f t="array" aca="1" ref="D50" ca="1">_xlfn.XLOOKUP(A50,[1]Table2_V5_w3C28!A:A,[1]Table2_V5_w3C28!E:E,nan(),0)</f>
        <v>-2.1966000000000001</v>
      </c>
      <c r="E50" s="1">
        <f>_xlfn.XLOOKUP($A50,[1]Table7_badETA!$A:$A,[1]Table7_badETA!C:C,"-",0)</f>
        <v>6.7839999999999998E-2</v>
      </c>
      <c r="F50" s="1">
        <f>_xlfn.XLOOKUP($A50,[1]Table7_badETA!$A:$A,[1]Table7_badETA!E:E,"-",0)</f>
        <v>1.418E-2</v>
      </c>
      <c r="G50" s="5">
        <f>_xlfn.XLOOKUP($A50,[1]Table7_badETA!$A:$A,[1]Table7_badETA!F:F,"-",0)</f>
        <v>3.2800000000000003E-8</v>
      </c>
      <c r="H50" s="6">
        <f>_xlfn.XLOOKUP($A50,[1]Table7_badETA!$A:$A,[1]Table7_badETA!H:H,"-",0)</f>
        <v>3.0099999999999998E-8</v>
      </c>
      <c r="I50" s="2">
        <f>_xlfn.XLOOKUP($A50,[1]Table7_badETA!$A:$A,[1]Table7_badETA!M:M,"-",0)</f>
        <v>0.94679999999999997</v>
      </c>
      <c r="J50" s="2">
        <f>_xlfn.XLOOKUP($A50,[1]Table7_badETA!$A:$A,[1]Table7_badETA!O:O,"-",0)</f>
        <v>9.0629999999999999E-3</v>
      </c>
      <c r="K50" s="2">
        <f>_xlfn.XLOOKUP($A50,[1]morph_04R500.dat!$A:$A,[1]morph_04R500.dat!P:P,"-",0)</f>
        <v>-26.86</v>
      </c>
      <c r="L50" s="2">
        <f>_xlfn.XLOOKUP($A50,[1]morph_04R500.dat!$A:$A,[1]morph_04R500.dat!R:R,"-",0)</f>
        <v>5.4009999999999998</v>
      </c>
      <c r="M50" s="2">
        <f>_xlfn.XLOOKUP($A50,[1]Table7_badETA!$A:$A,[1]Table7_badETA!T:T,"-",0)</f>
        <v>0.66208812408364848</v>
      </c>
      <c r="N50" s="2">
        <f>_xlfn.XLOOKUP($A50,[1]Table7_badETA!$A:$A,[1]Table7_badETA!U:U,"-",0)</f>
        <v>7.0397606622229969E-3</v>
      </c>
      <c r="O50" s="7">
        <f>_xlfn.XLOOKUP($A50,[1]Table7_badETA!$A:$A,[1]Table7_badETA!S:S,"-",0)</f>
        <v>437.83800000000002</v>
      </c>
    </row>
    <row r="51" spans="1:15" x14ac:dyDescent="0.2">
      <c r="A51" s="8" t="s">
        <v>62</v>
      </c>
      <c r="B51" s="8" cm="1">
        <f t="array" aca="1" ref="B51" ca="1">_xlfn.XLOOKUP(A51,[1]Table2_V5_w3C28!A:A,[1]Table2_V5_w3C28!B:B,nan(),0)</f>
        <v>0.06</v>
      </c>
      <c r="C51" s="8" cm="1">
        <f t="array" aca="1" ref="C51" ca="1">_xlfn.XLOOKUP(A51,[1]Table2_V5_w3C28!A:A,[1]Table2_V5_w3C28!D:D,nan(),0)</f>
        <v>52.460900000000002</v>
      </c>
      <c r="D51" s="8" cm="1">
        <f t="array" aca="1" ref="D51" ca="1">_xlfn.XLOOKUP(A51,[1]Table2_V5_w3C28!A:A,[1]Table2_V5_w3C28!E:E,nan(),0)</f>
        <v>-52.580399999999997</v>
      </c>
      <c r="E51" s="1">
        <f>_xlfn.XLOOKUP($A51,[1]Table7_badETA!$A:$A,[1]Table7_badETA!C:C,"-",0)</f>
        <v>3.2890000000000003E-2</v>
      </c>
      <c r="F51" s="1">
        <f>_xlfn.XLOOKUP($A51,[1]Table7_badETA!$A:$A,[1]Table7_badETA!E:E,"-",0)</f>
        <v>2.6979999999999999E-3</v>
      </c>
      <c r="G51" s="5">
        <f>_xlfn.XLOOKUP($A51,[1]Table7_badETA!$A:$A,[1]Table7_badETA!F:F,"-",0)</f>
        <v>1.3599999999999999E-8</v>
      </c>
      <c r="H51" s="6">
        <f>_xlfn.XLOOKUP($A51,[1]Table7_badETA!$A:$A,[1]Table7_badETA!H:H,"-",0)</f>
        <v>2.1200000000000001E-8</v>
      </c>
      <c r="I51" s="2">
        <f>_xlfn.XLOOKUP($A51,[1]Table7_badETA!$A:$A,[1]Table7_badETA!M:M,"-",0)</f>
        <v>0.98470000000000002</v>
      </c>
      <c r="J51" s="2">
        <f>_xlfn.XLOOKUP($A51,[1]Table7_badETA!$A:$A,[1]Table7_badETA!O:O,"-",0)</f>
        <v>1.188E-2</v>
      </c>
      <c r="K51" s="2">
        <f>_xlfn.XLOOKUP($A51,[1]morph_04R500.dat!$A:$A,[1]morph_04R500.dat!P:P,"-",0)</f>
        <v>10.07</v>
      </c>
      <c r="L51" s="2">
        <f>_xlfn.XLOOKUP($A51,[1]morph_04R500.dat!$A:$A,[1]morph_04R500.dat!R:R,"-",0)</f>
        <v>20.54</v>
      </c>
      <c r="M51" s="2">
        <f>_xlfn.XLOOKUP($A51,[1]Table7_badETA!$A:$A,[1]Table7_badETA!T:T,"-",0)</f>
        <v>0.41432903714935565</v>
      </c>
      <c r="N51" s="2">
        <f>_xlfn.XLOOKUP($A51,[1]Table7_badETA!$A:$A,[1]Table7_badETA!U:U,"-",0)</f>
        <v>1.7154127823505002E-2</v>
      </c>
      <c r="O51" s="7">
        <f>_xlfn.XLOOKUP($A51,[1]Table7_badETA!$A:$A,[1]Table7_badETA!S:S,"-",0)</f>
        <v>356.16656999999998</v>
      </c>
    </row>
    <row r="52" spans="1:15" x14ac:dyDescent="0.2">
      <c r="A52" s="8" t="s">
        <v>63</v>
      </c>
      <c r="B52" s="8" cm="1">
        <f t="array" aca="1" ref="B52" ca="1">_xlfn.XLOOKUP(A52,[1]Table2_V5_w3C28!A:A,[1]Table2_V5_w3C28!B:B,nan(),0)</f>
        <v>0.188</v>
      </c>
      <c r="C52" s="8" cm="1">
        <f t="array" aca="1" ref="C52" ca="1">_xlfn.XLOOKUP(A52,[1]Table2_V5_w3C28!A:A,[1]Table2_V5_w3C28!D:D,nan(),0)</f>
        <v>52.774999999999999</v>
      </c>
      <c r="D52" s="8" cm="1">
        <f t="array" aca="1" ref="D52" ca="1">_xlfn.XLOOKUP(A52,[1]Table2_V5_w3C28!A:A,[1]Table2_V5_w3C28!E:E,nan(),0)</f>
        <v>-21.008900000000001</v>
      </c>
      <c r="E52" s="1">
        <f>_xlfn.XLOOKUP($A52,[1]Table7_badETA!$A:$A,[1]Table7_badETA!C:C,"-",0)</f>
        <v>4.6670000000000003E-2</v>
      </c>
      <c r="F52" s="1">
        <f>_xlfn.XLOOKUP($A52,[1]Table7_badETA!$A:$A,[1]Table7_badETA!E:E,"-",0)</f>
        <v>5.9579999999999998E-3</v>
      </c>
      <c r="G52" s="5">
        <f>_xlfn.XLOOKUP($A52,[1]Table7_badETA!$A:$A,[1]Table7_badETA!F:F,"-",0)</f>
        <v>4.4400000000000001E-8</v>
      </c>
      <c r="H52" s="6">
        <f>_xlfn.XLOOKUP($A52,[1]Table7_badETA!$A:$A,[1]Table7_badETA!H:H,"-",0)</f>
        <v>3.0799999999999998E-8</v>
      </c>
      <c r="I52" s="2">
        <f>_xlfn.XLOOKUP($A52,[1]Table7_badETA!$A:$A,[1]Table7_badETA!M:M,"-",0)</f>
        <v>0.90690000000000004</v>
      </c>
      <c r="J52" s="2">
        <f>_xlfn.XLOOKUP($A52,[1]Table7_badETA!$A:$A,[1]Table7_badETA!O:O,"-",0)</f>
        <v>9.8029999999999992E-3</v>
      </c>
      <c r="K52" s="2">
        <f>_xlfn.XLOOKUP($A52,[1]morph_04R500.dat!$A:$A,[1]morph_04R500.dat!P:P,"-",0)</f>
        <v>79.75</v>
      </c>
      <c r="L52" s="2">
        <f>_xlfn.XLOOKUP($A52,[1]morph_04R500.dat!$A:$A,[1]morph_04R500.dat!R:R,"-",0)</f>
        <v>2.7770000000000001</v>
      </c>
      <c r="M52" s="2">
        <f>_xlfn.XLOOKUP($A52,[1]Table7_badETA!$A:$A,[1]Table7_badETA!T:T,"-",0)</f>
        <v>0.71528678951466396</v>
      </c>
      <c r="N52" s="2">
        <f>_xlfn.XLOOKUP($A52,[1]Table7_badETA!$A:$A,[1]Table7_badETA!U:U,"-",0)</f>
        <v>9.9602082920262278E-3</v>
      </c>
      <c r="O52" s="7">
        <f>_xlfn.XLOOKUP($A52,[1]Table7_badETA!$A:$A,[1]Table7_badETA!S:S,"-",0)</f>
        <v>461.68626999999998</v>
      </c>
    </row>
    <row r="53" spans="1:15" x14ac:dyDescent="0.2">
      <c r="A53" s="8" t="s">
        <v>64</v>
      </c>
      <c r="B53" s="8" cm="1">
        <f t="array" aca="1" ref="B53" ca="1">_xlfn.XLOOKUP(A53,[1]Table2_V5_w3C28!A:A,[1]Table2_V5_w3C28!B:B,nan(),0)</f>
        <v>6.8000000000000005E-2</v>
      </c>
      <c r="C53" s="8" cm="1">
        <f t="array" aca="1" ref="C53" ca="1">_xlfn.XLOOKUP(A53,[1]Table2_V5_w3C28!A:A,[1]Table2_V5_w3C28!D:D,nan(),0)</f>
        <v>55.104999999999997</v>
      </c>
      <c r="D53" s="8" cm="1">
        <f t="array" aca="1" ref="D53" ca="1">_xlfn.XLOOKUP(A53,[1]Table2_V5_w3C28!A:A,[1]Table2_V5_w3C28!E:E,nan(),0)</f>
        <v>-28.677399999999999</v>
      </c>
      <c r="E53" s="1">
        <f>_xlfn.XLOOKUP($A53,[1]Table7_badETA!$A:$A,[1]Table7_badETA!C:C,"-",0)</f>
        <v>1.46E-2</v>
      </c>
      <c r="F53" s="1">
        <f>_xlfn.XLOOKUP($A53,[1]Table7_badETA!$A:$A,[1]Table7_badETA!E:E,"-",0)</f>
        <v>3.9129999999999998E-3</v>
      </c>
      <c r="G53" s="5">
        <f>_xlfn.XLOOKUP($A53,[1]Table7_badETA!$A:$A,[1]Table7_badETA!F:F,"-",0)</f>
        <v>1.15E-7</v>
      </c>
      <c r="H53" s="6">
        <f>_xlfn.XLOOKUP($A53,[1]Table7_badETA!$A:$A,[1]Table7_badETA!H:H,"-",0)</f>
        <v>1.1899999999999999E-7</v>
      </c>
      <c r="I53" s="2">
        <f>_xlfn.XLOOKUP($A53,[1]Table7_badETA!$A:$A,[1]Table7_badETA!M:M,"-",0)</f>
        <v>0.96899999999999997</v>
      </c>
      <c r="J53" s="2">
        <f>_xlfn.XLOOKUP($A53,[1]Table7_badETA!$A:$A,[1]Table7_badETA!O:O,"-",0)</f>
        <v>1.5959999999999998E-2</v>
      </c>
      <c r="K53" s="2">
        <f>_xlfn.XLOOKUP($A53,[1]morph_04R500.dat!$A:$A,[1]morph_04R500.dat!P:P,"-",0)</f>
        <v>-65.72</v>
      </c>
      <c r="L53" s="2">
        <f>_xlfn.XLOOKUP($A53,[1]morph_04R500.dat!$A:$A,[1]morph_04R500.dat!R:R,"-",0)</f>
        <v>20.059999999999999</v>
      </c>
      <c r="M53" s="2" t="str">
        <f>_xlfn.XLOOKUP($A53,[1]Table7_badETA!$A:$A,[1]Table7_badETA!T:T,"-",0)</f>
        <v>-</v>
      </c>
      <c r="N53" s="2" t="str">
        <f>_xlfn.XLOOKUP($A53,[1]Table7_badETA!$A:$A,[1]Table7_badETA!U:U,"-",0)</f>
        <v>-</v>
      </c>
      <c r="O53" s="7">
        <f>_xlfn.XLOOKUP($A53,[1]Table7_badETA!$A:$A,[1]Table7_badETA!S:S,"-",0)</f>
        <v>425.18337000000002</v>
      </c>
    </row>
    <row r="54" spans="1:15" x14ac:dyDescent="0.2">
      <c r="A54" s="8" t="s">
        <v>65</v>
      </c>
      <c r="B54" s="8" cm="1">
        <f t="array" aca="1" ref="B54" ca="1">_xlfn.XLOOKUP(A54,[1]Table2_V5_w3C28!A:A,[1]Table2_V5_w3C28!B:B,nan(),0)</f>
        <v>7.0000000000000007E-2</v>
      </c>
      <c r="C54" s="8" cm="1">
        <f t="array" aca="1" ref="C54" ca="1">_xlfn.XLOOKUP(A54,[1]Table2_V5_w3C28!A:A,[1]Table2_V5_w3C28!D:D,nan(),0)</f>
        <v>55.2241</v>
      </c>
      <c r="D54" s="8" cm="1">
        <f t="array" aca="1" ref="D54" ca="1">_xlfn.XLOOKUP(A54,[1]Table2_V5_w3C28!A:A,[1]Table2_V5_w3C28!E:E,nan(),0)</f>
        <v>-45.6768</v>
      </c>
      <c r="E54" s="1">
        <f>_xlfn.XLOOKUP($A54,[1]Table7_badETA!$A:$A,[1]Table7_badETA!C:C,"-",0)</f>
        <v>0.1386</v>
      </c>
      <c r="F54" s="1">
        <f>_xlfn.XLOOKUP($A54,[1]Table7_badETA!$A:$A,[1]Table7_badETA!E:E,"-",0)</f>
        <v>8.4899999999999993E-3</v>
      </c>
      <c r="G54" s="5">
        <f>_xlfn.XLOOKUP($A54,[1]Table7_badETA!$A:$A,[1]Table7_badETA!F:F,"-",0)</f>
        <v>3.7499999999999998E-8</v>
      </c>
      <c r="H54" s="6">
        <f>_xlfn.XLOOKUP($A54,[1]Table7_badETA!$A:$A,[1]Table7_badETA!H:H,"-",0)</f>
        <v>8.2500000000000004E-8</v>
      </c>
      <c r="I54" s="2">
        <f>_xlfn.XLOOKUP($A54,[1]Table7_badETA!$A:$A,[1]Table7_badETA!M:M,"-",0)</f>
        <v>0.96360000000000001</v>
      </c>
      <c r="J54" s="2">
        <f>_xlfn.XLOOKUP($A54,[1]Table7_badETA!$A:$A,[1]Table7_badETA!O:O,"-",0)</f>
        <v>1.423E-2</v>
      </c>
      <c r="K54" s="2">
        <f>_xlfn.XLOOKUP($A54,[1]morph_04R500.dat!$A:$A,[1]morph_04R500.dat!P:P,"-",0)</f>
        <v>-76.95</v>
      </c>
      <c r="L54" s="2">
        <f>_xlfn.XLOOKUP($A54,[1]morph_04R500.dat!$A:$A,[1]morph_04R500.dat!R:R,"-",0)</f>
        <v>9.359</v>
      </c>
      <c r="M54" s="2">
        <f>_xlfn.XLOOKUP($A54,[1]Table7_badETA!$A:$A,[1]Table7_badETA!T:T,"-",0)</f>
        <v>0.25131810193321619</v>
      </c>
      <c r="N54" s="2">
        <f>_xlfn.XLOOKUP($A54,[1]Table7_badETA!$A:$A,[1]Table7_badETA!U:U,"-",0)</f>
        <v>3.4460650614840556E-2</v>
      </c>
      <c r="O54" s="7">
        <f>_xlfn.XLOOKUP($A54,[1]Table7_badETA!$A:$A,[1]Table7_badETA!S:S,"-",0)</f>
        <v>300.37002000000001</v>
      </c>
    </row>
    <row r="55" spans="1:15" x14ac:dyDescent="0.2">
      <c r="A55" s="8" t="s">
        <v>66</v>
      </c>
      <c r="B55" s="8" cm="1">
        <f t="array" aca="1" ref="B55" ca="1">_xlfn.XLOOKUP(A55,[1]Table2_V5_w3C28!A:A,[1]Table2_V5_w3C28!B:B,nan(),0)</f>
        <v>0.06</v>
      </c>
      <c r="C55" s="8" cm="1">
        <f t="array" aca="1" ref="C55" ca="1">_xlfn.XLOOKUP(A55,[1]Table2_V5_w3C28!A:A,[1]Table2_V5_w3C28!D:D,nan(),0)</f>
        <v>55.713900000000002</v>
      </c>
      <c r="D55" s="8" cm="1">
        <f t="array" aca="1" ref="D55" ca="1">_xlfn.XLOOKUP(A55,[1]Table2_V5_w3C28!A:A,[1]Table2_V5_w3C28!E:E,nan(),0)</f>
        <v>-53.6297</v>
      </c>
      <c r="E55" s="1">
        <f>_xlfn.XLOOKUP($A55,[1]Table7_badETA!$A:$A,[1]Table7_badETA!C:C,"-",0)</f>
        <v>1.941E-2</v>
      </c>
      <c r="F55" s="1">
        <f>_xlfn.XLOOKUP($A55,[1]Table7_badETA!$A:$A,[1]Table7_badETA!E:E,"-",0)</f>
        <v>3.0000000000000001E-3</v>
      </c>
      <c r="G55" s="5">
        <f>_xlfn.XLOOKUP($A55,[1]Table7_badETA!$A:$A,[1]Table7_badETA!F:F,"-",0)</f>
        <v>4.7199999999999999E-8</v>
      </c>
      <c r="H55" s="6">
        <f>_xlfn.XLOOKUP($A55,[1]Table7_badETA!$A:$A,[1]Table7_badETA!H:H,"-",0)</f>
        <v>7.5200000000000005E-9</v>
      </c>
      <c r="I55" s="2">
        <f>_xlfn.XLOOKUP($A55,[1]Table7_badETA!$A:$A,[1]Table7_badETA!M:M,"-",0)</f>
        <v>0.89580000000000004</v>
      </c>
      <c r="J55" s="2">
        <f>_xlfn.XLOOKUP($A55,[1]Table7_badETA!$A:$A,[1]Table7_badETA!O:O,"-",0)</f>
        <v>1.944E-3</v>
      </c>
      <c r="K55" s="2">
        <f>_xlfn.XLOOKUP($A55,[1]morph_04R500.dat!$A:$A,[1]morph_04R500.dat!P:P,"-",0)</f>
        <v>-80.17</v>
      </c>
      <c r="L55" s="2">
        <f>_xlfn.XLOOKUP($A55,[1]morph_04R500.dat!$A:$A,[1]morph_04R500.dat!R:R,"-",0)</f>
        <v>0.49719999999999998</v>
      </c>
      <c r="M55" s="2">
        <f>_xlfn.XLOOKUP($A55,[1]Table7_badETA!$A:$A,[1]Table7_badETA!T:T,"-",0)</f>
        <v>0.38242351529694063</v>
      </c>
      <c r="N55" s="2">
        <f>_xlfn.XLOOKUP($A55,[1]Table7_badETA!$A:$A,[1]Table7_badETA!U:U,"-",0)</f>
        <v>3.475710662791134E-3</v>
      </c>
      <c r="O55" s="7">
        <f>_xlfn.XLOOKUP($A55,[1]Table7_badETA!$A:$A,[1]Table7_badETA!S:S,"-",0)</f>
        <v>436.38423999999998</v>
      </c>
    </row>
    <row r="56" spans="1:15" x14ac:dyDescent="0.2">
      <c r="A56" s="8" t="s">
        <v>67</v>
      </c>
      <c r="B56" s="8" cm="1">
        <f t="array" aca="1" ref="B56" ca="1">_xlfn.XLOOKUP(A56,[1]Table2_V5_w3C28!A:A,[1]Table2_V5_w3C28!B:B,nan(),0)</f>
        <v>0.55000000000000004</v>
      </c>
      <c r="C56" s="8" cm="1">
        <f t="array" aca="1" ref="C56" ca="1">_xlfn.XLOOKUP(A56,[1]Table2_V5_w3C28!A:A,[1]Table2_V5_w3C28!D:D,nan(),0)</f>
        <v>56.732599999999998</v>
      </c>
      <c r="D56" s="8" cm="1">
        <f t="array" aca="1" ref="D56" ca="1">_xlfn.XLOOKUP(A56,[1]Table2_V5_w3C28!A:A,[1]Table2_V5_w3C28!E:E,nan(),0)</f>
        <v>-54.648499999999999</v>
      </c>
      <c r="E56" s="1">
        <f>_xlfn.XLOOKUP($A56,[1]Table7_badETA!$A:$A,[1]Table7_badETA!C:C,"-",0)</f>
        <v>2.8570000000000002E-2</v>
      </c>
      <c r="F56" s="1">
        <f>_xlfn.XLOOKUP($A56,[1]Table7_badETA!$A:$A,[1]Table7_badETA!E:E,"-",0)</f>
        <v>7.0159999999999997E-3</v>
      </c>
      <c r="G56" s="5">
        <f>_xlfn.XLOOKUP($A56,[1]Table7_badETA!$A:$A,[1]Table7_badETA!F:F,"-",0)</f>
        <v>3.0899999999999997E-7</v>
      </c>
      <c r="H56" s="6">
        <f>_xlfn.XLOOKUP($A56,[1]Table7_badETA!$A:$A,[1]Table7_badETA!H:H,"-",0)</f>
        <v>3.0100000000000001E-7</v>
      </c>
      <c r="I56" s="2">
        <f>_xlfn.XLOOKUP($A56,[1]Table7_badETA!$A:$A,[1]Table7_badETA!M:M,"-",0)</f>
        <v>0.88939999999999997</v>
      </c>
      <c r="J56" s="2">
        <f>_xlfn.XLOOKUP($A56,[1]Table7_badETA!$A:$A,[1]Table7_badETA!O:O,"-",0)</f>
        <v>7.2889999999999996E-2</v>
      </c>
      <c r="K56" s="2">
        <f>_xlfn.XLOOKUP($A56,[1]morph_04R500.dat!$A:$A,[1]morph_04R500.dat!P:P,"-",0)</f>
        <v>86.27</v>
      </c>
      <c r="L56" s="2">
        <f>_xlfn.XLOOKUP($A56,[1]morph_04R500.dat!$A:$A,[1]morph_04R500.dat!R:R,"-",0)</f>
        <v>6.3890000000000002</v>
      </c>
      <c r="M56" s="2" t="str">
        <f>_xlfn.XLOOKUP($A56,[1]Table7_badETA!$A:$A,[1]Table7_badETA!T:T,"-",0)</f>
        <v>-</v>
      </c>
      <c r="N56" s="2" t="str">
        <f>_xlfn.XLOOKUP($A56,[1]Table7_badETA!$A:$A,[1]Table7_badETA!U:U,"-",0)</f>
        <v>-</v>
      </c>
      <c r="O56" s="7">
        <f>_xlfn.XLOOKUP($A56,[1]Table7_badETA!$A:$A,[1]Table7_badETA!S:S,"-",0)</f>
        <v>352.13850000000002</v>
      </c>
    </row>
    <row r="57" spans="1:15" x14ac:dyDescent="0.2">
      <c r="A57" s="8" t="s">
        <v>68</v>
      </c>
      <c r="B57" s="8" cm="1">
        <f t="array" aca="1" ref="B57" ca="1">_xlfn.XLOOKUP(A57,[1]Table2_V5_w3C28!A:A,[1]Table2_V5_w3C28!B:B,nan(),0)</f>
        <v>0.109</v>
      </c>
      <c r="C57" s="8" cm="1">
        <f t="array" aca="1" ref="C57" ca="1">_xlfn.XLOOKUP(A57,[1]Table2_V5_w3C28!A:A,[1]Table2_V5_w3C28!D:D,nan(),0)</f>
        <v>58.245699999999999</v>
      </c>
      <c r="D57" s="8" cm="1">
        <f t="array" aca="1" ref="D57" ca="1">_xlfn.XLOOKUP(A57,[1]Table2_V5_w3C28!A:A,[1]Table2_V5_w3C28!E:E,nan(),0)</f>
        <v>19.683</v>
      </c>
      <c r="E57" s="1">
        <f>_xlfn.XLOOKUP($A57,[1]Table7_badETA!$A:$A,[1]Table7_badETA!C:C,"-",0)</f>
        <v>2.5839999999999998E-2</v>
      </c>
      <c r="F57" s="1">
        <f>_xlfn.XLOOKUP($A57,[1]Table7_badETA!$A:$A,[1]Table7_badETA!E:E,"-",0)</f>
        <v>1.0219999999999999E-3</v>
      </c>
      <c r="G57" s="5">
        <f>_xlfn.XLOOKUP($A57,[1]Table7_badETA!$A:$A,[1]Table7_badETA!F:F,"-",0)</f>
        <v>3.2799999999999998E-9</v>
      </c>
      <c r="H57" s="6">
        <f>_xlfn.XLOOKUP($A57,[1]Table7_badETA!$A:$A,[1]Table7_badETA!H:H,"-",0)</f>
        <v>4.8399999999999998E-9</v>
      </c>
      <c r="I57" s="2">
        <f>_xlfn.XLOOKUP($A57,[1]Table7_badETA!$A:$A,[1]Table7_badETA!M:M,"-",0)</f>
        <v>0.89770000000000005</v>
      </c>
      <c r="J57" s="2">
        <f>_xlfn.XLOOKUP($A57,[1]Table7_badETA!$A:$A,[1]Table7_badETA!O:O,"-",0)</f>
        <v>6.0419999999999996E-3</v>
      </c>
      <c r="K57" s="2">
        <f>_xlfn.XLOOKUP($A57,[1]morph_04R500.dat!$A:$A,[1]morph_04R500.dat!P:P,"-",0)</f>
        <v>57.99</v>
      </c>
      <c r="L57" s="2">
        <f>_xlfn.XLOOKUP($A57,[1]morph_04R500.dat!$A:$A,[1]morph_04R500.dat!R:R,"-",0)</f>
        <v>1.7869999999999999</v>
      </c>
      <c r="M57" s="2">
        <f>_xlfn.XLOOKUP($A57,[1]Table7_badETA!$A:$A,[1]Table7_badETA!T:T,"-",0)</f>
        <v>0.7241558982909545</v>
      </c>
      <c r="N57" s="2">
        <f>_xlfn.XLOOKUP($A57,[1]Table7_badETA!$A:$A,[1]Table7_badETA!U:U,"-",0)</f>
        <v>9.9581160139431222E-3</v>
      </c>
      <c r="O57" s="7">
        <f>_xlfn.XLOOKUP($A57,[1]Table7_badETA!$A:$A,[1]Table7_badETA!S:S,"-",0)</f>
        <v>349.29232000000002</v>
      </c>
    </row>
    <row r="58" spans="1:15" x14ac:dyDescent="0.2">
      <c r="A58" s="8" t="s">
        <v>69</v>
      </c>
      <c r="B58" s="8" cm="1">
        <f t="array" aca="1" ref="B58" ca="1">_xlfn.XLOOKUP(A58,[1]Table2_V5_w3C28!A:A,[1]Table2_V5_w3C28!B:B,nan(),0)</f>
        <v>0.42499999999999999</v>
      </c>
      <c r="C58" s="8" cm="1">
        <f t="array" aca="1" ref="C58" ca="1">_xlfn.XLOOKUP(A58,[1]Table2_V5_w3C28!A:A,[1]Table2_V5_w3C28!D:D,nan(),0)</f>
        <v>59.726300000000002</v>
      </c>
      <c r="D58" s="8" cm="1">
        <f t="array" aca="1" ref="D58" ca="1">_xlfn.XLOOKUP(A58,[1]Table2_V5_w3C28!A:A,[1]Table2_V5_w3C28!E:E,nan(),0)</f>
        <v>-29.925899999999999</v>
      </c>
      <c r="E58" s="1">
        <f>_xlfn.XLOOKUP($A58,[1]Table7_badETA!$A:$A,[1]Table7_badETA!C:C,"-",0)</f>
        <v>5.7959999999999998E-2</v>
      </c>
      <c r="F58" s="1">
        <f>_xlfn.XLOOKUP($A58,[1]Table7_badETA!$A:$A,[1]Table7_badETA!E:E,"-",0)</f>
        <v>3.614E-3</v>
      </c>
      <c r="G58" s="5">
        <f>_xlfn.XLOOKUP($A58,[1]Table7_badETA!$A:$A,[1]Table7_badETA!F:F,"-",0)</f>
        <v>2.3000000000000001E-8</v>
      </c>
      <c r="H58" s="6">
        <f>_xlfn.XLOOKUP($A58,[1]Table7_badETA!$A:$A,[1]Table7_badETA!H:H,"-",0)</f>
        <v>1.7999999999999999E-8</v>
      </c>
      <c r="I58" s="2">
        <f>_xlfn.XLOOKUP($A58,[1]Table7_badETA!$A:$A,[1]Table7_badETA!M:M,"-",0)</f>
        <v>0.87239999999999995</v>
      </c>
      <c r="J58" s="2">
        <f>_xlfn.XLOOKUP($A58,[1]Table7_badETA!$A:$A,[1]Table7_badETA!O:O,"-",0)</f>
        <v>6.6880000000000004E-3</v>
      </c>
      <c r="K58" s="2">
        <f>_xlfn.XLOOKUP($A58,[1]morph_04R500.dat!$A:$A,[1]morph_04R500.dat!P:P,"-",0)</f>
        <v>53.65</v>
      </c>
      <c r="L58" s="2">
        <f>_xlfn.XLOOKUP($A58,[1]morph_04R500.dat!$A:$A,[1]morph_04R500.dat!R:R,"-",0)</f>
        <v>1.613</v>
      </c>
      <c r="M58" s="2">
        <f>_xlfn.XLOOKUP($A58,[1]Table7_badETA!$A:$A,[1]Table7_badETA!T:T,"-",0)</f>
        <v>0.50931025439286648</v>
      </c>
      <c r="N58" s="2">
        <f>_xlfn.XLOOKUP($A58,[1]Table7_badETA!$A:$A,[1]Table7_badETA!U:U,"-",0)</f>
        <v>9.8212860349693124E-3</v>
      </c>
      <c r="O58" s="7">
        <f>_xlfn.XLOOKUP($A58,[1]Table7_badETA!$A:$A,[1]Table7_badETA!S:S,"-",0)</f>
        <v>480.94400999999999</v>
      </c>
    </row>
    <row r="59" spans="1:15" x14ac:dyDescent="0.2">
      <c r="A59" s="8" t="s">
        <v>70</v>
      </c>
      <c r="B59" s="8" cm="1">
        <f t="array" aca="1" ref="B59" ca="1">_xlfn.XLOOKUP(A59,[1]Table2_V5_w3C28!A:A,[1]Table2_V5_w3C28!B:B,nan(),0)</f>
        <v>0.68600000000000005</v>
      </c>
      <c r="C59" s="8" cm="1">
        <f t="array" aca="1" ref="C59" ca="1">_xlfn.XLOOKUP(A59,[1]Table2_V5_w3C28!A:A,[1]Table2_V5_w3C28!D:D,nan(),0)</f>
        <v>61.351700000000001</v>
      </c>
      <c r="D59" s="8" cm="1">
        <f t="array" aca="1" ref="D59" ca="1">_xlfn.XLOOKUP(A59,[1]Table2_V5_w3C28!A:A,[1]Table2_V5_w3C28!E:E,nan(),0)</f>
        <v>-41.005400000000002</v>
      </c>
      <c r="E59" s="1">
        <f>_xlfn.XLOOKUP($A59,[1]Table7_badETA!$A:$A,[1]Table7_badETA!C:C,"-",0)</f>
        <v>4.7820000000000001E-2</v>
      </c>
      <c r="F59" s="1">
        <f>_xlfn.XLOOKUP($A59,[1]Table7_badETA!$A:$A,[1]Table7_badETA!E:E,"-",0)</f>
        <v>8.8940000000000009E-3</v>
      </c>
      <c r="G59" s="5">
        <f>_xlfn.XLOOKUP($A59,[1]Table7_badETA!$A:$A,[1]Table7_badETA!F:F,"-",0)</f>
        <v>1.31E-7</v>
      </c>
      <c r="H59" s="6">
        <f>_xlfn.XLOOKUP($A59,[1]Table7_badETA!$A:$A,[1]Table7_badETA!H:H,"-",0)</f>
        <v>2.1799999999999999E-7</v>
      </c>
      <c r="I59" s="2">
        <f>_xlfn.XLOOKUP($A59,[1]Table7_badETA!$A:$A,[1]Table7_badETA!M:M,"-",0)</f>
        <v>0.87</v>
      </c>
      <c r="J59" s="2">
        <f>_xlfn.XLOOKUP($A59,[1]Table7_badETA!$A:$A,[1]Table7_badETA!O:O,"-",0)</f>
        <v>1.8370000000000001E-2</v>
      </c>
      <c r="K59" s="2">
        <f>_xlfn.XLOOKUP($A59,[1]morph_04R500.dat!$A:$A,[1]morph_04R500.dat!P:P,"-",0)</f>
        <v>-65.599999999999994</v>
      </c>
      <c r="L59" s="2">
        <f>_xlfn.XLOOKUP($A59,[1]morph_04R500.dat!$A:$A,[1]morph_04R500.dat!R:R,"-",0)</f>
        <v>4.7140000000000004</v>
      </c>
      <c r="M59" s="2" t="str">
        <f>_xlfn.XLOOKUP($A59,[1]Table7_badETA!$A:$A,[1]Table7_badETA!T:T,"-",0)</f>
        <v>-</v>
      </c>
      <c r="N59" s="2" t="str">
        <f>_xlfn.XLOOKUP($A59,[1]Table7_badETA!$A:$A,[1]Table7_badETA!U:U,"-",0)</f>
        <v>-</v>
      </c>
      <c r="O59" s="7">
        <f>_xlfn.XLOOKUP($A59,[1]Table7_badETA!$A:$A,[1]Table7_badETA!S:S,"-",0)</f>
        <v>318.11354</v>
      </c>
    </row>
    <row r="60" spans="1:15" x14ac:dyDescent="0.2">
      <c r="A60" s="8" t="s">
        <v>71</v>
      </c>
      <c r="B60" s="8" cm="1">
        <f t="array" aca="1" ref="B60" ca="1">_xlfn.XLOOKUP(A60,[1]Table2_V5_w3C28!A:A,[1]Table2_V5_w3C28!B:B,nan(),0)</f>
        <v>8.7999999999999995E-2</v>
      </c>
      <c r="C60" s="8" cm="1">
        <f t="array" aca="1" ref="C60" ca="1">_xlfn.XLOOKUP(A60,[1]Table2_V5_w3C28!A:A,[1]Table2_V5_w3C28!D:D,nan(),0)</f>
        <v>63.354999999999997</v>
      </c>
      <c r="D60" s="8" cm="1">
        <f t="array" aca="1" ref="D60" ca="1">_xlfn.XLOOKUP(A60,[1]Table2_V5_w3C28!A:A,[1]Table2_V5_w3C28!E:E,nan(),0)</f>
        <v>10.465299999999999</v>
      </c>
      <c r="E60" s="1">
        <f>_xlfn.XLOOKUP($A60,[1]Table7_badETA!$A:$A,[1]Table7_badETA!C:C,"-",0)</f>
        <v>7.0210000000000003E-3</v>
      </c>
      <c r="F60" s="1">
        <f>_xlfn.XLOOKUP($A60,[1]Table7_badETA!$A:$A,[1]Table7_badETA!E:E,"-",0)</f>
        <v>3.4320000000000002E-3</v>
      </c>
      <c r="G60" s="5">
        <f>_xlfn.XLOOKUP($A60,[1]Table7_badETA!$A:$A,[1]Table7_badETA!F:F,"-",0)</f>
        <v>5.86E-9</v>
      </c>
      <c r="H60" s="6">
        <f>_xlfn.XLOOKUP($A60,[1]Table7_badETA!$A:$A,[1]Table7_badETA!H:H,"-",0)</f>
        <v>9.4699999999999994E-10</v>
      </c>
      <c r="I60" s="2">
        <f>_xlfn.XLOOKUP($A60,[1]Table7_badETA!$A:$A,[1]Table7_badETA!M:M,"-",0)</f>
        <v>0.86339999999999995</v>
      </c>
      <c r="J60" s="2">
        <f>_xlfn.XLOOKUP($A60,[1]Table7_badETA!$A:$A,[1]Table7_badETA!O:O,"-",0)</f>
        <v>1.738E-3</v>
      </c>
      <c r="K60" s="2">
        <f>_xlfn.XLOOKUP($A60,[1]morph_04R500.dat!$A:$A,[1]morph_04R500.dat!P:P,"-",0)</f>
        <v>45.6</v>
      </c>
      <c r="L60" s="2">
        <f>_xlfn.XLOOKUP($A60,[1]morph_04R500.dat!$A:$A,[1]morph_04R500.dat!R:R,"-",0)</f>
        <v>0.35830000000000001</v>
      </c>
      <c r="M60" s="2">
        <f>_xlfn.XLOOKUP($A60,[1]Table7_badETA!$A:$A,[1]Table7_badETA!T:T,"-",0)</f>
        <v>0.73327213382292933</v>
      </c>
      <c r="N60" s="2">
        <f>_xlfn.XLOOKUP($A60,[1]Table7_badETA!$A:$A,[1]Table7_badETA!U:U,"-",0)</f>
        <v>1.6001273546935293E-3</v>
      </c>
      <c r="O60" s="7">
        <f>_xlfn.XLOOKUP($A60,[1]Table7_badETA!$A:$A,[1]Table7_badETA!S:S,"-",0)</f>
        <v>542.21483000000001</v>
      </c>
    </row>
    <row r="61" spans="1:15" x14ac:dyDescent="0.2">
      <c r="A61" s="8" t="s">
        <v>72</v>
      </c>
      <c r="B61" s="8" cm="1">
        <f t="array" aca="1" ref="B61" ca="1">_xlfn.XLOOKUP(A61,[1]Table2_V5_w3C28!A:A,[1]Table2_V5_w3C28!B:B,nan(),0)</f>
        <v>0.42</v>
      </c>
      <c r="C61" s="8" cm="1">
        <f t="array" aca="1" ref="C61" ca="1">_xlfn.XLOOKUP(A61,[1]Table2_V5_w3C28!A:A,[1]Table2_V5_w3C28!D:D,nan(),0)</f>
        <v>64.039400000000001</v>
      </c>
      <c r="D61" s="8" cm="1">
        <f t="array" aca="1" ref="D61" ca="1">_xlfn.XLOOKUP(A61,[1]Table2_V5_w3C28!A:A,[1]Table2_V5_w3C28!E:E,nan(),0)</f>
        <v>-24.0655</v>
      </c>
      <c r="E61" s="1">
        <f>_xlfn.XLOOKUP($A61,[1]Table7_badETA!$A:$A,[1]Table7_badETA!C:C,"-",0)</f>
        <v>8.0740000000000006E-2</v>
      </c>
      <c r="F61" s="1">
        <f>_xlfn.XLOOKUP($A61,[1]Table7_badETA!$A:$A,[1]Table7_badETA!E:E,"-",0)</f>
        <v>6.6670000000000002E-3</v>
      </c>
      <c r="G61" s="5">
        <f>_xlfn.XLOOKUP($A61,[1]Table7_badETA!$A:$A,[1]Table7_badETA!F:F,"-",0)</f>
        <v>2.0599999999999999E-7</v>
      </c>
      <c r="H61" s="6">
        <f>_xlfn.XLOOKUP($A61,[1]Table7_badETA!$A:$A,[1]Table7_badETA!H:H,"-",0)</f>
        <v>1.02E-7</v>
      </c>
      <c r="I61" s="2">
        <f>_xlfn.XLOOKUP($A61,[1]Table7_badETA!$A:$A,[1]Table7_badETA!M:M,"-",0)</f>
        <v>0.75270000000000004</v>
      </c>
      <c r="J61" s="2">
        <f>_xlfn.XLOOKUP($A61,[1]Table7_badETA!$A:$A,[1]Table7_badETA!O:O,"-",0)</f>
        <v>7.0070000000000002E-3</v>
      </c>
      <c r="K61" s="2">
        <f>_xlfn.XLOOKUP($A61,[1]morph_04R500.dat!$A:$A,[1]morph_04R500.dat!P:P,"-",0)</f>
        <v>37.56</v>
      </c>
      <c r="L61" s="2">
        <f>_xlfn.XLOOKUP($A61,[1]morph_04R500.dat!$A:$A,[1]morph_04R500.dat!R:R,"-",0)</f>
        <v>0.93630000000000002</v>
      </c>
      <c r="M61" s="2">
        <f>_xlfn.XLOOKUP($A61,[1]Table7_badETA!$A:$A,[1]Table7_badETA!T:T,"-",0)</f>
        <v>0.34362747470835958</v>
      </c>
      <c r="N61" s="2">
        <f>_xlfn.XLOOKUP($A61,[1]Table7_badETA!$A:$A,[1]Table7_badETA!U:U,"-",0)</f>
        <v>1.4042300835307374E-2</v>
      </c>
      <c r="O61" s="7">
        <f>_xlfn.XLOOKUP($A61,[1]Table7_badETA!$A:$A,[1]Table7_badETA!S:S,"-",0)</f>
        <v>490.3963</v>
      </c>
    </row>
    <row r="62" spans="1:15" x14ac:dyDescent="0.2">
      <c r="A62" s="8" t="s">
        <v>73</v>
      </c>
      <c r="B62" s="8" cm="1">
        <f t="array" aca="1" ref="B62" ca="1">_xlfn.XLOOKUP(A62,[1]Table2_V5_w3C28!A:A,[1]Table2_V5_w3C28!B:B,nan(),0)</f>
        <v>0.04</v>
      </c>
      <c r="C62" s="8" cm="1">
        <f t="array" aca="1" ref="C62" ca="1">_xlfn.XLOOKUP(A62,[1]Table2_V5_w3C28!A:A,[1]Table2_V5_w3C28!D:D,nan(),0)</f>
        <v>66.463399999999993</v>
      </c>
      <c r="D62" s="8" cm="1">
        <f t="array" aca="1" ref="D62" ca="1">_xlfn.XLOOKUP(A62,[1]Table2_V5_w3C28!A:A,[1]Table2_V5_w3C28!E:E,nan(),0)</f>
        <v>-8.5603999999999996</v>
      </c>
      <c r="E62" s="1">
        <f>_xlfn.XLOOKUP($A62,[1]Table7_badETA!$A:$A,[1]Table7_badETA!C:C,"-",0)</f>
        <v>3.9179999999999996E-3</v>
      </c>
      <c r="F62" s="1">
        <f>_xlfn.XLOOKUP($A62,[1]Table7_badETA!$A:$A,[1]Table7_badETA!E:E,"-",0)</f>
        <v>5.5199999999999997E-4</v>
      </c>
      <c r="G62" s="5">
        <f>_xlfn.XLOOKUP($A62,[1]Table7_badETA!$A:$A,[1]Table7_badETA!F:F,"-",0)</f>
        <v>1.1100000000000001E-9</v>
      </c>
      <c r="H62" s="6">
        <f>_xlfn.XLOOKUP($A62,[1]Table7_badETA!$A:$A,[1]Table7_badETA!H:H,"-",0)</f>
        <v>3.7399999999999999E-9</v>
      </c>
      <c r="I62" s="2">
        <f>_xlfn.XLOOKUP($A62,[1]Table7_badETA!$A:$A,[1]Table7_badETA!M:M,"-",0)</f>
        <v>0.95440000000000003</v>
      </c>
      <c r="J62" s="2">
        <f>_xlfn.XLOOKUP($A62,[1]Table7_badETA!$A:$A,[1]Table7_badETA!O:O,"-",0)</f>
        <v>6.2329999999999998E-3</v>
      </c>
      <c r="K62" s="2">
        <f>_xlfn.XLOOKUP($A62,[1]morph_04R500.dat!$A:$A,[1]morph_04R500.dat!P:P,"-",0)</f>
        <v>-22.14</v>
      </c>
      <c r="L62" s="2">
        <f>_xlfn.XLOOKUP($A62,[1]morph_04R500.dat!$A:$A,[1]morph_04R500.dat!R:R,"-",0)</f>
        <v>4.681</v>
      </c>
      <c r="M62" s="2">
        <f>_xlfn.XLOOKUP($A62,[1]Table7_badETA!$A:$A,[1]Table7_badETA!T:T,"-",0)</f>
        <v>0.66147704590818368</v>
      </c>
      <c r="N62" s="2">
        <f>_xlfn.XLOOKUP($A62,[1]Table7_badETA!$A:$A,[1]Table7_badETA!U:U,"-",0)</f>
        <v>1.2903684290844018E-2</v>
      </c>
      <c r="O62" s="7">
        <f>_xlfn.XLOOKUP($A62,[1]Table7_badETA!$A:$A,[1]Table7_badETA!S:S,"-",0)</f>
        <v>351.98189000000002</v>
      </c>
    </row>
    <row r="63" spans="1:15" x14ac:dyDescent="0.2">
      <c r="A63" s="8" t="s">
        <v>74</v>
      </c>
      <c r="B63" s="8" cm="1">
        <f t="array" aca="1" ref="B63" ca="1">_xlfn.XLOOKUP(A63,[1]Table2_V5_w3C28!A:A,[1]Table2_V5_w3C28!B:B,nan(),0)</f>
        <v>0.39900000000000002</v>
      </c>
      <c r="C63" s="8" cm="1">
        <f t="array" aca="1" ref="C63" ca="1">_xlfn.XLOOKUP(A63,[1]Table2_V5_w3C28!A:A,[1]Table2_V5_w3C28!D:D,nan(),0)</f>
        <v>67.400000000000006</v>
      </c>
      <c r="D63" s="8" cm="1">
        <f t="array" aca="1" ref="D63" ca="1">_xlfn.XLOOKUP(A63,[1]Table2_V5_w3C28!A:A,[1]Table2_V5_w3C28!E:E,nan(),0)</f>
        <v>-2.8854000000000002</v>
      </c>
      <c r="E63" s="1">
        <f>_xlfn.XLOOKUP($A63,[1]Table7_badETA!$A:$A,[1]Table7_badETA!C:C,"-",0)</f>
        <v>5.4620000000000002E-2</v>
      </c>
      <c r="F63" s="1">
        <f>_xlfn.XLOOKUP($A63,[1]Table7_badETA!$A:$A,[1]Table7_badETA!E:E,"-",0)</f>
        <v>4.5840000000000004E-3</v>
      </c>
      <c r="G63" s="5">
        <f>_xlfn.XLOOKUP($A63,[1]Table7_badETA!$A:$A,[1]Table7_badETA!F:F,"-",0)</f>
        <v>7.5699999999999996E-8</v>
      </c>
      <c r="H63" s="6">
        <f>_xlfn.XLOOKUP($A63,[1]Table7_badETA!$A:$A,[1]Table7_badETA!H:H,"-",0)</f>
        <v>7.6199999999999994E-8</v>
      </c>
      <c r="I63" s="2">
        <f>_xlfn.XLOOKUP($A63,[1]Table7_badETA!$A:$A,[1]Table7_badETA!M:M,"-",0)</f>
        <v>0.89639999999999997</v>
      </c>
      <c r="J63" s="2">
        <f>_xlfn.XLOOKUP($A63,[1]Table7_badETA!$A:$A,[1]Table7_badETA!O:O,"-",0)</f>
        <v>1.4189999999999999E-2</v>
      </c>
      <c r="K63" s="2">
        <f>_xlfn.XLOOKUP($A63,[1]morph_04R500.dat!$A:$A,[1]morph_04R500.dat!P:P,"-",0)</f>
        <v>-13.6</v>
      </c>
      <c r="L63" s="2">
        <f>_xlfn.XLOOKUP($A63,[1]morph_04R500.dat!$A:$A,[1]morph_04R500.dat!R:R,"-",0)</f>
        <v>4.3440000000000003</v>
      </c>
      <c r="M63" s="2">
        <f>_xlfn.XLOOKUP($A63,[1]Table7_badETA!$A:$A,[1]Table7_badETA!T:T,"-",0)</f>
        <v>0.7116336633663366</v>
      </c>
      <c r="N63" s="2">
        <f>_xlfn.XLOOKUP($A63,[1]Table7_badETA!$A:$A,[1]Table7_badETA!U:U,"-",0)</f>
        <v>1.1558451742923631E-2</v>
      </c>
      <c r="O63" s="7">
        <f>_xlfn.XLOOKUP($A63,[1]Table7_badETA!$A:$A,[1]Table7_badETA!S:S,"-",0)</f>
        <v>438.27721000000003</v>
      </c>
    </row>
    <row r="64" spans="1:15" x14ac:dyDescent="0.2">
      <c r="A64" s="8" t="s">
        <v>75</v>
      </c>
      <c r="B64" s="8" cm="1">
        <f t="array" aca="1" ref="B64" ca="1">_xlfn.XLOOKUP(A64,[1]Table2_V5_w3C28!A:A,[1]Table2_V5_w3C28!B:B,nan(),0)</f>
        <v>0.23</v>
      </c>
      <c r="C64" s="8" cm="1">
        <f t="array" aca="1" ref="C64" ca="1">_xlfn.XLOOKUP(A64,[1]Table2_V5_w3C28!A:A,[1]Table2_V5_w3C28!D:D,nan(),0)</f>
        <v>69.752300000000005</v>
      </c>
      <c r="D64" s="8" cm="1">
        <f t="array" aca="1" ref="D64" ca="1">_xlfn.XLOOKUP(A64,[1]Table2_V5_w3C28!A:A,[1]Table2_V5_w3C28!E:E,nan(),0)</f>
        <v>7.2683999999999997</v>
      </c>
      <c r="E64" s="1">
        <f>_xlfn.XLOOKUP($A64,[1]Table7_badETA!$A:$A,[1]Table7_badETA!C:C,"-",0)</f>
        <v>2.768E-2</v>
      </c>
      <c r="F64" s="1">
        <f>_xlfn.XLOOKUP($A64,[1]Table7_badETA!$A:$A,[1]Table7_badETA!E:E,"-",0)</f>
        <v>2.14E-3</v>
      </c>
      <c r="G64" s="5">
        <f>_xlfn.XLOOKUP($A64,[1]Table7_badETA!$A:$A,[1]Table7_badETA!F:F,"-",0)</f>
        <v>6.9899999999999997E-8</v>
      </c>
      <c r="H64" s="6">
        <f>_xlfn.XLOOKUP($A64,[1]Table7_badETA!$A:$A,[1]Table7_badETA!H:H,"-",0)</f>
        <v>3.7499999999999998E-8</v>
      </c>
      <c r="I64" s="2">
        <f>_xlfn.XLOOKUP($A64,[1]Table7_badETA!$A:$A,[1]Table7_badETA!M:M,"-",0)</f>
        <v>0.89319999999999999</v>
      </c>
      <c r="J64" s="2">
        <f>_xlfn.XLOOKUP($A64,[1]Table7_badETA!$A:$A,[1]Table7_badETA!O:O,"-",0)</f>
        <v>1.6129999999999999E-2</v>
      </c>
      <c r="K64" s="2">
        <f>_xlfn.XLOOKUP($A64,[1]morph_04R500.dat!$A:$A,[1]morph_04R500.dat!P:P,"-",0)</f>
        <v>6.8689999999999998</v>
      </c>
      <c r="L64" s="2">
        <f>_xlfn.XLOOKUP($A64,[1]morph_04R500.dat!$A:$A,[1]morph_04R500.dat!R:R,"-",0)</f>
        <v>2.8650000000000002</v>
      </c>
      <c r="M64" s="2">
        <f>_xlfn.XLOOKUP($A64,[1]Table7_badETA!$A:$A,[1]Table7_badETA!T:T,"-",0)</f>
        <v>0.55384378370050835</v>
      </c>
      <c r="N64" s="2">
        <f>_xlfn.XLOOKUP($A64,[1]Table7_badETA!$A:$A,[1]Table7_badETA!U:U,"-",0)</f>
        <v>1.0137284710437223E-2</v>
      </c>
      <c r="O64" s="7">
        <f>_xlfn.XLOOKUP($A64,[1]Table7_badETA!$A:$A,[1]Table7_badETA!S:S,"-",0)</f>
        <v>459.13936000000001</v>
      </c>
    </row>
    <row r="65" spans="1:15" x14ac:dyDescent="0.2">
      <c r="A65" s="8" t="s">
        <v>76</v>
      </c>
      <c r="B65" s="8" cm="1">
        <f t="array" aca="1" ref="B65" ca="1">_xlfn.XLOOKUP(A65,[1]Table2_V5_w3C28!A:A,[1]Table2_V5_w3C28!B:B,nan(),0)</f>
        <v>0.20799999999999999</v>
      </c>
      <c r="C65" s="8" cm="1">
        <f t="array" aca="1" ref="C65" ca="1">_xlfn.XLOOKUP(A65,[1]Table2_V5_w3C28!A:A,[1]Table2_V5_w3C28!D:D,nan(),0)</f>
        <v>69.759</v>
      </c>
      <c r="D65" s="8" cm="1">
        <f t="array" aca="1" ref="D65" ca="1">_xlfn.XLOOKUP(A65,[1]Table2_V5_w3C28!A:A,[1]Table2_V5_w3C28!E:E,nan(),0)</f>
        <v>5.3453999999999997</v>
      </c>
      <c r="E65" s="1">
        <f>_xlfn.XLOOKUP($A65,[1]Table7_badETA!$A:$A,[1]Table7_badETA!C:C,"-",0)</f>
        <v>4.1369999999999997E-2</v>
      </c>
      <c r="F65" s="1">
        <f>_xlfn.XLOOKUP($A65,[1]Table7_badETA!$A:$A,[1]Table7_badETA!E:E,"-",0)</f>
        <v>2.042E-3</v>
      </c>
      <c r="G65" s="5">
        <f>_xlfn.XLOOKUP($A65,[1]Table7_badETA!$A:$A,[1]Table7_badETA!F:F,"-",0)</f>
        <v>6.3700000000000001E-9</v>
      </c>
      <c r="H65" s="6">
        <f>_xlfn.XLOOKUP($A65,[1]Table7_badETA!$A:$A,[1]Table7_badETA!H:H,"-",0)</f>
        <v>1.55E-8</v>
      </c>
      <c r="I65" s="2">
        <f>_xlfn.XLOOKUP($A65,[1]Table7_badETA!$A:$A,[1]Table7_badETA!M:M,"-",0)</f>
        <v>0.95799999999999996</v>
      </c>
      <c r="J65" s="2">
        <f>_xlfn.XLOOKUP($A65,[1]Table7_badETA!$A:$A,[1]Table7_badETA!O:O,"-",0)</f>
        <v>2.4559999999999998E-2</v>
      </c>
      <c r="K65" s="2">
        <f>_xlfn.XLOOKUP($A65,[1]morph_04R500.dat!$A:$A,[1]morph_04R500.dat!P:P,"-",0)</f>
        <v>81.739999999999995</v>
      </c>
      <c r="L65" s="2">
        <f>_xlfn.XLOOKUP($A65,[1]morph_04R500.dat!$A:$A,[1]morph_04R500.dat!R:R,"-",0)</f>
        <v>7.3819999999999997</v>
      </c>
      <c r="M65" s="2">
        <f>_xlfn.XLOOKUP($A65,[1]Table7_badETA!$A:$A,[1]Table7_badETA!T:T,"-",0)</f>
        <v>0.73371686870762276</v>
      </c>
      <c r="N65" s="2">
        <f>_xlfn.XLOOKUP($A65,[1]Table7_badETA!$A:$A,[1]Table7_badETA!U:U,"-",0)</f>
        <v>1.3002569314832815E-2</v>
      </c>
      <c r="O65" s="7">
        <f>_xlfn.XLOOKUP($A65,[1]Table7_badETA!$A:$A,[1]Table7_badETA!S:S,"-",0)</f>
        <v>392.53068000000002</v>
      </c>
    </row>
    <row r="66" spans="1:15" x14ac:dyDescent="0.2">
      <c r="A66" s="8" t="s">
        <v>77</v>
      </c>
      <c r="B66" s="8" cm="1">
        <f t="array" aca="1" ref="B66" ca="1">_xlfn.XLOOKUP(A66,[1]Table2_V5_w3C28!A:A,[1]Table2_V5_w3C28!B:B,nan(),0)</f>
        <v>0.19</v>
      </c>
      <c r="C66" s="8" cm="1">
        <f t="array" aca="1" ref="C66" ca="1">_xlfn.XLOOKUP(A66,[1]Table2_V5_w3C28!A:A,[1]Table2_V5_w3C28!D:D,nan(),0)</f>
        <v>70.791399999999996</v>
      </c>
      <c r="D66" s="8" cm="1">
        <f t="array" aca="1" ref="D66" ca="1">_xlfn.XLOOKUP(A66,[1]Table2_V5_w3C28!A:A,[1]Table2_V5_w3C28!E:E,nan(),0)</f>
        <v>2.1720000000000002</v>
      </c>
      <c r="E66" s="1">
        <f>_xlfn.XLOOKUP($A66,[1]Table7_badETA!$A:$A,[1]Table7_badETA!C:C,"-",0)</f>
        <v>2.264E-2</v>
      </c>
      <c r="F66" s="1">
        <f>_xlfn.XLOOKUP($A66,[1]Table7_badETA!$A:$A,[1]Table7_badETA!E:E,"-",0)</f>
        <v>3.5400000000000002E-3</v>
      </c>
      <c r="G66" s="5">
        <f>_xlfn.XLOOKUP($A66,[1]Table7_badETA!$A:$A,[1]Table7_badETA!F:F,"-",0)</f>
        <v>1.8300000000000001E-9</v>
      </c>
      <c r="H66" s="6">
        <f>_xlfn.XLOOKUP($A66,[1]Table7_badETA!$A:$A,[1]Table7_badETA!H:H,"-",0)</f>
        <v>2.73E-8</v>
      </c>
      <c r="I66" s="2">
        <f>_xlfn.XLOOKUP($A66,[1]Table7_badETA!$A:$A,[1]Table7_badETA!M:M,"-",0)</f>
        <v>0.93659999999999999</v>
      </c>
      <c r="J66" s="2">
        <f>_xlfn.XLOOKUP($A66,[1]Table7_badETA!$A:$A,[1]Table7_badETA!O:O,"-",0)</f>
        <v>1.3939999999999999E-2</v>
      </c>
      <c r="K66" s="2">
        <f>_xlfn.XLOOKUP($A66,[1]morph_04R500.dat!$A:$A,[1]morph_04R500.dat!P:P,"-",0)</f>
        <v>66.05</v>
      </c>
      <c r="L66" s="2">
        <f>_xlfn.XLOOKUP($A66,[1]morph_04R500.dat!$A:$A,[1]morph_04R500.dat!R:R,"-",0)</f>
        <v>6.6219999999999999</v>
      </c>
      <c r="M66" s="2" t="str">
        <f>_xlfn.XLOOKUP($A66,[1]Table7_badETA!$A:$A,[1]Table7_badETA!T:T,"-",0)</f>
        <v>-</v>
      </c>
      <c r="N66" s="2" t="str">
        <f>_xlfn.XLOOKUP($A66,[1]Table7_badETA!$A:$A,[1]Table7_badETA!U:U,"-",0)</f>
        <v>-</v>
      </c>
      <c r="O66" s="7">
        <f>_xlfn.XLOOKUP($A66,[1]Table7_badETA!$A:$A,[1]Table7_badETA!S:S,"-",0)</f>
        <v>362.09476000000001</v>
      </c>
    </row>
    <row r="67" spans="1:15" x14ac:dyDescent="0.2">
      <c r="A67" s="8" t="s">
        <v>78</v>
      </c>
      <c r="B67" s="8" cm="1">
        <f t="array" aca="1" ref="B67" ca="1">_xlfn.XLOOKUP(A67,[1]Table2_V5_w3C28!A:A,[1]Table2_V5_w3C28!B:B,nan(),0)</f>
        <v>7.0999999999999994E-2</v>
      </c>
      <c r="C67" s="8" cm="1">
        <f t="array" aca="1" ref="C67" ca="1">_xlfn.XLOOKUP(A67,[1]Table2_V5_w3C28!A:A,[1]Table2_V5_w3C28!D:D,nan(),0)</f>
        <v>72.007000000000005</v>
      </c>
      <c r="D67" s="8" cm="1">
        <f t="array" aca="1" ref="D67" ca="1">_xlfn.XLOOKUP(A67,[1]Table2_V5_w3C28!A:A,[1]Table2_V5_w3C28!E:E,nan(),0)</f>
        <v>-20.447800000000001</v>
      </c>
      <c r="E67" s="1">
        <f>_xlfn.XLOOKUP($A67,[1]Table7_badETA!$A:$A,[1]Table7_badETA!C:C,"-",0)</f>
        <v>0.2954</v>
      </c>
      <c r="F67" s="1">
        <f>_xlfn.XLOOKUP($A67,[1]Table7_badETA!$A:$A,[1]Table7_badETA!E:E,"-",0)</f>
        <v>5.8409999999999998E-3</v>
      </c>
      <c r="G67" s="5">
        <f>_xlfn.XLOOKUP($A67,[1]Table7_badETA!$A:$A,[1]Table7_badETA!F:F,"-",0)</f>
        <v>1.1200000000000001E-6</v>
      </c>
      <c r="H67" s="6">
        <f>_xlfn.XLOOKUP($A67,[1]Table7_badETA!$A:$A,[1]Table7_badETA!H:H,"-",0)</f>
        <v>3.3000000000000002E-7</v>
      </c>
      <c r="I67" s="2">
        <f>_xlfn.XLOOKUP($A67,[1]Table7_badETA!$A:$A,[1]Table7_badETA!M:M,"-",0)</f>
        <v>0.79410000000000003</v>
      </c>
      <c r="J67" s="2">
        <f>_xlfn.XLOOKUP($A67,[1]Table7_badETA!$A:$A,[1]Table7_badETA!O:O,"-",0)</f>
        <v>6.045E-3</v>
      </c>
      <c r="K67" s="2">
        <f>_xlfn.XLOOKUP($A67,[1]morph_04R500.dat!$A:$A,[1]morph_04R500.dat!P:P,"-",0)</f>
        <v>-69.680000000000007</v>
      </c>
      <c r="L67" s="2">
        <f>_xlfn.XLOOKUP($A67,[1]morph_04R500.dat!$A:$A,[1]morph_04R500.dat!R:R,"-",0)</f>
        <v>0.97760000000000002</v>
      </c>
      <c r="M67" s="2">
        <f>_xlfn.XLOOKUP($A67,[1]Table7_badETA!$A:$A,[1]Table7_badETA!T:T,"-",0)</f>
        <v>0.32621359223300972</v>
      </c>
      <c r="N67" s="2">
        <f>_xlfn.XLOOKUP($A67,[1]Table7_badETA!$A:$A,[1]Table7_badETA!U:U,"-",0)</f>
        <v>1.5487681576215481E-2</v>
      </c>
      <c r="O67" s="7">
        <f>_xlfn.XLOOKUP($A67,[1]Table7_badETA!$A:$A,[1]Table7_badETA!S:S,"-",0)</f>
        <v>373.57524000000001</v>
      </c>
    </row>
    <row r="68" spans="1:15" x14ac:dyDescent="0.2">
      <c r="A68" s="8" t="s">
        <v>79</v>
      </c>
      <c r="B68" s="8" cm="1">
        <f t="array" aca="1" ref="B68" ca="1">_xlfn.XLOOKUP(A68,[1]Table2_V5_w3C28!A:A,[1]Table2_V5_w3C28!B:B,nan(),0)</f>
        <v>0.17199999999999999</v>
      </c>
      <c r="C68" s="8" cm="1">
        <f t="array" aca="1" ref="C68" ca="1">_xlfn.XLOOKUP(A68,[1]Table2_V5_w3C28!A:A,[1]Table2_V5_w3C28!D:D,nan(),0)</f>
        <v>72.483000000000004</v>
      </c>
      <c r="D68" s="8" cm="1">
        <f t="array" aca="1" ref="D68" ca="1">_xlfn.XLOOKUP(A68,[1]Table2_V5_w3C28!A:A,[1]Table2_V5_w3C28!E:E,nan(),0)</f>
        <v>-44.673099999999998</v>
      </c>
      <c r="E68" s="1">
        <f>_xlfn.XLOOKUP($A68,[1]Table7_badETA!$A:$A,[1]Table7_badETA!C:C,"-",0)</f>
        <v>4.274E-2</v>
      </c>
      <c r="F68" s="1">
        <f>_xlfn.XLOOKUP($A68,[1]Table7_badETA!$A:$A,[1]Table7_badETA!E:E,"-",0)</f>
        <v>8.097E-3</v>
      </c>
      <c r="G68" s="5">
        <f>_xlfn.XLOOKUP($A68,[1]Table7_badETA!$A:$A,[1]Table7_badETA!F:F,"-",0)</f>
        <v>5.5999999999999999E-8</v>
      </c>
      <c r="H68" s="6">
        <f>_xlfn.XLOOKUP($A68,[1]Table7_badETA!$A:$A,[1]Table7_badETA!H:H,"-",0)</f>
        <v>4.9000000000000002E-8</v>
      </c>
      <c r="I68" s="2">
        <f>_xlfn.XLOOKUP($A68,[1]Table7_badETA!$A:$A,[1]Table7_badETA!M:M,"-",0)</f>
        <v>0.91910000000000003</v>
      </c>
      <c r="J68" s="2">
        <f>_xlfn.XLOOKUP($A68,[1]Table7_badETA!$A:$A,[1]Table7_badETA!O:O,"-",0)</f>
        <v>9.7999999999999997E-3</v>
      </c>
      <c r="K68" s="2">
        <f>_xlfn.XLOOKUP($A68,[1]morph_04R500.dat!$A:$A,[1]morph_04R500.dat!P:P,"-",0)</f>
        <v>57.27</v>
      </c>
      <c r="L68" s="2">
        <f>_xlfn.XLOOKUP($A68,[1]morph_04R500.dat!$A:$A,[1]morph_04R500.dat!R:R,"-",0)</f>
        <v>4.2729999999999997</v>
      </c>
      <c r="M68" s="2">
        <f>_xlfn.XLOOKUP($A68,[1]Table7_badETA!$A:$A,[1]Table7_badETA!T:T,"-",0)</f>
        <v>0.47857981220657275</v>
      </c>
      <c r="N68" s="2">
        <f>_xlfn.XLOOKUP($A68,[1]Table7_badETA!$A:$A,[1]Table7_badETA!U:U,"-",0)</f>
        <v>1.6562552863512645E-2</v>
      </c>
      <c r="O68" s="7">
        <f>_xlfn.XLOOKUP($A68,[1]Table7_badETA!$A:$A,[1]Table7_badETA!S:S,"-",0)</f>
        <v>386.34334000000001</v>
      </c>
    </row>
    <row r="69" spans="1:15" x14ac:dyDescent="0.2">
      <c r="A69" s="8" t="s">
        <v>80</v>
      </c>
      <c r="B69" s="8" cm="1">
        <f t="array" aca="1" ref="B69" ca="1">_xlfn.XLOOKUP(A69,[1]Table2_V5_w3C28!A:A,[1]Table2_V5_w3C28!B:B,nan(),0)</f>
        <v>0.25330000000000003</v>
      </c>
      <c r="C69" s="8" cm="1">
        <f t="array" aca="1" ref="C69" ca="1">_xlfn.XLOOKUP(A69,[1]Table2_V5_w3C28!A:A,[1]Table2_V5_w3C28!D:D,nan(),0)</f>
        <v>73.527799999999999</v>
      </c>
      <c r="D69" s="8" cm="1">
        <f t="array" aca="1" ref="D69" ca="1">_xlfn.XLOOKUP(A69,[1]Table2_V5_w3C28!A:A,[1]Table2_V5_w3C28!E:E,nan(),0)</f>
        <v>-10.2209</v>
      </c>
      <c r="E69" s="1">
        <f>_xlfn.XLOOKUP($A69,[1]Table7_badETA!$A:$A,[1]Table7_badETA!C:C,"-",0)</f>
        <v>7.2160000000000002E-2</v>
      </c>
      <c r="F69" s="1">
        <f>_xlfn.XLOOKUP($A69,[1]Table7_badETA!$A:$A,[1]Table7_badETA!E:E,"-",0)</f>
        <v>2.8839999999999998E-3</v>
      </c>
      <c r="G69" s="5">
        <f>_xlfn.XLOOKUP($A69,[1]Table7_badETA!$A:$A,[1]Table7_badETA!F:F,"-",0)</f>
        <v>3.0400000000000002E-7</v>
      </c>
      <c r="H69" s="6">
        <f>_xlfn.XLOOKUP($A69,[1]Table7_badETA!$A:$A,[1]Table7_badETA!H:H,"-",0)</f>
        <v>4.7799999999999998E-8</v>
      </c>
      <c r="I69" s="2">
        <f>_xlfn.XLOOKUP($A69,[1]Table7_badETA!$A:$A,[1]Table7_badETA!M:M,"-",0)</f>
        <v>0.85329999999999995</v>
      </c>
      <c r="J69" s="2">
        <f>_xlfn.XLOOKUP($A69,[1]Table7_badETA!$A:$A,[1]Table7_badETA!O:O,"-",0)</f>
        <v>2.7529999999999998E-3</v>
      </c>
      <c r="K69" s="2">
        <f>_xlfn.XLOOKUP($A69,[1]morph_04R500.dat!$A:$A,[1]morph_04R500.dat!P:P,"-",0)</f>
        <v>-5.4379999999999997</v>
      </c>
      <c r="L69" s="2">
        <f>_xlfn.XLOOKUP($A69,[1]morph_04R500.dat!$A:$A,[1]morph_04R500.dat!R:R,"-",0)</f>
        <v>0.61839999999999995</v>
      </c>
      <c r="M69" s="2" t="str">
        <f>_xlfn.XLOOKUP($A69,[1]Table7_badETA!$A:$A,[1]Table7_badETA!T:T,"-",0)</f>
        <v>-</v>
      </c>
      <c r="N69" s="2" t="str">
        <f>_xlfn.XLOOKUP($A69,[1]Table7_badETA!$A:$A,[1]Table7_badETA!U:U,"-",0)</f>
        <v>-</v>
      </c>
      <c r="O69" s="7">
        <f>_xlfn.XLOOKUP($A69,[1]Table7_badETA!$A:$A,[1]Table7_badETA!S:S,"-",0)</f>
        <v>481.60631000000001</v>
      </c>
    </row>
    <row r="70" spans="1:15" x14ac:dyDescent="0.2">
      <c r="A70" s="8" t="s">
        <v>81</v>
      </c>
      <c r="B70" s="8" cm="1">
        <f t="array" aca="1" ref="B70" ca="1">_xlfn.XLOOKUP(A70,[1]Table2_V5_w3C28!A:A,[1]Table2_V5_w3C28!B:B,nan(),0)</f>
        <v>0.46300000000000002</v>
      </c>
      <c r="C70" s="8" cm="1">
        <f t="array" aca="1" ref="C70" ca="1">_xlfn.XLOOKUP(A70,[1]Table2_V5_w3C28!A:A,[1]Table2_V5_w3C28!D:D,nan(),0)</f>
        <v>77.338499999999996</v>
      </c>
      <c r="D70" s="8" cm="1">
        <f t="array" aca="1" ref="D70" ca="1">_xlfn.XLOOKUP(A70,[1]Table2_V5_w3C28!A:A,[1]Table2_V5_w3C28!E:E,nan(),0)</f>
        <v>-53.703499999999998</v>
      </c>
      <c r="E70" s="1">
        <f>_xlfn.XLOOKUP($A70,[1]Table7_badETA!$A:$A,[1]Table7_badETA!C:C,"-",0)</f>
        <v>1.7330000000000002E-2</v>
      </c>
      <c r="F70" s="1">
        <f>_xlfn.XLOOKUP($A70,[1]Table7_badETA!$A:$A,[1]Table7_badETA!E:E,"-",0)</f>
        <v>4.398E-3</v>
      </c>
      <c r="G70" s="5">
        <f>_xlfn.XLOOKUP($A70,[1]Table7_badETA!$A:$A,[1]Table7_badETA!F:F,"-",0)</f>
        <v>6.0299999999999999E-7</v>
      </c>
      <c r="H70" s="6">
        <f>_xlfn.XLOOKUP($A70,[1]Table7_badETA!$A:$A,[1]Table7_badETA!H:H,"-",0)</f>
        <v>2.8999999999999998E-7</v>
      </c>
      <c r="I70" s="2">
        <f>_xlfn.XLOOKUP($A70,[1]Table7_badETA!$A:$A,[1]Table7_badETA!M:M,"-",0)</f>
        <v>0.87380000000000002</v>
      </c>
      <c r="J70" s="2">
        <f>_xlfn.XLOOKUP($A70,[1]Table7_badETA!$A:$A,[1]Table7_badETA!O:O,"-",0)</f>
        <v>1.677E-2</v>
      </c>
      <c r="K70" s="2">
        <f>_xlfn.XLOOKUP($A70,[1]morph_04R500.dat!$A:$A,[1]morph_04R500.dat!P:P,"-",0)</f>
        <v>-62.43</v>
      </c>
      <c r="L70" s="2">
        <f>_xlfn.XLOOKUP($A70,[1]morph_04R500.dat!$A:$A,[1]morph_04R500.dat!R:R,"-",0)</f>
        <v>3.601</v>
      </c>
      <c r="M70" s="2" t="str">
        <f>_xlfn.XLOOKUP($A70,[1]Table7_badETA!$A:$A,[1]Table7_badETA!T:T,"-",0)</f>
        <v>-</v>
      </c>
      <c r="N70" s="2" t="str">
        <f>_xlfn.XLOOKUP($A70,[1]Table7_badETA!$A:$A,[1]Table7_badETA!U:U,"-",0)</f>
        <v>-</v>
      </c>
      <c r="O70" s="7">
        <f>_xlfn.XLOOKUP($A70,[1]Table7_badETA!$A:$A,[1]Table7_badETA!S:S,"-",0)</f>
        <v>505.75175999999999</v>
      </c>
    </row>
    <row r="71" spans="1:15" x14ac:dyDescent="0.2">
      <c r="A71" s="8" t="s">
        <v>82</v>
      </c>
      <c r="B71" s="8" cm="1">
        <f t="array" aca="1" ref="B71" ca="1">_xlfn.XLOOKUP(A71,[1]Table2_V5_w3C28!A:A,[1]Table2_V5_w3C28!B:B,nan(),0)</f>
        <v>0.2</v>
      </c>
      <c r="C71" s="8" cm="1">
        <f t="array" aca="1" ref="C71" ca="1">_xlfn.XLOOKUP(A71,[1]Table2_V5_w3C28!A:A,[1]Table2_V5_w3C28!D:D,nan(),0)</f>
        <v>77.571299999999994</v>
      </c>
      <c r="D71" s="8" cm="1">
        <f t="array" aca="1" ref="D71" ca="1">_xlfn.XLOOKUP(A71,[1]Table2_V5_w3C28!A:A,[1]Table2_V5_w3C28!E:E,nan(),0)</f>
        <v>-45.3215</v>
      </c>
      <c r="E71" s="1">
        <f>_xlfn.XLOOKUP($A71,[1]Table7_badETA!$A:$A,[1]Table7_badETA!C:C,"-",0)</f>
        <v>1.3899999999999999E-2</v>
      </c>
      <c r="F71" s="1">
        <f>_xlfn.XLOOKUP($A71,[1]Table7_badETA!$A:$A,[1]Table7_badETA!E:E,"-",0)</f>
        <v>3.9449999999999997E-3</v>
      </c>
      <c r="G71" s="5">
        <f>_xlfn.XLOOKUP($A71,[1]Table7_badETA!$A:$A,[1]Table7_badETA!F:F,"-",0)</f>
        <v>8.5199999999999995E-9</v>
      </c>
      <c r="H71" s="6">
        <f>_xlfn.XLOOKUP($A71,[1]Table7_badETA!$A:$A,[1]Table7_badETA!H:H,"-",0)</f>
        <v>2.1699999999999999E-8</v>
      </c>
      <c r="I71" s="2">
        <f>_xlfn.XLOOKUP($A71,[1]Table7_badETA!$A:$A,[1]Table7_badETA!M:M,"-",0)</f>
        <v>0.88680000000000003</v>
      </c>
      <c r="J71" s="2">
        <f>_xlfn.XLOOKUP($A71,[1]Table7_badETA!$A:$A,[1]Table7_badETA!O:O,"-",0)</f>
        <v>1.0410000000000001E-2</v>
      </c>
      <c r="K71" s="2">
        <f>_xlfn.XLOOKUP($A71,[1]morph_04R500.dat!$A:$A,[1]morph_04R500.dat!P:P,"-",0)</f>
        <v>-59.14</v>
      </c>
      <c r="L71" s="2">
        <f>_xlfn.XLOOKUP($A71,[1]morph_04R500.dat!$A:$A,[1]morph_04R500.dat!R:R,"-",0)</f>
        <v>2.8730000000000002</v>
      </c>
      <c r="M71" s="2">
        <f>_xlfn.XLOOKUP($A71,[1]Table7_badETA!$A:$A,[1]Table7_badETA!T:T,"-",0)</f>
        <v>0.52018317503392131</v>
      </c>
      <c r="N71" s="2">
        <f>_xlfn.XLOOKUP($A71,[1]Table7_badETA!$A:$A,[1]Table7_badETA!U:U,"-",0)</f>
        <v>1.2281209740667539E-2</v>
      </c>
      <c r="O71" s="7">
        <f>_xlfn.XLOOKUP($A71,[1]Table7_badETA!$A:$A,[1]Table7_badETA!S:S,"-",0)</f>
        <v>505.38661999999999</v>
      </c>
    </row>
    <row r="72" spans="1:15" x14ac:dyDescent="0.2">
      <c r="A72" s="8" t="s">
        <v>83</v>
      </c>
      <c r="B72" s="8" cm="1">
        <f t="array" aca="1" ref="B72" ca="1">_xlfn.XLOOKUP(A72,[1]Table2_V5_w3C28!A:A,[1]Table2_V5_w3C28!B:B,nan(),0)</f>
        <v>9.1999999999999998E-2</v>
      </c>
      <c r="C72" s="8" cm="1">
        <f t="array" aca="1" ref="C72" ca="1">_xlfn.XLOOKUP(A72,[1]Table2_V5_w3C28!A:A,[1]Table2_V5_w3C28!D:D,nan(),0)</f>
        <v>78.664699999999996</v>
      </c>
      <c r="D72" s="8" cm="1">
        <f t="array" aca="1" ref="D72" ca="1">_xlfn.XLOOKUP(A72,[1]Table2_V5_w3C28!A:A,[1]Table2_V5_w3C28!E:E,nan(),0)</f>
        <v>-49.058100000000003</v>
      </c>
      <c r="E72" s="1">
        <f>_xlfn.XLOOKUP($A72,[1]Table7_badETA!$A:$A,[1]Table7_badETA!C:C,"-",0)</f>
        <v>4.2979999999999997E-2</v>
      </c>
      <c r="F72" s="1">
        <f>_xlfn.XLOOKUP($A72,[1]Table7_badETA!$A:$A,[1]Table7_badETA!E:E,"-",0)</f>
        <v>6.3709999999999999E-3</v>
      </c>
      <c r="G72" s="5">
        <f>_xlfn.XLOOKUP($A72,[1]Table7_badETA!$A:$A,[1]Table7_badETA!F:F,"-",0)</f>
        <v>7.0799999999999999E-8</v>
      </c>
      <c r="H72" s="6">
        <f>_xlfn.XLOOKUP($A72,[1]Table7_badETA!$A:$A,[1]Table7_badETA!H:H,"-",0)</f>
        <v>8.4699999999999997E-8</v>
      </c>
      <c r="I72" s="2">
        <f>_xlfn.XLOOKUP($A72,[1]Table7_badETA!$A:$A,[1]Table7_badETA!M:M,"-",0)</f>
        <v>0.9345</v>
      </c>
      <c r="J72" s="2">
        <f>_xlfn.XLOOKUP($A72,[1]Table7_badETA!$A:$A,[1]Table7_badETA!O:O,"-",0)</f>
        <v>9.2329999999999999E-3</v>
      </c>
      <c r="K72" s="2">
        <f>_xlfn.XLOOKUP($A72,[1]morph_04R500.dat!$A:$A,[1]morph_04R500.dat!P:P,"-",0)</f>
        <v>19.989999999999998</v>
      </c>
      <c r="L72" s="2">
        <f>_xlfn.XLOOKUP($A72,[1]morph_04R500.dat!$A:$A,[1]morph_04R500.dat!R:R,"-",0)</f>
        <v>4.617</v>
      </c>
      <c r="M72" s="2" t="str">
        <f>_xlfn.XLOOKUP($A72,[1]Table7_badETA!$A:$A,[1]Table7_badETA!T:T,"-",0)</f>
        <v>-</v>
      </c>
      <c r="N72" s="2" t="str">
        <f>_xlfn.XLOOKUP($A72,[1]Table7_badETA!$A:$A,[1]Table7_badETA!U:U,"-",0)</f>
        <v>-</v>
      </c>
      <c r="O72" s="7">
        <f>_xlfn.XLOOKUP($A72,[1]Table7_badETA!$A:$A,[1]Table7_badETA!S:S,"-",0)</f>
        <v>354.7133</v>
      </c>
    </row>
    <row r="73" spans="1:15" x14ac:dyDescent="0.2">
      <c r="A73" s="8" t="s">
        <v>84</v>
      </c>
      <c r="B73" s="8" cm="1">
        <f t="array" aca="1" ref="B73" ca="1">_xlfn.XLOOKUP(A73,[1]Table2_V5_w3C28!A:A,[1]Table2_V5_w3C28!B:B,nan(),0)</f>
        <v>2.8000000000000001E-2</v>
      </c>
      <c r="C73" s="8" cm="1">
        <f t="array" aca="1" ref="C73" ca="1">_xlfn.XLOOKUP(A73,[1]Table2_V5_w3C28!A:A,[1]Table2_V5_w3C28!D:D,nan(),0)</f>
        <v>79.155699999999996</v>
      </c>
      <c r="D73" s="8" cm="1">
        <f t="array" aca="1" ref="D73" ca="1">_xlfn.XLOOKUP(A73,[1]Table2_V5_w3C28!A:A,[1]Table2_V5_w3C28!E:E,nan(),0)</f>
        <v>6.4405999999999999</v>
      </c>
      <c r="E73" s="1">
        <f>_xlfn.XLOOKUP($A73,[1]Table7_badETA!$A:$A,[1]Table7_badETA!C:C,"-",0)</f>
        <v>1.3480000000000001E-2</v>
      </c>
      <c r="F73" s="1">
        <f>_xlfn.XLOOKUP($A73,[1]Table7_badETA!$A:$A,[1]Table7_badETA!E:E,"-",0)</f>
        <v>6.0340000000000003E-4</v>
      </c>
      <c r="G73" s="5">
        <f>_xlfn.XLOOKUP($A73,[1]Table7_badETA!$A:$A,[1]Table7_badETA!F:F,"-",0)</f>
        <v>2.6099999999999999E-8</v>
      </c>
      <c r="H73" s="6">
        <f>_xlfn.XLOOKUP($A73,[1]Table7_badETA!$A:$A,[1]Table7_badETA!H:H,"-",0)</f>
        <v>7.5900000000000005E-9</v>
      </c>
      <c r="I73" s="2">
        <f>_xlfn.XLOOKUP($A73,[1]Table7_badETA!$A:$A,[1]Table7_badETA!M:M,"-",0)</f>
        <v>0.95620000000000005</v>
      </c>
      <c r="J73" s="2">
        <f>_xlfn.XLOOKUP($A73,[1]Table7_badETA!$A:$A,[1]Table7_badETA!O:O,"-",0)</f>
        <v>2.4710000000000001E-3</v>
      </c>
      <c r="K73" s="2">
        <f>_xlfn.XLOOKUP($A73,[1]morph_04R500.dat!$A:$A,[1]morph_04R500.dat!P:P,"-",0)</f>
        <v>45.97</v>
      </c>
      <c r="L73" s="2">
        <f>_xlfn.XLOOKUP($A73,[1]morph_04R500.dat!$A:$A,[1]morph_04R500.dat!R:R,"-",0)</f>
        <v>1.9359999999999999</v>
      </c>
      <c r="M73" s="2">
        <f>_xlfn.XLOOKUP($A73,[1]Table7_badETA!$A:$A,[1]Table7_badETA!T:T,"-",0)</f>
        <v>0.41328056693203258</v>
      </c>
      <c r="N73" s="2">
        <f>_xlfn.XLOOKUP($A73,[1]Table7_badETA!$A:$A,[1]Table7_badETA!U:U,"-",0)</f>
        <v>9.4590080943641082E-3</v>
      </c>
      <c r="O73" s="7">
        <f>_xlfn.XLOOKUP($A73,[1]Table7_badETA!$A:$A,[1]Table7_badETA!S:S,"-",0)</f>
        <v>332.81538999999998</v>
      </c>
    </row>
    <row r="74" spans="1:15" x14ac:dyDescent="0.2">
      <c r="A74" s="8" t="s">
        <v>85</v>
      </c>
      <c r="B74" s="8" cm="1">
        <f t="array" aca="1" ref="B74" ca="1">_xlfn.XLOOKUP(A74,[1]Table2_V5_w3C28!A:A,[1]Table2_V5_w3C28!B:B,nan(),0)</f>
        <v>0.34</v>
      </c>
      <c r="C74" s="8" cm="1">
        <f t="array" aca="1" ref="C74" ca="1">_xlfn.XLOOKUP(A74,[1]Table2_V5_w3C28!A:A,[1]Table2_V5_w3C28!D:D,nan(),0)</f>
        <v>80.1751</v>
      </c>
      <c r="D74" s="8" cm="1">
        <f t="array" aca="1" ref="D74" ca="1">_xlfn.XLOOKUP(A74,[1]Table2_V5_w3C28!A:A,[1]Table2_V5_w3C28!E:E,nan(),0)</f>
        <v>-13.4803</v>
      </c>
      <c r="E74" s="1">
        <f>_xlfn.XLOOKUP($A74,[1]Table7_badETA!$A:$A,[1]Table7_badETA!C:C,"-",0)</f>
        <v>2.7480000000000001E-2</v>
      </c>
      <c r="F74" s="1">
        <f>_xlfn.XLOOKUP($A74,[1]Table7_badETA!$A:$A,[1]Table7_badETA!E:E,"-",0)</f>
        <v>6.5129999999999997E-3</v>
      </c>
      <c r="G74" s="5">
        <f>_xlfn.XLOOKUP($A74,[1]Table7_badETA!$A:$A,[1]Table7_badETA!F:F,"-",0)</f>
        <v>6.9200000000000001E-9</v>
      </c>
      <c r="H74" s="6">
        <f>_xlfn.XLOOKUP($A74,[1]Table7_badETA!$A:$A,[1]Table7_badETA!H:H,"-",0)</f>
        <v>2.3199999999999999E-8</v>
      </c>
      <c r="I74" s="2">
        <f>_xlfn.XLOOKUP($A74,[1]Table7_badETA!$A:$A,[1]Table7_badETA!M:M,"-",0)</f>
        <v>0.93559999999999999</v>
      </c>
      <c r="J74" s="2">
        <f>_xlfn.XLOOKUP($A74,[1]Table7_badETA!$A:$A,[1]Table7_badETA!O:O,"-",0)</f>
        <v>3.056E-2</v>
      </c>
      <c r="K74" s="2">
        <f>_xlfn.XLOOKUP($A74,[1]morph_04R500.dat!$A:$A,[1]morph_04R500.dat!P:P,"-",0)</f>
        <v>-82.64</v>
      </c>
      <c r="L74" s="2">
        <f>_xlfn.XLOOKUP($A74,[1]morph_04R500.dat!$A:$A,[1]morph_04R500.dat!R:R,"-",0)</f>
        <v>5.2910000000000004</v>
      </c>
      <c r="M74" s="2" t="str">
        <f>_xlfn.XLOOKUP($A74,[1]Table7_badETA!$A:$A,[1]Table7_badETA!T:T,"-",0)</f>
        <v>-</v>
      </c>
      <c r="N74" s="2" t="str">
        <f>_xlfn.XLOOKUP($A74,[1]Table7_badETA!$A:$A,[1]Table7_badETA!U:U,"-",0)</f>
        <v>-</v>
      </c>
      <c r="O74" s="7">
        <f>_xlfn.XLOOKUP($A74,[1]Table7_badETA!$A:$A,[1]Table7_badETA!S:S,"-",0)</f>
        <v>460.68261000000001</v>
      </c>
    </row>
    <row r="75" spans="1:15" x14ac:dyDescent="0.2">
      <c r="A75" s="8" t="s">
        <v>86</v>
      </c>
      <c r="B75" s="8" cm="1">
        <f t="array" aca="1" ref="B75" ca="1">_xlfn.XLOOKUP(A75,[1]Table2_V5_w3C28!A:A,[1]Table2_V5_w3C28!B:B,nan(),0)</f>
        <v>0.29599999999999999</v>
      </c>
      <c r="C75" s="8" cm="1">
        <f t="array" aca="1" ref="C75" ca="1">_xlfn.XLOOKUP(A75,[1]Table2_V5_w3C28!A:A,[1]Table2_V5_w3C28!D:D,nan(),0)</f>
        <v>80.563500000000005</v>
      </c>
      <c r="D75" s="8" cm="1">
        <f t="array" aca="1" ref="D75" ca="1">_xlfn.XLOOKUP(A75,[1]Table2_V5_w3C28!A:A,[1]Table2_V5_w3C28!E:E,nan(),0)</f>
        <v>-48.304499999999997</v>
      </c>
      <c r="E75" s="1">
        <f>_xlfn.XLOOKUP($A75,[1]Table7_badETA!$A:$A,[1]Table7_badETA!C:C,"-",0)</f>
        <v>6.198E-2</v>
      </c>
      <c r="F75" s="1">
        <f>_xlfn.XLOOKUP($A75,[1]Table7_badETA!$A:$A,[1]Table7_badETA!E:E,"-",0)</f>
        <v>6.3330000000000001E-3</v>
      </c>
      <c r="G75" s="5">
        <f>_xlfn.XLOOKUP($A75,[1]Table7_badETA!$A:$A,[1]Table7_badETA!F:F,"-",0)</f>
        <v>7.61E-8</v>
      </c>
      <c r="H75" s="6">
        <f>_xlfn.XLOOKUP($A75,[1]Table7_badETA!$A:$A,[1]Table7_badETA!H:H,"-",0)</f>
        <v>2.4900000000000002E-7</v>
      </c>
      <c r="I75" s="2">
        <f>_xlfn.XLOOKUP($A75,[1]Table7_badETA!$A:$A,[1]Table7_badETA!M:M,"-",0)</f>
        <v>0.76570000000000005</v>
      </c>
      <c r="J75" s="2">
        <f>_xlfn.XLOOKUP($A75,[1]Table7_badETA!$A:$A,[1]Table7_badETA!O:O,"-",0)</f>
        <v>2.1669999999999998E-2</v>
      </c>
      <c r="K75" s="2">
        <f>_xlfn.XLOOKUP($A75,[1]morph_04R500.dat!$A:$A,[1]morph_04R500.dat!P:P,"-",0)</f>
        <v>-66.53</v>
      </c>
      <c r="L75" s="2">
        <f>_xlfn.XLOOKUP($A75,[1]morph_04R500.dat!$A:$A,[1]morph_04R500.dat!R:R,"-",0)</f>
        <v>3.2389999999999999</v>
      </c>
      <c r="M75" s="2" t="str">
        <f>_xlfn.XLOOKUP($A75,[1]Table7_badETA!$A:$A,[1]Table7_badETA!T:T,"-",0)</f>
        <v>-</v>
      </c>
      <c r="N75" s="2" t="str">
        <f>_xlfn.XLOOKUP($A75,[1]Table7_badETA!$A:$A,[1]Table7_badETA!U:U,"-",0)</f>
        <v>-</v>
      </c>
      <c r="O75" s="7">
        <f>_xlfn.XLOOKUP($A75,[1]Table7_badETA!$A:$A,[1]Table7_badETA!S:S,"-",0)</f>
        <v>422.47730000000001</v>
      </c>
    </row>
    <row r="76" spans="1:15" x14ac:dyDescent="0.2">
      <c r="A76" s="8" t="s">
        <v>87</v>
      </c>
      <c r="B76" s="8" cm="1">
        <f t="array" aca="1" ref="B76" ca="1">_xlfn.XLOOKUP(A76,[1]Table2_V5_w3C28!A:A,[1]Table2_V5_w3C28!B:B,nan(),0)</f>
        <v>0.191</v>
      </c>
      <c r="C76" s="8" cm="1">
        <f t="array" aca="1" ref="C76" ca="1">_xlfn.XLOOKUP(A76,[1]Table2_V5_w3C28!A:A,[1]Table2_V5_w3C28!D:D,nan(),0)</f>
        <v>81.453400000000002</v>
      </c>
      <c r="D76" s="8" cm="1">
        <f t="array" aca="1" ref="D76" ca="1">_xlfn.XLOOKUP(A76,[1]Table2_V5_w3C28!A:A,[1]Table2_V5_w3C28!E:E,nan(),0)</f>
        <v>-47.252800000000001</v>
      </c>
      <c r="E76" s="1">
        <f>_xlfn.XLOOKUP($A76,[1]Table7_badETA!$A:$A,[1]Table7_badETA!C:C,"-",0)</f>
        <v>1.047E-2</v>
      </c>
      <c r="F76" s="1">
        <f>_xlfn.XLOOKUP($A76,[1]Table7_badETA!$A:$A,[1]Table7_badETA!E:E,"-",0)</f>
        <v>2.1150000000000001E-3</v>
      </c>
      <c r="G76" s="5">
        <f>_xlfn.XLOOKUP($A76,[1]Table7_badETA!$A:$A,[1]Table7_badETA!F:F,"-",0)</f>
        <v>5.69E-8</v>
      </c>
      <c r="H76" s="6">
        <f>_xlfn.XLOOKUP($A76,[1]Table7_badETA!$A:$A,[1]Table7_badETA!H:H,"-",0)</f>
        <v>3.8500000000000001E-8</v>
      </c>
      <c r="I76" s="2">
        <f>_xlfn.XLOOKUP($A76,[1]Table7_badETA!$A:$A,[1]Table7_badETA!M:M,"-",0)</f>
        <v>0.92369999999999997</v>
      </c>
      <c r="J76" s="2">
        <f>_xlfn.XLOOKUP($A76,[1]Table7_badETA!$A:$A,[1]Table7_badETA!O:O,"-",0)</f>
        <v>1.1089999999999999E-2</v>
      </c>
      <c r="K76" s="2">
        <f>_xlfn.XLOOKUP($A76,[1]morph_04R500.dat!$A:$A,[1]morph_04R500.dat!P:P,"-",0)</f>
        <v>-65.58</v>
      </c>
      <c r="L76" s="2">
        <f>_xlfn.XLOOKUP($A76,[1]morph_04R500.dat!$A:$A,[1]morph_04R500.dat!R:R,"-",0)</f>
        <v>4.077</v>
      </c>
      <c r="M76" s="2">
        <f>_xlfn.XLOOKUP($A76,[1]Table7_badETA!$A:$A,[1]Table7_badETA!T:T,"-",0)</f>
        <v>0.53635192343088534</v>
      </c>
      <c r="N76" s="2">
        <f>_xlfn.XLOOKUP($A76,[1]Table7_badETA!$A:$A,[1]Table7_badETA!U:U,"-",0)</f>
        <v>1.2451375092975399E-2</v>
      </c>
      <c r="O76" s="7">
        <f>_xlfn.XLOOKUP($A76,[1]Table7_badETA!$A:$A,[1]Table7_badETA!S:S,"-",0)</f>
        <v>479.40487000000002</v>
      </c>
    </row>
    <row r="77" spans="1:15" x14ac:dyDescent="0.2">
      <c r="A77" s="8" t="s">
        <v>88</v>
      </c>
      <c r="B77" s="8" cm="1">
        <f t="array" aca="1" ref="B77" ca="1">_xlfn.XLOOKUP(A77,[1]Table2_V5_w3C28!A:A,[1]Table2_V5_w3C28!B:B,nan(),0)</f>
        <v>0.158</v>
      </c>
      <c r="C77" s="8" cm="1">
        <f t="array" aca="1" ref="C77" ca="1">_xlfn.XLOOKUP(A77,[1]Table2_V5_w3C28!A:A,[1]Table2_V5_w3C28!D:D,nan(),0)</f>
        <v>82.060699999999997</v>
      </c>
      <c r="D77" s="8" cm="1">
        <f t="array" aca="1" ref="D77" ca="1">_xlfn.XLOOKUP(A77,[1]Table2_V5_w3C28!A:A,[1]Table2_V5_w3C28!E:E,nan(),0)</f>
        <v>-29.721900000000002</v>
      </c>
      <c r="E77" s="1">
        <f>_xlfn.XLOOKUP($A77,[1]Table7_badETA!$A:$A,[1]Table7_badETA!C:C,"-",0)</f>
        <v>1.367E-2</v>
      </c>
      <c r="F77" s="1">
        <f>_xlfn.XLOOKUP($A77,[1]Table7_badETA!$A:$A,[1]Table7_badETA!E:E,"-",0)</f>
        <v>2.5240000000000002E-3</v>
      </c>
      <c r="G77" s="5">
        <f>_xlfn.XLOOKUP($A77,[1]Table7_badETA!$A:$A,[1]Table7_badETA!F:F,"-",0)</f>
        <v>2.9200000000000002E-7</v>
      </c>
      <c r="H77" s="6">
        <f>_xlfn.XLOOKUP($A77,[1]Table7_badETA!$A:$A,[1]Table7_badETA!H:H,"-",0)</f>
        <v>1.1300000000000001E-7</v>
      </c>
      <c r="I77" s="2">
        <f>_xlfn.XLOOKUP($A77,[1]Table7_badETA!$A:$A,[1]Table7_badETA!M:M,"-",0)</f>
        <v>0.90810000000000002</v>
      </c>
      <c r="J77" s="2">
        <f>_xlfn.XLOOKUP($A77,[1]Table7_badETA!$A:$A,[1]Table7_badETA!O:O,"-",0)</f>
        <v>1.008E-2</v>
      </c>
      <c r="K77" s="2">
        <f>_xlfn.XLOOKUP($A77,[1]morph_04R500.dat!$A:$A,[1]morph_04R500.dat!P:P,"-",0)</f>
        <v>33.869999999999997</v>
      </c>
      <c r="L77" s="2">
        <f>_xlfn.XLOOKUP($A77,[1]morph_04R500.dat!$A:$A,[1]morph_04R500.dat!R:R,"-",0)</f>
        <v>3</v>
      </c>
      <c r="M77" s="2">
        <f>_xlfn.XLOOKUP($A77,[1]Table7_badETA!$A:$A,[1]Table7_badETA!T:T,"-",0)</f>
        <v>0.40984544934172867</v>
      </c>
      <c r="N77" s="2">
        <f>_xlfn.XLOOKUP($A77,[1]Table7_badETA!$A:$A,[1]Table7_badETA!U:U,"-",0)</f>
        <v>1.830887426856672E-2</v>
      </c>
      <c r="O77" s="7">
        <f>_xlfn.XLOOKUP($A77,[1]Table7_badETA!$A:$A,[1]Table7_badETA!S:S,"-",0)</f>
        <v>392.54901999999998</v>
      </c>
    </row>
    <row r="78" spans="1:15" x14ac:dyDescent="0.2">
      <c r="A78" s="8" t="s">
        <v>89</v>
      </c>
      <c r="B78" s="8" cm="1">
        <f t="array" aca="1" ref="B78" ca="1">_xlfn.XLOOKUP(A78,[1]Table2_V5_w3C28!A:A,[1]Table2_V5_w3C28!B:B,nan(),0)</f>
        <v>0.28399999999999997</v>
      </c>
      <c r="C78" s="8" cm="1">
        <f t="array" aca="1" ref="C78" ca="1">_xlfn.XLOOKUP(A78,[1]Table2_V5_w3C28!A:A,[1]Table2_V5_w3C28!D:D,nan(),0)</f>
        <v>82.2209</v>
      </c>
      <c r="D78" s="8" cm="1">
        <f t="array" aca="1" ref="D78" ca="1">_xlfn.XLOOKUP(A78,[1]Table2_V5_w3C28!A:A,[1]Table2_V5_w3C28!E:E,nan(),0)</f>
        <v>-39.470500000000001</v>
      </c>
      <c r="E78" s="1">
        <f>_xlfn.XLOOKUP($A78,[1]Table7_badETA!$A:$A,[1]Table7_badETA!C:C,"-",0)</f>
        <v>2.911E-2</v>
      </c>
      <c r="F78" s="1">
        <f>_xlfn.XLOOKUP($A78,[1]Table7_badETA!$A:$A,[1]Table7_badETA!E:E,"-",0)</f>
        <v>1.1770000000000001E-3</v>
      </c>
      <c r="G78" s="5">
        <f>_xlfn.XLOOKUP($A78,[1]Table7_badETA!$A:$A,[1]Table7_badETA!F:F,"-",0)</f>
        <v>1.3300000000000001E-7</v>
      </c>
      <c r="H78" s="6">
        <f>_xlfn.XLOOKUP($A78,[1]Table7_badETA!$A:$A,[1]Table7_badETA!H:H,"-",0)</f>
        <v>2.92E-8</v>
      </c>
      <c r="I78" s="2">
        <f>_xlfn.XLOOKUP($A78,[1]Table7_badETA!$A:$A,[1]Table7_badETA!M:M,"-",0)</f>
        <v>0.95340000000000003</v>
      </c>
      <c r="J78" s="2">
        <f>_xlfn.XLOOKUP($A78,[1]Table7_badETA!$A:$A,[1]Table7_badETA!O:O,"-",0)</f>
        <v>3.9740000000000001E-3</v>
      </c>
      <c r="K78" s="2">
        <f>_xlfn.XLOOKUP($A78,[1]morph_04R500.dat!$A:$A,[1]morph_04R500.dat!P:P,"-",0)</f>
        <v>-52.7</v>
      </c>
      <c r="L78" s="2">
        <f>_xlfn.XLOOKUP($A78,[1]morph_04R500.dat!$A:$A,[1]morph_04R500.dat!R:R,"-",0)</f>
        <v>2.7160000000000002</v>
      </c>
      <c r="M78" s="2">
        <f>_xlfn.XLOOKUP($A78,[1]Table7_badETA!$A:$A,[1]Table7_badETA!T:T,"-",0)</f>
        <v>0.53013085399449034</v>
      </c>
      <c r="N78" s="2">
        <f>_xlfn.XLOOKUP($A78,[1]Table7_badETA!$A:$A,[1]Table7_badETA!U:U,"-",0)</f>
        <v>5.0747709435453531E-3</v>
      </c>
      <c r="O78" s="7">
        <f>_xlfn.XLOOKUP($A78,[1]Table7_badETA!$A:$A,[1]Table7_badETA!S:S,"-",0)</f>
        <v>545.62829999999997</v>
      </c>
    </row>
    <row r="79" spans="1:15" x14ac:dyDescent="0.2">
      <c r="A79" s="8" t="s">
        <v>90</v>
      </c>
      <c r="B79" s="8" cm="1">
        <f t="array" aca="1" ref="B79" ca="1">_xlfn.XLOOKUP(A79,[1]Table2_V5_w3C28!A:A,[1]Table2_V5_w3C28!B:B,nan(),0)</f>
        <v>0.21</v>
      </c>
      <c r="C79" s="8" cm="1">
        <f t="array" aca="1" ref="C79" ca="1">_xlfn.XLOOKUP(A79,[1]Table2_V5_w3C28!A:A,[1]Table2_V5_w3C28!D:D,nan(),0)</f>
        <v>82.869500000000002</v>
      </c>
      <c r="D79" s="8" cm="1">
        <f t="array" aca="1" ref="D79" ca="1">_xlfn.XLOOKUP(A79,[1]Table2_V5_w3C28!A:A,[1]Table2_V5_w3C28!E:E,nan(),0)</f>
        <v>-75.1768</v>
      </c>
      <c r="E79" s="1">
        <f>_xlfn.XLOOKUP($A79,[1]Table7_badETA!$A:$A,[1]Table7_badETA!C:C,"-",0)</f>
        <v>2.46E-2</v>
      </c>
      <c r="F79" s="1">
        <f>_xlfn.XLOOKUP($A79,[1]Table7_badETA!$A:$A,[1]Table7_badETA!E:E,"-",0)</f>
        <v>6.5799999999999999E-3</v>
      </c>
      <c r="G79" s="5">
        <f>_xlfn.XLOOKUP($A79,[1]Table7_badETA!$A:$A,[1]Table7_badETA!F:F,"-",0)</f>
        <v>2.92E-8</v>
      </c>
      <c r="H79" s="6">
        <f>_xlfn.XLOOKUP($A79,[1]Table7_badETA!$A:$A,[1]Table7_badETA!H:H,"-",0)</f>
        <v>4.9000000000000002E-8</v>
      </c>
      <c r="I79" s="2">
        <f>_xlfn.XLOOKUP($A79,[1]Table7_badETA!$A:$A,[1]Table7_badETA!M:M,"-",0)</f>
        <v>0.83779999999999999</v>
      </c>
      <c r="J79" s="2">
        <f>_xlfn.XLOOKUP($A79,[1]Table7_badETA!$A:$A,[1]Table7_badETA!O:O,"-",0)</f>
        <v>8.6770000000000007E-3</v>
      </c>
      <c r="K79" s="2">
        <f>_xlfn.XLOOKUP($A79,[1]morph_04R500.dat!$A:$A,[1]morph_04R500.dat!P:P,"-",0)</f>
        <v>-17.47</v>
      </c>
      <c r="L79" s="2">
        <f>_xlfn.XLOOKUP($A79,[1]morph_04R500.dat!$A:$A,[1]morph_04R500.dat!R:R,"-",0)</f>
        <v>1.7210000000000001</v>
      </c>
      <c r="M79" s="2">
        <f>_xlfn.XLOOKUP($A79,[1]Table7_badETA!$A:$A,[1]Table7_badETA!T:T,"-",0)</f>
        <v>0.38839606808918725</v>
      </c>
      <c r="N79" s="2">
        <f>_xlfn.XLOOKUP($A79,[1]Table7_badETA!$A:$A,[1]Table7_badETA!U:U,"-",0)</f>
        <v>1.5757430119890708E-2</v>
      </c>
      <c r="O79" s="7">
        <f>_xlfn.XLOOKUP($A79,[1]Table7_badETA!$A:$A,[1]Table7_badETA!S:S,"-",0)</f>
        <v>481.16046999999998</v>
      </c>
    </row>
    <row r="80" spans="1:15" x14ac:dyDescent="0.2">
      <c r="A80" s="8" t="s">
        <v>91</v>
      </c>
      <c r="B80" s="8" cm="1">
        <f t="array" aca="1" ref="B80" ca="1">_xlfn.XLOOKUP(A80,[1]Table2_V5_w3C28!A:A,[1]Table2_V5_w3C28!B:B,nan(),0)</f>
        <v>3.5999999999999997E-2</v>
      </c>
      <c r="C80" s="8" cm="1">
        <f t="array" aca="1" ref="C80" ca="1">_xlfn.XLOOKUP(A80,[1]Table2_V5_w3C28!A:A,[1]Table2_V5_w3C28!D:D,nan(),0)</f>
        <v>85.027799999999999</v>
      </c>
      <c r="D80" s="8" cm="1">
        <f t="array" aca="1" ref="D80" ca="1">_xlfn.XLOOKUP(A80,[1]Table2_V5_w3C28!A:A,[1]Table2_V5_w3C28!E:E,nan(),0)</f>
        <v>-40.836599999999997</v>
      </c>
      <c r="E80" s="1">
        <f>_xlfn.XLOOKUP($A80,[1]Table7_badETA!$A:$A,[1]Table7_badETA!C:C,"-",0)</f>
        <v>1.06E-2</v>
      </c>
      <c r="F80" s="1">
        <f>_xlfn.XLOOKUP($A80,[1]Table7_badETA!$A:$A,[1]Table7_badETA!E:E,"-",0)</f>
        <v>8.6459999999999998E-4</v>
      </c>
      <c r="G80" s="5">
        <f>_xlfn.XLOOKUP($A80,[1]Table7_badETA!$A:$A,[1]Table7_badETA!F:F,"-",0)</f>
        <v>3.9599999999999997E-8</v>
      </c>
      <c r="H80" s="6">
        <f>_xlfn.XLOOKUP($A80,[1]Table7_badETA!$A:$A,[1]Table7_badETA!H:H,"-",0)</f>
        <v>1.03E-8</v>
      </c>
      <c r="I80" s="2">
        <f>_xlfn.XLOOKUP($A80,[1]Table7_badETA!$A:$A,[1]Table7_badETA!M:M,"-",0)</f>
        <v>0.79259999999999997</v>
      </c>
      <c r="J80" s="2">
        <f>_xlfn.XLOOKUP($A80,[1]Table7_badETA!$A:$A,[1]Table7_badETA!O:O,"-",0)</f>
        <v>3.3170000000000001E-3</v>
      </c>
      <c r="K80" s="2">
        <f>_xlfn.XLOOKUP($A80,[1]morph_04R500.dat!$A:$A,[1]morph_04R500.dat!P:P,"-",0)</f>
        <v>-5.5380000000000003</v>
      </c>
      <c r="L80" s="2">
        <f>_xlfn.XLOOKUP($A80,[1]morph_04R500.dat!$A:$A,[1]morph_04R500.dat!R:R,"-",0)</f>
        <v>0.70120000000000005</v>
      </c>
      <c r="M80" s="2">
        <f>_xlfn.XLOOKUP($A80,[1]Table7_badETA!$A:$A,[1]Table7_badETA!T:T,"-",0)</f>
        <v>0.58823529411764708</v>
      </c>
      <c r="N80" s="2">
        <f>_xlfn.XLOOKUP($A80,[1]Table7_badETA!$A:$A,[1]Table7_badETA!U:U,"-",0)</f>
        <v>1.2792913587849052E-2</v>
      </c>
      <c r="O80" s="7">
        <f>_xlfn.XLOOKUP($A80,[1]Table7_badETA!$A:$A,[1]Table7_badETA!S:S,"-",0)</f>
        <v>326.52976000000001</v>
      </c>
    </row>
    <row r="81" spans="1:15" x14ac:dyDescent="0.2">
      <c r="A81" s="8" t="s">
        <v>92</v>
      </c>
      <c r="B81" s="8" cm="1">
        <f t="array" aca="1" ref="B81" ca="1">_xlfn.XLOOKUP(A81,[1]Table2_V5_w3C28!A:A,[1]Table2_V5_w3C28!B:B,nan(),0)</f>
        <v>0.14799999999999999</v>
      </c>
      <c r="C81" s="8" cm="1">
        <f t="array" aca="1" ref="C81" ca="1">_xlfn.XLOOKUP(A81,[1]Table2_V5_w3C28!A:A,[1]Table2_V5_w3C28!D:D,nan(),0)</f>
        <v>86.906499999999994</v>
      </c>
      <c r="D81" s="8" cm="1">
        <f t="array" aca="1" ref="D81" ca="1">_xlfn.XLOOKUP(A81,[1]Table2_V5_w3C28!A:A,[1]Table2_V5_w3C28!E:E,nan(),0)</f>
        <v>-31.871200000000002</v>
      </c>
      <c r="E81" s="1">
        <f>_xlfn.XLOOKUP($A81,[1]Table7_badETA!$A:$A,[1]Table7_badETA!C:C,"-",0)</f>
        <v>3.9879999999999999E-2</v>
      </c>
      <c r="F81" s="1">
        <f>_xlfn.XLOOKUP($A81,[1]Table7_badETA!$A:$A,[1]Table7_badETA!E:E,"-",0)</f>
        <v>4.1269999999999996E-3</v>
      </c>
      <c r="G81" s="5">
        <f>_xlfn.XLOOKUP($A81,[1]Table7_badETA!$A:$A,[1]Table7_badETA!F:F,"-",0)</f>
        <v>7.3300000000000001E-8</v>
      </c>
      <c r="H81" s="6">
        <f>_xlfn.XLOOKUP($A81,[1]Table7_badETA!$A:$A,[1]Table7_badETA!H:H,"-",0)</f>
        <v>2.9499999999999999E-8</v>
      </c>
      <c r="I81" s="2">
        <f>_xlfn.XLOOKUP($A81,[1]Table7_badETA!$A:$A,[1]Table7_badETA!M:M,"-",0)</f>
        <v>0.94969999999999999</v>
      </c>
      <c r="J81" s="2">
        <f>_xlfn.XLOOKUP($A81,[1]Table7_badETA!$A:$A,[1]Table7_badETA!O:O,"-",0)</f>
        <v>6.7520000000000002E-3</v>
      </c>
      <c r="K81" s="2">
        <f>_xlfn.XLOOKUP($A81,[1]morph_04R500.dat!$A:$A,[1]morph_04R500.dat!P:P,"-",0)</f>
        <v>18.809999999999999</v>
      </c>
      <c r="L81" s="2">
        <f>_xlfn.XLOOKUP($A81,[1]morph_04R500.dat!$A:$A,[1]morph_04R500.dat!R:R,"-",0)</f>
        <v>4.4619999999999997</v>
      </c>
      <c r="M81" s="2">
        <f>_xlfn.XLOOKUP($A81,[1]Table7_badETA!$A:$A,[1]Table7_badETA!T:T,"-",0)</f>
        <v>0.51723013371018589</v>
      </c>
      <c r="N81" s="2">
        <f>_xlfn.XLOOKUP($A81,[1]Table7_badETA!$A:$A,[1]Table7_badETA!U:U,"-",0)</f>
        <v>9.497180223551574E-3</v>
      </c>
      <c r="O81" s="7">
        <f>_xlfn.XLOOKUP($A81,[1]Table7_badETA!$A:$A,[1]Table7_badETA!S:S,"-",0)</f>
        <v>518.58816000000002</v>
      </c>
    </row>
    <row r="82" spans="1:15" x14ac:dyDescent="0.2">
      <c r="A82" s="8" t="s">
        <v>93</v>
      </c>
      <c r="B82" s="8" cm="1">
        <f t="array" aca="1" ref="B82" ca="1">_xlfn.XLOOKUP(A82,[1]Table2_V5_w3C28!A:A,[1]Table2_V5_w3C28!B:B,nan(),0)</f>
        <v>9.9000000000000005E-2</v>
      </c>
      <c r="C82" s="8" cm="1">
        <f t="array" aca="1" ref="C82" ca="1">_xlfn.XLOOKUP(A82,[1]Table2_V5_w3C28!A:A,[1]Table2_V5_w3C28!D:D,nan(),0)</f>
        <v>88.215900000000005</v>
      </c>
      <c r="D82" s="8" cm="1">
        <f t="array" aca="1" ref="D82" ca="1">_xlfn.XLOOKUP(A82,[1]Table2_V5_w3C28!A:A,[1]Table2_V5_w3C28!E:E,nan(),0)</f>
        <v>-21.053599999999999</v>
      </c>
      <c r="E82" s="1">
        <f>_xlfn.XLOOKUP($A82,[1]Table7_badETA!$A:$A,[1]Table7_badETA!C:C,"-",0)</f>
        <v>5.8020000000000002E-2</v>
      </c>
      <c r="F82" s="1">
        <f>_xlfn.XLOOKUP($A82,[1]Table7_badETA!$A:$A,[1]Table7_badETA!E:E,"-",0)</f>
        <v>4.1070000000000004E-3</v>
      </c>
      <c r="G82" s="5">
        <f>_xlfn.XLOOKUP($A82,[1]Table7_badETA!$A:$A,[1]Table7_badETA!F:F,"-",0)</f>
        <v>5.8299999999999999E-8</v>
      </c>
      <c r="H82" s="6">
        <f>_xlfn.XLOOKUP($A82,[1]Table7_badETA!$A:$A,[1]Table7_badETA!H:H,"-",0)</f>
        <v>3.7800000000000001E-8</v>
      </c>
      <c r="I82" s="2">
        <f>_xlfn.XLOOKUP($A82,[1]Table7_badETA!$A:$A,[1]Table7_badETA!M:M,"-",0)</f>
        <v>0.88249999999999995</v>
      </c>
      <c r="J82" s="2">
        <f>_xlfn.XLOOKUP($A82,[1]Table7_badETA!$A:$A,[1]Table7_badETA!O:O,"-",0)</f>
        <v>8.1989999999999997E-3</v>
      </c>
      <c r="K82" s="2">
        <f>_xlfn.XLOOKUP($A82,[1]morph_04R500.dat!$A:$A,[1]morph_04R500.dat!P:P,"-",0)</f>
        <v>-49.44</v>
      </c>
      <c r="L82" s="2">
        <f>_xlfn.XLOOKUP($A82,[1]morph_04R500.dat!$A:$A,[1]morph_04R500.dat!R:R,"-",0)</f>
        <v>1.954</v>
      </c>
      <c r="M82" s="2">
        <f>_xlfn.XLOOKUP($A82,[1]Table7_badETA!$A:$A,[1]Table7_badETA!T:T,"-",0)</f>
        <v>0.41715976331360949</v>
      </c>
      <c r="N82" s="2">
        <f>_xlfn.XLOOKUP($A82,[1]Table7_badETA!$A:$A,[1]Table7_badETA!U:U,"-",0)</f>
        <v>1.2849902404356083E-2</v>
      </c>
      <c r="O82" s="7">
        <f>_xlfn.XLOOKUP($A82,[1]Table7_badETA!$A:$A,[1]Table7_badETA!S:S,"-",0)</f>
        <v>460.62880000000001</v>
      </c>
    </row>
    <row r="83" spans="1:15" x14ac:dyDescent="0.2">
      <c r="A83" s="8" t="s">
        <v>94</v>
      </c>
      <c r="B83" s="8" cm="1">
        <f t="array" aca="1" ref="B83" ca="1">_xlfn.XLOOKUP(A83,[1]Table2_V5_w3C28!A:A,[1]Table2_V5_w3C28!B:B,nan(),0)</f>
        <v>0.40699999999999997</v>
      </c>
      <c r="C83" s="8" cm="1">
        <f t="array" aca="1" ref="C83" ca="1">_xlfn.XLOOKUP(A83,[1]Table2_V5_w3C28!A:A,[1]Table2_V5_w3C28!D:D,nan(),0)</f>
        <v>88.357399999999998</v>
      </c>
      <c r="D83" s="8" cm="1">
        <f t="array" aca="1" ref="D83" ca="1">_xlfn.XLOOKUP(A83,[1]Table2_V5_w3C28!A:A,[1]Table2_V5_w3C28!E:E,nan(),0)</f>
        <v>-33.708500000000001</v>
      </c>
      <c r="E83" s="1">
        <f>_xlfn.XLOOKUP($A83,[1]Table7_badETA!$A:$A,[1]Table7_badETA!C:C,"-",0)</f>
        <v>5.5059999999999998E-2</v>
      </c>
      <c r="F83" s="1">
        <f>_xlfn.XLOOKUP($A83,[1]Table7_badETA!$A:$A,[1]Table7_badETA!E:E,"-",0)</f>
        <v>4.2529999999999998E-3</v>
      </c>
      <c r="G83" s="5">
        <f>_xlfn.XLOOKUP($A83,[1]Table7_badETA!$A:$A,[1]Table7_badETA!F:F,"-",0)</f>
        <v>2.9400000000000001E-7</v>
      </c>
      <c r="H83" s="6">
        <f>_xlfn.XLOOKUP($A83,[1]Table7_badETA!$A:$A,[1]Table7_badETA!H:H,"-",0)</f>
        <v>5.3799999999999999E-8</v>
      </c>
      <c r="I83" s="2">
        <f>_xlfn.XLOOKUP($A83,[1]Table7_badETA!$A:$A,[1]Table7_badETA!M:M,"-",0)</f>
        <v>0.88939999999999997</v>
      </c>
      <c r="J83" s="2">
        <f>_xlfn.XLOOKUP($A83,[1]Table7_badETA!$A:$A,[1]Table7_badETA!O:O,"-",0)</f>
        <v>5.1650000000000003E-3</v>
      </c>
      <c r="K83" s="2">
        <f>_xlfn.XLOOKUP($A83,[1]morph_04R500.dat!$A:$A,[1]morph_04R500.dat!P:P,"-",0)</f>
        <v>85.64</v>
      </c>
      <c r="L83" s="2">
        <f>_xlfn.XLOOKUP($A83,[1]morph_04R500.dat!$A:$A,[1]morph_04R500.dat!R:R,"-",0)</f>
        <v>1.4690000000000001</v>
      </c>
      <c r="M83" s="2">
        <f>_xlfn.XLOOKUP($A83,[1]Table7_badETA!$A:$A,[1]Table7_badETA!T:T,"-",0)</f>
        <v>0.42439774474628394</v>
      </c>
      <c r="N83" s="2">
        <f>_xlfn.XLOOKUP($A83,[1]Table7_badETA!$A:$A,[1]Table7_badETA!U:U,"-",0)</f>
        <v>6.436876325530117E-3</v>
      </c>
      <c r="O83" s="7">
        <f>_xlfn.XLOOKUP($A83,[1]Table7_badETA!$A:$A,[1]Table7_badETA!S:S,"-",0)</f>
        <v>580.20871999999997</v>
      </c>
    </row>
    <row r="84" spans="1:15" x14ac:dyDescent="0.2">
      <c r="A84" s="8" t="s">
        <v>95</v>
      </c>
      <c r="B84" s="8" cm="1">
        <f t="array" aca="1" ref="B84" ca="1">_xlfn.XLOOKUP(A84,[1]Table2_V5_w3C28!A:A,[1]Table2_V5_w3C28!B:B,nan(),0)</f>
        <v>0.61099999999999999</v>
      </c>
      <c r="C84" s="8" cm="1">
        <f t="array" aca="1" ref="C84" ca="1">_xlfn.XLOOKUP(A84,[1]Table2_V5_w3C28!A:A,[1]Table2_V5_w3C28!D:D,nan(),0)</f>
        <v>89.928299999999993</v>
      </c>
      <c r="D84" s="8" cm="1">
        <f t="array" aca="1" ref="D84" ca="1">_xlfn.XLOOKUP(A84,[1]Table2_V5_w3C28!A:A,[1]Table2_V5_w3C28!E:E,nan(),0)</f>
        <v>-52.8309</v>
      </c>
      <c r="E84" s="1">
        <f>_xlfn.XLOOKUP($A84,[1]Table7_badETA!$A:$A,[1]Table7_badETA!C:C,"-",0)</f>
        <v>0.10829999999999999</v>
      </c>
      <c r="F84" s="1">
        <f>_xlfn.XLOOKUP($A84,[1]Table7_badETA!$A:$A,[1]Table7_badETA!E:E,"-",0)</f>
        <v>8.7899999999999992E-3</v>
      </c>
      <c r="G84" s="5">
        <f>_xlfn.XLOOKUP($A84,[1]Table7_badETA!$A:$A,[1]Table7_badETA!F:F,"-",0)</f>
        <v>1.05E-7</v>
      </c>
      <c r="H84" s="6">
        <f>_xlfn.XLOOKUP($A84,[1]Table7_badETA!$A:$A,[1]Table7_badETA!H:H,"-",0)</f>
        <v>1.55E-7</v>
      </c>
      <c r="I84" s="2">
        <f>_xlfn.XLOOKUP($A84,[1]Table7_badETA!$A:$A,[1]Table7_badETA!M:M,"-",0)</f>
        <v>0.90269999999999995</v>
      </c>
      <c r="J84" s="2">
        <f>_xlfn.XLOOKUP($A84,[1]Table7_badETA!$A:$A,[1]Table7_badETA!O:O,"-",0)</f>
        <v>5.2240000000000002E-2</v>
      </c>
      <c r="K84" s="2">
        <f>_xlfn.XLOOKUP($A84,[1]morph_04R500.dat!$A:$A,[1]morph_04R500.dat!P:P,"-",0)</f>
        <v>4.5039999999999996</v>
      </c>
      <c r="L84" s="2">
        <f>_xlfn.XLOOKUP($A84,[1]morph_04R500.dat!$A:$A,[1]morph_04R500.dat!R:R,"-",0)</f>
        <v>4.0119999999999996</v>
      </c>
      <c r="M84" s="2" t="str">
        <f>_xlfn.XLOOKUP($A84,[1]Table7_badETA!$A:$A,[1]Table7_badETA!T:T,"-",0)</f>
        <v>-</v>
      </c>
      <c r="N84" s="2" t="str">
        <f>_xlfn.XLOOKUP($A84,[1]Table7_badETA!$A:$A,[1]Table7_badETA!U:U,"-",0)</f>
        <v>-</v>
      </c>
      <c r="O84" s="7">
        <f>_xlfn.XLOOKUP($A84,[1]Table7_badETA!$A:$A,[1]Table7_badETA!S:S,"-",0)</f>
        <v>318.85604000000001</v>
      </c>
    </row>
    <row r="85" spans="1:15" x14ac:dyDescent="0.2">
      <c r="A85" s="8" t="s">
        <v>96</v>
      </c>
      <c r="B85" s="8" cm="1">
        <f t="array" aca="1" ref="B85" ca="1">_xlfn.XLOOKUP(A85,[1]Table2_V5_w3C28!A:A,[1]Table2_V5_w3C28!B:B,nan(),0)</f>
        <v>0.97199999999999998</v>
      </c>
      <c r="C85" s="8" cm="1">
        <f t="array" aca="1" ref="C85" ca="1">_xlfn.XLOOKUP(A85,[1]Table2_V5_w3C28!A:A,[1]Table2_V5_w3C28!D:D,nan(),0)</f>
        <v>93.966099999999997</v>
      </c>
      <c r="D85" s="8" cm="1">
        <f t="array" aca="1" ref="D85" ca="1">_xlfn.XLOOKUP(A85,[1]Table2_V5_w3C28!A:A,[1]Table2_V5_w3C28!E:E,nan(),0)</f>
        <v>-57.779400000000003</v>
      </c>
      <c r="E85" s="1">
        <f>_xlfn.XLOOKUP($A85,[1]Table7_badETA!$A:$A,[1]Table7_badETA!C:C,"-",0)</f>
        <v>2.8379999999999999E-2</v>
      </c>
      <c r="F85" s="1">
        <f>_xlfn.XLOOKUP($A85,[1]Table7_badETA!$A:$A,[1]Table7_badETA!E:E,"-",0)</f>
        <v>7.2119999999999997E-3</v>
      </c>
      <c r="G85" s="5">
        <f>_xlfn.XLOOKUP($A85,[1]Table7_badETA!$A:$A,[1]Table7_badETA!F:F,"-",0)</f>
        <v>1.7499999999999999E-7</v>
      </c>
      <c r="H85" s="6">
        <f>_xlfn.XLOOKUP($A85,[1]Table7_badETA!$A:$A,[1]Table7_badETA!H:H,"-",0)</f>
        <v>8.8399999999999997E-8</v>
      </c>
      <c r="I85" s="2">
        <f>_xlfn.XLOOKUP($A85,[1]Table7_badETA!$A:$A,[1]Table7_badETA!M:M,"-",0)</f>
        <v>0.87280000000000002</v>
      </c>
      <c r="J85" s="2">
        <f>_xlfn.XLOOKUP($A85,[1]Table7_badETA!$A:$A,[1]Table7_badETA!O:O,"-",0)</f>
        <v>8.1849999999999996E-3</v>
      </c>
      <c r="K85" s="2">
        <f>_xlfn.XLOOKUP($A85,[1]morph_04R500.dat!$A:$A,[1]morph_04R500.dat!P:P,"-",0)</f>
        <v>36.36</v>
      </c>
      <c r="L85" s="2">
        <f>_xlfn.XLOOKUP($A85,[1]morph_04R500.dat!$A:$A,[1]morph_04R500.dat!R:R,"-",0)</f>
        <v>2.1339999999999999</v>
      </c>
      <c r="M85" s="2">
        <f>_xlfn.XLOOKUP($A85,[1]Table7_badETA!$A:$A,[1]Table7_badETA!T:T,"-",0)</f>
        <v>0.5175861766511709</v>
      </c>
      <c r="N85" s="2">
        <f>_xlfn.XLOOKUP($A85,[1]Table7_badETA!$A:$A,[1]Table7_badETA!U:U,"-",0)</f>
        <v>1.4392610821375246E-2</v>
      </c>
      <c r="O85" s="7">
        <f>_xlfn.XLOOKUP($A85,[1]Table7_badETA!$A:$A,[1]Table7_badETA!S:S,"-",0)</f>
        <v>400.98646000000002</v>
      </c>
    </row>
    <row r="86" spans="1:15" x14ac:dyDescent="0.2">
      <c r="A86" s="8" t="s">
        <v>97</v>
      </c>
      <c r="B86" s="8" cm="1">
        <f t="array" aca="1" ref="B86" ca="1">_xlfn.XLOOKUP(A86,[1]Table2_V5_w3C28!A:A,[1]Table2_V5_w3C28!B:B,nan(),0)</f>
        <v>0.152</v>
      </c>
      <c r="C86" s="8" cm="1">
        <f t="array" aca="1" ref="C86" ca="1">_xlfn.XLOOKUP(A86,[1]Table2_V5_w3C28!A:A,[1]Table2_V5_w3C28!D:D,nan(),0)</f>
        <v>94.133899999999997</v>
      </c>
      <c r="D86" s="8" cm="1">
        <f t="array" aca="1" ref="D86" ca="1">_xlfn.XLOOKUP(A86,[1]Table2_V5_w3C28!A:A,[1]Table2_V5_w3C28!E:E,nan(),0)</f>
        <v>-39.796799999999998</v>
      </c>
      <c r="E86" s="1">
        <f>_xlfn.XLOOKUP($A86,[1]Table7_badETA!$A:$A,[1]Table7_badETA!C:C,"-",0)</f>
        <v>3.6600000000000001E-2</v>
      </c>
      <c r="F86" s="1">
        <f>_xlfn.XLOOKUP($A86,[1]Table7_badETA!$A:$A,[1]Table7_badETA!E:E,"-",0)</f>
        <v>3.2030000000000001E-3</v>
      </c>
      <c r="G86" s="5">
        <f>_xlfn.XLOOKUP($A86,[1]Table7_badETA!$A:$A,[1]Table7_badETA!F:F,"-",0)</f>
        <v>2.9200000000000002E-7</v>
      </c>
      <c r="H86" s="6">
        <f>_xlfn.XLOOKUP($A86,[1]Table7_badETA!$A:$A,[1]Table7_badETA!H:H,"-",0)</f>
        <v>1.4000000000000001E-7</v>
      </c>
      <c r="I86" s="2">
        <f>_xlfn.XLOOKUP($A86,[1]Table7_badETA!$A:$A,[1]Table7_badETA!M:M,"-",0)</f>
        <v>0.88680000000000003</v>
      </c>
      <c r="J86" s="2">
        <f>_xlfn.XLOOKUP($A86,[1]Table7_badETA!$A:$A,[1]Table7_badETA!O:O,"-",0)</f>
        <v>1.2160000000000001E-2</v>
      </c>
      <c r="K86" s="2">
        <f>_xlfn.XLOOKUP($A86,[1]morph_04R500.dat!$A:$A,[1]morph_04R500.dat!P:P,"-",0)</f>
        <v>-14.78</v>
      </c>
      <c r="L86" s="2">
        <f>_xlfn.XLOOKUP($A86,[1]morph_04R500.dat!$A:$A,[1]morph_04R500.dat!R:R,"-",0)</f>
        <v>3.2320000000000002</v>
      </c>
      <c r="M86" s="2">
        <f>_xlfn.XLOOKUP($A86,[1]Table7_badETA!$A:$A,[1]Table7_badETA!T:T,"-",0)</f>
        <v>0.45266030013642566</v>
      </c>
      <c r="N86" s="2">
        <f>_xlfn.XLOOKUP($A86,[1]Table7_badETA!$A:$A,[1]Table7_badETA!U:U,"-",0)</f>
        <v>1.8223149424652155E-2</v>
      </c>
      <c r="O86" s="7">
        <f>_xlfn.XLOOKUP($A86,[1]Table7_badETA!$A:$A,[1]Table7_badETA!S:S,"-",0)</f>
        <v>409.59177</v>
      </c>
    </row>
    <row r="87" spans="1:15" x14ac:dyDescent="0.2">
      <c r="A87" s="8" t="s">
        <v>98</v>
      </c>
      <c r="B87" s="8" cm="1">
        <f t="array" aca="1" ref="B87" ca="1">_xlfn.XLOOKUP(A87,[1]Table2_V5_w3C28!A:A,[1]Table2_V5_w3C28!B:B,nan(),0)</f>
        <v>0.71</v>
      </c>
      <c r="C87" s="8" cm="1">
        <f t="array" aca="1" ref="C87" ca="1">_xlfn.XLOOKUP(A87,[1]Table2_V5_w3C28!A:A,[1]Table2_V5_w3C28!D:D,nan(),0)</f>
        <v>94.142700000000005</v>
      </c>
      <c r="D87" s="8" cm="1">
        <f t="array" aca="1" ref="D87" ca="1">_xlfn.XLOOKUP(A87,[1]Table2_V5_w3C28!A:A,[1]Table2_V5_w3C28!E:E,nan(),0)</f>
        <v>-52.452100000000002</v>
      </c>
      <c r="E87" s="1">
        <f>_xlfn.XLOOKUP($A87,[1]Table7_badETA!$A:$A,[1]Table7_badETA!C:C,"-",0)</f>
        <v>1.6920000000000001E-2</v>
      </c>
      <c r="F87" s="1">
        <f>_xlfn.XLOOKUP($A87,[1]Table7_badETA!$A:$A,[1]Table7_badETA!E:E,"-",0)</f>
        <v>7.319E-3</v>
      </c>
      <c r="G87" s="5">
        <f>_xlfn.XLOOKUP($A87,[1]Table7_badETA!$A:$A,[1]Table7_badETA!F:F,"-",0)</f>
        <v>2.16E-7</v>
      </c>
      <c r="H87" s="6">
        <f>_xlfn.XLOOKUP($A87,[1]Table7_badETA!$A:$A,[1]Table7_badETA!H:H,"-",0)</f>
        <v>2.9700000000000003E-7</v>
      </c>
      <c r="I87" s="2">
        <f>_xlfn.XLOOKUP($A87,[1]Table7_badETA!$A:$A,[1]Table7_badETA!M:M,"-",0)</f>
        <v>0.90690000000000004</v>
      </c>
      <c r="J87" s="2">
        <f>_xlfn.XLOOKUP($A87,[1]Table7_badETA!$A:$A,[1]Table7_badETA!O:O,"-",0)</f>
        <v>1.9570000000000001E-2</v>
      </c>
      <c r="K87" s="2">
        <f>_xlfn.XLOOKUP($A87,[1]morph_04R500.dat!$A:$A,[1]morph_04R500.dat!P:P,"-",0)</f>
        <v>-34.79</v>
      </c>
      <c r="L87" s="2">
        <f>_xlfn.XLOOKUP($A87,[1]morph_04R500.dat!$A:$A,[1]morph_04R500.dat!R:R,"-",0)</f>
        <v>6.0910000000000002</v>
      </c>
      <c r="M87" s="2" t="str">
        <f>_xlfn.XLOOKUP($A87,[1]Table7_badETA!$A:$A,[1]Table7_badETA!T:T,"-",0)</f>
        <v>-</v>
      </c>
      <c r="N87" s="2" t="str">
        <f>_xlfn.XLOOKUP($A87,[1]Table7_badETA!$A:$A,[1]Table7_badETA!U:U,"-",0)</f>
        <v>-</v>
      </c>
      <c r="O87" s="7">
        <f>_xlfn.XLOOKUP($A87,[1]Table7_badETA!$A:$A,[1]Table7_badETA!S:S,"-",0)</f>
        <v>390.92093</v>
      </c>
    </row>
    <row r="88" spans="1:15" x14ac:dyDescent="0.2">
      <c r="A88" s="8" t="s">
        <v>99</v>
      </c>
      <c r="B88" s="8" cm="1">
        <f t="array" aca="1" ref="B88" ca="1">_xlfn.XLOOKUP(A88,[1]Table2_V5_w3C28!A:A,[1]Table2_V5_w3C28!B:B,nan(),0)</f>
        <v>5.0999999999999997E-2</v>
      </c>
      <c r="C88" s="8" cm="1">
        <f t="array" aca="1" ref="C88" ca="1">_xlfn.XLOOKUP(A88,[1]Table2_V5_w3C28!A:A,[1]Table2_V5_w3C28!D:D,nan(),0)</f>
        <v>96.680599999999998</v>
      </c>
      <c r="D88" s="8" cm="1">
        <f t="array" aca="1" ref="D88" ca="1">_xlfn.XLOOKUP(A88,[1]Table2_V5_w3C28!A:A,[1]Table2_V5_w3C28!E:E,nan(),0)</f>
        <v>-54.543500000000002</v>
      </c>
      <c r="E88" s="1">
        <f>_xlfn.XLOOKUP($A88,[1]Table7_badETA!$A:$A,[1]Table7_badETA!C:C,"-",0)</f>
        <v>9.4769999999999993E-2</v>
      </c>
      <c r="F88" s="1">
        <f>_xlfn.XLOOKUP($A88,[1]Table7_badETA!$A:$A,[1]Table7_badETA!E:E,"-",0)</f>
        <v>3.1329999999999999E-3</v>
      </c>
      <c r="G88" s="5">
        <f>_xlfn.XLOOKUP($A88,[1]Table7_badETA!$A:$A,[1]Table7_badETA!F:F,"-",0)</f>
        <v>2.3300000000000001E-6</v>
      </c>
      <c r="H88" s="6">
        <f>_xlfn.XLOOKUP($A88,[1]Table7_badETA!$A:$A,[1]Table7_badETA!H:H,"-",0)</f>
        <v>1.9299999999999999E-7</v>
      </c>
      <c r="I88" s="2">
        <f>_xlfn.XLOOKUP($A88,[1]Table7_badETA!$A:$A,[1]Table7_badETA!M:M,"-",0)</f>
        <v>0.8498</v>
      </c>
      <c r="J88" s="2">
        <f>_xlfn.XLOOKUP($A88,[1]Table7_badETA!$A:$A,[1]Table7_badETA!O:O,"-",0)</f>
        <v>4.3839999999999999E-3</v>
      </c>
      <c r="K88" s="2">
        <f>_xlfn.XLOOKUP($A88,[1]morph_04R500.dat!$A:$A,[1]morph_04R500.dat!P:P,"-",0)</f>
        <v>-39.71</v>
      </c>
      <c r="L88" s="2">
        <f>_xlfn.XLOOKUP($A88,[1]morph_04R500.dat!$A:$A,[1]morph_04R500.dat!R:R,"-",0)</f>
        <v>0.94199999999999995</v>
      </c>
      <c r="M88" s="2">
        <f>_xlfn.XLOOKUP($A88,[1]Table7_badETA!$A:$A,[1]Table7_badETA!T:T,"-",0)</f>
        <v>0.32480626614448793</v>
      </c>
      <c r="N88" s="2">
        <f>_xlfn.XLOOKUP($A88,[1]Table7_badETA!$A:$A,[1]Table7_badETA!U:U,"-",0)</f>
        <v>1.1038249748593437E-2</v>
      </c>
      <c r="O88" s="7">
        <f>_xlfn.XLOOKUP($A88,[1]Table7_badETA!$A:$A,[1]Table7_badETA!S:S,"-",0)</f>
        <v>426.88709999999998</v>
      </c>
    </row>
    <row r="89" spans="1:15" x14ac:dyDescent="0.2">
      <c r="A89" s="8" t="s">
        <v>100</v>
      </c>
      <c r="B89" s="8" cm="1">
        <f t="array" aca="1" ref="B89" ca="1">_xlfn.XLOOKUP(A89,[1]Table2_V5_w3C28!A:A,[1]Table2_V5_w3C28!B:B,nan(),0)</f>
        <v>0.20300000000000001</v>
      </c>
      <c r="C89" s="8" cm="1">
        <f t="array" aca="1" ref="C89" ca="1">_xlfn.XLOOKUP(A89,[1]Table2_V5_w3C28!A:A,[1]Table2_V5_w3C28!D:D,nan(),0)</f>
        <v>99.308800000000005</v>
      </c>
      <c r="D89" s="8" cm="1">
        <f t="array" aca="1" ref="D89" ca="1">_xlfn.XLOOKUP(A89,[1]Table2_V5_w3C28!A:A,[1]Table2_V5_w3C28!E:E,nan(),0)</f>
        <v>-48.471899999999998</v>
      </c>
      <c r="E89" s="1">
        <f>_xlfn.XLOOKUP($A89,[1]Table7_badETA!$A:$A,[1]Table7_badETA!C:C,"-",0)</f>
        <v>8.8389999999999996E-2</v>
      </c>
      <c r="F89" s="1">
        <f>_xlfn.XLOOKUP($A89,[1]Table7_badETA!$A:$A,[1]Table7_badETA!E:E,"-",0)</f>
        <v>4.4229999999999998E-3</v>
      </c>
      <c r="G89" s="5">
        <f>_xlfn.XLOOKUP($A89,[1]Table7_badETA!$A:$A,[1]Table7_badETA!F:F,"-",0)</f>
        <v>6.92E-7</v>
      </c>
      <c r="H89" s="6">
        <f>_xlfn.XLOOKUP($A89,[1]Table7_badETA!$A:$A,[1]Table7_badETA!H:H,"-",0)</f>
        <v>1.54E-7</v>
      </c>
      <c r="I89" s="2">
        <f>_xlfn.XLOOKUP($A89,[1]Table7_badETA!$A:$A,[1]Table7_badETA!M:M,"-",0)</f>
        <v>0.79379999999999995</v>
      </c>
      <c r="J89" s="2">
        <f>_xlfn.XLOOKUP($A89,[1]Table7_badETA!$A:$A,[1]Table7_badETA!O:O,"-",0)</f>
        <v>8.071E-3</v>
      </c>
      <c r="K89" s="2">
        <f>_xlfn.XLOOKUP($A89,[1]morph_04R500.dat!$A:$A,[1]morph_04R500.dat!P:P,"-",0)</f>
        <v>-56.59</v>
      </c>
      <c r="L89" s="2">
        <f>_xlfn.XLOOKUP($A89,[1]morph_04R500.dat!$A:$A,[1]morph_04R500.dat!R:R,"-",0)</f>
        <v>1.1060000000000001</v>
      </c>
      <c r="M89" s="2">
        <f>_xlfn.XLOOKUP($A89,[1]Table7_badETA!$A:$A,[1]Table7_badETA!T:T,"-",0)</f>
        <v>0.39928516721981105</v>
      </c>
      <c r="N89" s="2">
        <f>_xlfn.XLOOKUP($A89,[1]Table7_badETA!$A:$A,[1]Table7_badETA!U:U,"-",0)</f>
        <v>9.6386040938875109E-3</v>
      </c>
      <c r="O89" s="7">
        <f>_xlfn.XLOOKUP($A89,[1]Table7_badETA!$A:$A,[1]Table7_badETA!S:S,"-",0)</f>
        <v>490.66647999999998</v>
      </c>
    </row>
    <row r="90" spans="1:15" x14ac:dyDescent="0.2">
      <c r="A90" s="8" t="s">
        <v>101</v>
      </c>
      <c r="B90" s="8" cm="1">
        <f t="array" aca="1" ref="B90" ca="1">_xlfn.XLOOKUP(A90,[1]Table2_V5_w3C28!A:A,[1]Table2_V5_w3C28!B:B,nan(),0)</f>
        <v>0.17399999999999999</v>
      </c>
      <c r="C90" s="8" cm="1">
        <f t="array" aca="1" ref="C90" ca="1">_xlfn.XLOOKUP(A90,[1]Table2_V5_w3C28!A:A,[1]Table2_V5_w3C28!D:D,nan(),0)</f>
        <v>99.516199999999998</v>
      </c>
      <c r="D90" s="8" cm="1">
        <f t="array" aca="1" ref="D90" ca="1">_xlfn.XLOOKUP(A90,[1]Table2_V5_w3C28!A:A,[1]Table2_V5_w3C28!E:E,nan(),0)</f>
        <v>47.7986</v>
      </c>
      <c r="E90" s="1">
        <f>_xlfn.XLOOKUP($A90,[1]Table7_badETA!$A:$A,[1]Table7_badETA!C:C,"-",0)</f>
        <v>2.2589999999999999E-2</v>
      </c>
      <c r="F90" s="1">
        <f>_xlfn.XLOOKUP($A90,[1]Table7_badETA!$A:$A,[1]Table7_badETA!E:E,"-",0)</f>
        <v>3.1480000000000002E-3</v>
      </c>
      <c r="G90" s="5">
        <f>_xlfn.XLOOKUP($A90,[1]Table7_badETA!$A:$A,[1]Table7_badETA!F:F,"-",0)</f>
        <v>2.0100000000000001E-7</v>
      </c>
      <c r="H90" s="6">
        <f>_xlfn.XLOOKUP($A90,[1]Table7_badETA!$A:$A,[1]Table7_badETA!H:H,"-",0)</f>
        <v>9.3699999999999999E-8</v>
      </c>
      <c r="I90" s="2">
        <f>_xlfn.XLOOKUP($A90,[1]Table7_badETA!$A:$A,[1]Table7_badETA!M:M,"-",0)</f>
        <v>0.84219999999999995</v>
      </c>
      <c r="J90" s="2">
        <f>_xlfn.XLOOKUP($A90,[1]Table7_badETA!$A:$A,[1]Table7_badETA!O:O,"-",0)</f>
        <v>8.8909999999999996E-3</v>
      </c>
      <c r="K90" s="2">
        <f>_xlfn.XLOOKUP($A90,[1]morph_04R500.dat!$A:$A,[1]morph_04R500.dat!P:P,"-",0)</f>
        <v>-78.73</v>
      </c>
      <c r="L90" s="2">
        <f>_xlfn.XLOOKUP($A90,[1]morph_04R500.dat!$A:$A,[1]morph_04R500.dat!R:R,"-",0)</f>
        <v>1.8959999999999999</v>
      </c>
      <c r="M90" s="2">
        <f>_xlfn.XLOOKUP($A90,[1]Table7_badETA!$A:$A,[1]Table7_badETA!T:T,"-",0)</f>
        <v>0.42697828923953018</v>
      </c>
      <c r="N90" s="2">
        <f>_xlfn.XLOOKUP($A90,[1]Table7_badETA!$A:$A,[1]Table7_badETA!U:U,"-",0)</f>
        <v>1.2813174308220801E-2</v>
      </c>
      <c r="O90" s="7">
        <f>_xlfn.XLOOKUP($A90,[1]Table7_badETA!$A:$A,[1]Table7_badETA!S:S,"-",0)</f>
        <v>462.29246000000001</v>
      </c>
    </row>
    <row r="91" spans="1:15" x14ac:dyDescent="0.2">
      <c r="A91" s="8" t="s">
        <v>102</v>
      </c>
      <c r="B91" s="8" cm="1">
        <f t="array" aca="1" ref="B91" ca="1">_xlfn.XLOOKUP(A91,[1]Table2_V5_w3C28!A:A,[1]Table2_V5_w3C28!B:B,nan(),0)</f>
        <v>0.222</v>
      </c>
      <c r="C91" s="8" cm="1">
        <f t="array" aca="1" ref="C91" ca="1">_xlfn.XLOOKUP(A91,[1]Table2_V5_w3C28!A:A,[1]Table2_V5_w3C28!D:D,nan(),0)</f>
        <v>99.701999999999998</v>
      </c>
      <c r="D91" s="8" cm="1">
        <f t="array" aca="1" ref="D91" ca="1">_xlfn.XLOOKUP(A91,[1]Table2_V5_w3C28!A:A,[1]Table2_V5_w3C28!E:E,nan(),0)</f>
        <v>-53.974200000000003</v>
      </c>
      <c r="E91" s="1">
        <f>_xlfn.XLOOKUP($A91,[1]Table7_badETA!$A:$A,[1]Table7_badETA!C:C,"-",0)</f>
        <v>1.337E-2</v>
      </c>
      <c r="F91" s="1">
        <f>_xlfn.XLOOKUP($A91,[1]Table7_badETA!$A:$A,[1]Table7_badETA!E:E,"-",0)</f>
        <v>1.317E-3</v>
      </c>
      <c r="G91" s="5">
        <f>_xlfn.XLOOKUP($A91,[1]Table7_badETA!$A:$A,[1]Table7_badETA!F:F,"-",0)</f>
        <v>6E-9</v>
      </c>
      <c r="H91" s="6">
        <f>_xlfn.XLOOKUP($A91,[1]Table7_badETA!$A:$A,[1]Table7_badETA!H:H,"-",0)</f>
        <v>8.8400000000000001E-9</v>
      </c>
      <c r="I91" s="2">
        <f>_xlfn.XLOOKUP($A91,[1]Table7_badETA!$A:$A,[1]Table7_badETA!M:M,"-",0)</f>
        <v>0.85670000000000002</v>
      </c>
      <c r="J91" s="2">
        <f>_xlfn.XLOOKUP($A91,[1]Table7_badETA!$A:$A,[1]Table7_badETA!O:O,"-",0)</f>
        <v>6.6699999999999997E-3</v>
      </c>
      <c r="K91" s="2">
        <f>_xlfn.XLOOKUP($A91,[1]morph_04R500.dat!$A:$A,[1]morph_04R500.dat!P:P,"-",0)</f>
        <v>59.2</v>
      </c>
      <c r="L91" s="2">
        <f>_xlfn.XLOOKUP($A91,[1]morph_04R500.dat!$A:$A,[1]morph_04R500.dat!R:R,"-",0)</f>
        <v>1.3540000000000001</v>
      </c>
      <c r="M91" s="2">
        <f>_xlfn.XLOOKUP($A91,[1]Table7_badETA!$A:$A,[1]Table7_badETA!T:T,"-",0)</f>
        <v>0.58514692183927519</v>
      </c>
      <c r="N91" s="2">
        <f>_xlfn.XLOOKUP($A91,[1]Table7_badETA!$A:$A,[1]Table7_badETA!U:U,"-",0)</f>
        <v>8.1067507814818508E-3</v>
      </c>
      <c r="O91" s="7">
        <f>_xlfn.XLOOKUP($A91,[1]Table7_badETA!$A:$A,[1]Table7_badETA!S:S,"-",0)</f>
        <v>539.48419999999999</v>
      </c>
    </row>
    <row r="92" spans="1:15" x14ac:dyDescent="0.2">
      <c r="A92" s="8" t="s">
        <v>103</v>
      </c>
      <c r="B92" s="8" cm="1">
        <f t="array" aca="1" ref="B92" ca="1">_xlfn.XLOOKUP(A92,[1]Table2_V5_w3C28!A:A,[1]Table2_V5_w3C28!B:B,nan(),0)</f>
        <v>0.14599999999999999</v>
      </c>
      <c r="C92" s="8" cm="1">
        <f t="array" aca="1" ref="C92" ca="1">_xlfn.XLOOKUP(A92,[1]Table2_V5_w3C28!A:A,[1]Table2_V5_w3C28!D:D,nan(),0)</f>
        <v>100.4229</v>
      </c>
      <c r="D92" s="8" cm="1">
        <f t="array" aca="1" ref="D92" ca="1">_xlfn.XLOOKUP(A92,[1]Table2_V5_w3C28!A:A,[1]Table2_V5_w3C28!E:E,nan(),0)</f>
        <v>-49.794699999999999</v>
      </c>
      <c r="E92" s="1">
        <f>_xlfn.XLOOKUP($A92,[1]Table7_badETA!$A:$A,[1]Table7_badETA!C:C,"-",0)</f>
        <v>0.10009999999999999</v>
      </c>
      <c r="F92" s="1">
        <f>_xlfn.XLOOKUP($A92,[1]Table7_badETA!$A:$A,[1]Table7_badETA!E:E,"-",0)</f>
        <v>1.6879999999999999E-2</v>
      </c>
      <c r="G92" s="5">
        <f>_xlfn.XLOOKUP($A92,[1]Table7_badETA!$A:$A,[1]Table7_badETA!F:F,"-",0)</f>
        <v>2.81E-8</v>
      </c>
      <c r="H92" s="6">
        <f>_xlfn.XLOOKUP($A92,[1]Table7_badETA!$A:$A,[1]Table7_badETA!H:H,"-",0)</f>
        <v>3.9700000000000002E-7</v>
      </c>
      <c r="I92" s="2">
        <f>_xlfn.XLOOKUP($A92,[1]Table7_badETA!$A:$A,[1]Table7_badETA!M:M,"-",0)</f>
        <v>0.93359999999999999</v>
      </c>
      <c r="J92" s="2">
        <f>_xlfn.XLOOKUP($A92,[1]Table7_badETA!$A:$A,[1]Table7_badETA!O:O,"-",0)</f>
        <v>2.537E-2</v>
      </c>
      <c r="K92" s="2">
        <f>_xlfn.XLOOKUP($A92,[1]morph_04R500.dat!$A:$A,[1]morph_04R500.dat!P:P,"-",0)</f>
        <v>-72.55</v>
      </c>
      <c r="L92" s="2">
        <f>_xlfn.XLOOKUP($A92,[1]morph_04R500.dat!$A:$A,[1]morph_04R500.dat!R:R,"-",0)</f>
        <v>9.9969999999999999</v>
      </c>
      <c r="M92" s="2" t="str">
        <f>_xlfn.XLOOKUP($A92,[1]Table7_badETA!$A:$A,[1]Table7_badETA!T:T,"-",0)</f>
        <v>-</v>
      </c>
      <c r="N92" s="2" t="str">
        <f>_xlfn.XLOOKUP($A92,[1]Table7_badETA!$A:$A,[1]Table7_badETA!U:U,"-",0)</f>
        <v>-</v>
      </c>
      <c r="O92" s="7">
        <f>_xlfn.XLOOKUP($A92,[1]Table7_badETA!$A:$A,[1]Table7_badETA!S:S,"-",0)</f>
        <v>287.26772</v>
      </c>
    </row>
    <row r="93" spans="1:15" x14ac:dyDescent="0.2">
      <c r="A93" s="8" t="s">
        <v>104</v>
      </c>
      <c r="B93" s="8" cm="1">
        <f t="array" aca="1" ref="B93" ca="1">_xlfn.XLOOKUP(A93,[1]Table2_V5_w3C28!A:A,[1]Table2_V5_w3C28!B:B,nan(),0)</f>
        <v>0.16700000000000001</v>
      </c>
      <c r="C93" s="8" cm="1">
        <f t="array" aca="1" ref="C93" ca="1">_xlfn.XLOOKUP(A93,[1]Table2_V5_w3C28!A:A,[1]Table2_V5_w3C28!D:D,nan(),0)</f>
        <v>101.37</v>
      </c>
      <c r="D93" s="8" cm="1">
        <f t="array" aca="1" ref="D93" ca="1">_xlfn.XLOOKUP(A93,[1]Table2_V5_w3C28!A:A,[1]Table2_V5_w3C28!E:E,nan(),0)</f>
        <v>-54.228400000000001</v>
      </c>
      <c r="E93" s="1">
        <f>_xlfn.XLOOKUP($A93,[1]Table7_badETA!$A:$A,[1]Table7_badETA!C:C,"-",0)</f>
        <v>3.526E-2</v>
      </c>
      <c r="F93" s="1">
        <f>_xlfn.XLOOKUP($A93,[1]Table7_badETA!$A:$A,[1]Table7_badETA!E:E,"-",0)</f>
        <v>2.0400000000000001E-3</v>
      </c>
      <c r="G93" s="5">
        <f>_xlfn.XLOOKUP($A93,[1]Table7_badETA!$A:$A,[1]Table7_badETA!F:F,"-",0)</f>
        <v>1.7800000000000001E-7</v>
      </c>
      <c r="H93" s="6">
        <f>_xlfn.XLOOKUP($A93,[1]Table7_badETA!$A:$A,[1]Table7_badETA!H:H,"-",0)</f>
        <v>5.4100000000000001E-8</v>
      </c>
      <c r="I93" s="2">
        <f>_xlfn.XLOOKUP($A93,[1]Table7_badETA!$A:$A,[1]Table7_badETA!M:M,"-",0)</f>
        <v>0.85250000000000004</v>
      </c>
      <c r="J93" s="2">
        <f>_xlfn.XLOOKUP($A93,[1]Table7_badETA!$A:$A,[1]Table7_badETA!O:O,"-",0)</f>
        <v>8.4180000000000001E-3</v>
      </c>
      <c r="K93" s="2">
        <f>_xlfn.XLOOKUP($A93,[1]morph_04R500.dat!$A:$A,[1]morph_04R500.dat!P:P,"-",0)</f>
        <v>46.73</v>
      </c>
      <c r="L93" s="2">
        <f>_xlfn.XLOOKUP($A93,[1]morph_04R500.dat!$A:$A,[1]morph_04R500.dat!R:R,"-",0)</f>
        <v>1.6539999999999999</v>
      </c>
      <c r="M93" s="2">
        <f>_xlfn.XLOOKUP($A93,[1]Table7_badETA!$A:$A,[1]Table7_badETA!T:T,"-",0)</f>
        <v>0.5269685790611881</v>
      </c>
      <c r="N93" s="2">
        <f>_xlfn.XLOOKUP($A93,[1]Table7_badETA!$A:$A,[1]Table7_badETA!U:U,"-",0)</f>
        <v>9.5466482615942979E-3</v>
      </c>
      <c r="O93" s="7">
        <f>_xlfn.XLOOKUP($A93,[1]Table7_badETA!$A:$A,[1]Table7_badETA!S:S,"-",0)</f>
        <v>580.81795999999997</v>
      </c>
    </row>
    <row r="94" spans="1:15" x14ac:dyDescent="0.2">
      <c r="A94" s="8" t="s">
        <v>105</v>
      </c>
      <c r="B94" s="8" cm="1">
        <f t="array" aca="1" ref="B94" ca="1">_xlfn.XLOOKUP(A94,[1]Table2_V5_w3C28!A:A,[1]Table2_V5_w3C28!B:B,nan(),0)</f>
        <v>0.5907</v>
      </c>
      <c r="C94" s="8" cm="1">
        <f t="array" aca="1" ref="C94" ca="1">_xlfn.XLOOKUP(A94,[1]Table2_V5_w3C28!A:A,[1]Table2_V5_w3C28!D:D,nan(),0)</f>
        <v>101.9585</v>
      </c>
      <c r="D94" s="8" cm="1">
        <f t="array" aca="1" ref="D94" ca="1">_xlfn.XLOOKUP(A94,[1]Table2_V5_w3C28!A:A,[1]Table2_V5_w3C28!E:E,nan(),0)</f>
        <v>70.247100000000003</v>
      </c>
      <c r="E94" s="1">
        <f>_xlfn.XLOOKUP($A94,[1]Table7_badETA!$A:$A,[1]Table7_badETA!C:C,"-",0)</f>
        <v>6.9360000000000005E-2</v>
      </c>
      <c r="F94" s="1">
        <f>_xlfn.XLOOKUP($A94,[1]Table7_badETA!$A:$A,[1]Table7_badETA!E:E,"-",0)</f>
        <v>5.803E-3</v>
      </c>
      <c r="G94" s="5">
        <f>_xlfn.XLOOKUP($A94,[1]Table7_badETA!$A:$A,[1]Table7_badETA!F:F,"-",0)</f>
        <v>3.9099999999999999E-8</v>
      </c>
      <c r="H94" s="6">
        <f>_xlfn.XLOOKUP($A94,[1]Table7_badETA!$A:$A,[1]Table7_badETA!H:H,"-",0)</f>
        <v>4.9299999999999998E-8</v>
      </c>
      <c r="I94" s="2">
        <f>_xlfn.XLOOKUP($A94,[1]Table7_badETA!$A:$A,[1]Table7_badETA!M:M,"-",0)</f>
        <v>0.78849999999999998</v>
      </c>
      <c r="J94" s="2">
        <f>_xlfn.XLOOKUP($A94,[1]Table7_badETA!$A:$A,[1]Table7_badETA!O:O,"-",0)</f>
        <v>1.03E-2</v>
      </c>
      <c r="K94" s="2">
        <f>_xlfn.XLOOKUP($A94,[1]morph_04R500.dat!$A:$A,[1]morph_04R500.dat!P:P,"-",0)</f>
        <v>-77.44</v>
      </c>
      <c r="L94" s="2">
        <f>_xlfn.XLOOKUP($A94,[1]morph_04R500.dat!$A:$A,[1]morph_04R500.dat!R:R,"-",0)</f>
        <v>1.5609999999999999</v>
      </c>
      <c r="M94" s="2" t="str">
        <f>_xlfn.XLOOKUP($A94,[1]Table7_badETA!$A:$A,[1]Table7_badETA!T:T,"-",0)</f>
        <v>-</v>
      </c>
      <c r="N94" s="2" t="str">
        <f>_xlfn.XLOOKUP($A94,[1]Table7_badETA!$A:$A,[1]Table7_badETA!U:U,"-",0)</f>
        <v>-</v>
      </c>
      <c r="O94" s="7">
        <f>_xlfn.XLOOKUP($A94,[1]Table7_badETA!$A:$A,[1]Table7_badETA!S:S,"-",0)</f>
        <v>473.60536999999999</v>
      </c>
    </row>
    <row r="95" spans="1:15" x14ac:dyDescent="0.2">
      <c r="A95" s="8" t="s">
        <v>106</v>
      </c>
      <c r="B95" s="8" cm="1">
        <f t="array" aca="1" ref="B95" ca="1">_xlfn.XLOOKUP(A95,[1]Table2_V5_w3C28!A:A,[1]Table2_V5_w3C28!B:B,nan(),0)</f>
        <v>0.11</v>
      </c>
      <c r="C95" s="8" cm="1">
        <f t="array" aca="1" ref="C95" ca="1">_xlfn.XLOOKUP(A95,[1]Table2_V5_w3C28!A:A,[1]Table2_V5_w3C28!D:D,nan(),0)</f>
        <v>103.3394</v>
      </c>
      <c r="D95" s="8" cm="1">
        <f t="array" aca="1" ref="D95" ca="1">_xlfn.XLOOKUP(A95,[1]Table2_V5_w3C28!A:A,[1]Table2_V5_w3C28!E:E,nan(),0)</f>
        <v>69.331000000000003</v>
      </c>
      <c r="E95" s="1">
        <f>_xlfn.XLOOKUP($A95,[1]Table7_badETA!$A:$A,[1]Table7_badETA!C:C,"-",0)</f>
        <v>3.5900000000000001E-2</v>
      </c>
      <c r="F95" s="1">
        <f>_xlfn.XLOOKUP($A95,[1]Table7_badETA!$A:$A,[1]Table7_badETA!E:E,"-",0)</f>
        <v>7.254E-3</v>
      </c>
      <c r="G95" s="5">
        <f>_xlfn.XLOOKUP($A95,[1]Table7_badETA!$A:$A,[1]Table7_badETA!F:F,"-",0)</f>
        <v>2.0400000000000001E-8</v>
      </c>
      <c r="H95" s="6">
        <f>_xlfn.XLOOKUP($A95,[1]Table7_badETA!$A:$A,[1]Table7_badETA!H:H,"-",0)</f>
        <v>2.14E-8</v>
      </c>
      <c r="I95" s="2">
        <f>_xlfn.XLOOKUP($A95,[1]Table7_badETA!$A:$A,[1]Table7_badETA!M:M,"-",0)</f>
        <v>0.96150000000000002</v>
      </c>
      <c r="J95" s="2">
        <f>_xlfn.XLOOKUP($A95,[1]Table7_badETA!$A:$A,[1]Table7_badETA!O:O,"-",0)</f>
        <v>5.6699999999999997E-3</v>
      </c>
      <c r="K95" s="2">
        <f>_xlfn.XLOOKUP($A95,[1]morph_04R500.dat!$A:$A,[1]morph_04R500.dat!P:P,"-",0)</f>
        <v>57.25</v>
      </c>
      <c r="L95" s="2">
        <f>_xlfn.XLOOKUP($A95,[1]morph_04R500.dat!$A:$A,[1]morph_04R500.dat!R:R,"-",0)</f>
        <v>4.532</v>
      </c>
      <c r="M95" s="2">
        <f>_xlfn.XLOOKUP($A95,[1]Table7_badETA!$A:$A,[1]Table7_badETA!T:T,"-",0)</f>
        <v>0.37803522321689781</v>
      </c>
      <c r="N95" s="2">
        <f>_xlfn.XLOOKUP($A95,[1]Table7_badETA!$A:$A,[1]Table7_badETA!U:U,"-",0)</f>
        <v>1.6467851189599824E-2</v>
      </c>
      <c r="O95" s="7">
        <f>_xlfn.XLOOKUP($A95,[1]Table7_badETA!$A:$A,[1]Table7_badETA!S:S,"-",0)</f>
        <v>344.85649999999998</v>
      </c>
    </row>
    <row r="96" spans="1:15" x14ac:dyDescent="0.2">
      <c r="A96" s="8" t="s">
        <v>107</v>
      </c>
      <c r="B96" s="8" cm="1">
        <f t="array" aca="1" ref="B96" ca="1">_xlfn.XLOOKUP(A96,[1]Table2_V5_w3C28!A:A,[1]Table2_V5_w3C28!B:B,nan(),0)</f>
        <v>0.29599999999999999</v>
      </c>
      <c r="C96" s="8" cm="1">
        <f t="array" aca="1" ref="C96" ca="1">_xlfn.XLOOKUP(A96,[1]Table2_V5_w3C28!A:A,[1]Table2_V5_w3C28!D:D,nan(),0)</f>
        <v>104.6276</v>
      </c>
      <c r="D96" s="8" cm="1">
        <f t="array" aca="1" ref="D96" ca="1">_xlfn.XLOOKUP(A96,[1]Table2_V5_w3C28!A:A,[1]Table2_V5_w3C28!E:E,nan(),0)</f>
        <v>-55.938800000000001</v>
      </c>
      <c r="E96" s="1">
        <f>_xlfn.XLOOKUP($A96,[1]Table7_badETA!$A:$A,[1]Table7_badETA!C:C,"-",0)</f>
        <v>3.696E-2</v>
      </c>
      <c r="F96" s="1">
        <f>_xlfn.XLOOKUP($A96,[1]Table7_badETA!$A:$A,[1]Table7_badETA!E:E,"-",0)</f>
        <v>3.9969999999999997E-3</v>
      </c>
      <c r="G96" s="5">
        <f>_xlfn.XLOOKUP($A96,[1]Table7_badETA!$A:$A,[1]Table7_badETA!F:F,"-",0)</f>
        <v>8.5199999999999995E-9</v>
      </c>
      <c r="H96" s="6">
        <f>_xlfn.XLOOKUP($A96,[1]Table7_badETA!$A:$A,[1]Table7_badETA!H:H,"-",0)</f>
        <v>2.5500000000000001E-9</v>
      </c>
      <c r="I96" s="2">
        <f>_xlfn.XLOOKUP($A96,[1]Table7_badETA!$A:$A,[1]Table7_badETA!M:M,"-",0)</f>
        <v>0.90580000000000005</v>
      </c>
      <c r="J96" s="2">
        <f>_xlfn.XLOOKUP($A96,[1]Table7_badETA!$A:$A,[1]Table7_badETA!O:O,"-",0)</f>
        <v>1.3140000000000001E-3</v>
      </c>
      <c r="K96" s="2">
        <f>_xlfn.XLOOKUP($A96,[1]morph_04R500.dat!$A:$A,[1]morph_04R500.dat!P:P,"-",0)</f>
        <v>-38.94</v>
      </c>
      <c r="L96" s="2">
        <f>_xlfn.XLOOKUP($A96,[1]morph_04R500.dat!$A:$A,[1]morph_04R500.dat!R:R,"-",0)</f>
        <v>0.48209999999999997</v>
      </c>
      <c r="M96" s="2">
        <f>_xlfn.XLOOKUP($A96,[1]Table7_badETA!$A:$A,[1]Table7_badETA!T:T,"-",0)</f>
        <v>0.35745007680491553</v>
      </c>
      <c r="N96" s="2">
        <f>_xlfn.XLOOKUP($A96,[1]Table7_badETA!$A:$A,[1]Table7_badETA!U:U,"-",0)</f>
        <v>2.206224926315723E-3</v>
      </c>
      <c r="O96" s="7">
        <f>_xlfn.XLOOKUP($A96,[1]Table7_badETA!$A:$A,[1]Table7_badETA!S:S,"-",0)</f>
        <v>632.00935000000004</v>
      </c>
    </row>
    <row r="97" spans="1:15" x14ac:dyDescent="0.2">
      <c r="A97" s="8" t="s">
        <v>108</v>
      </c>
      <c r="B97" s="8" cm="1">
        <f t="array" aca="1" ref="B97" ca="1">_xlfn.XLOOKUP(A97,[1]Table2_V5_w3C28!A:A,[1]Table2_V5_w3C28!B:B,nan(),0)</f>
        <v>0.32800000000000001</v>
      </c>
      <c r="C97" s="8" cm="1">
        <f t="array" aca="1" ref="C97" ca="1">_xlfn.XLOOKUP(A97,[1]Table2_V5_w3C28!A:A,[1]Table2_V5_w3C28!D:D,nan(),0)</f>
        <v>108.0864</v>
      </c>
      <c r="D97" s="8" cm="1">
        <f t="array" aca="1" ref="D97" ca="1">_xlfn.XLOOKUP(A97,[1]Table2_V5_w3C28!A:A,[1]Table2_V5_w3C28!E:E,nan(),0)</f>
        <v>59.538899999999998</v>
      </c>
      <c r="E97" s="1">
        <f>_xlfn.XLOOKUP($A97,[1]Table7_badETA!$A:$A,[1]Table7_badETA!C:C,"-",0)</f>
        <v>1.6289999999999999E-2</v>
      </c>
      <c r="F97" s="1">
        <f>_xlfn.XLOOKUP($A97,[1]Table7_badETA!$A:$A,[1]Table7_badETA!E:E,"-",0)</f>
        <v>3.3400000000000001E-3</v>
      </c>
      <c r="G97" s="5">
        <f>_xlfn.XLOOKUP($A97,[1]Table7_badETA!$A:$A,[1]Table7_badETA!F:F,"-",0)</f>
        <v>9.5900000000000005E-8</v>
      </c>
      <c r="H97" s="6">
        <f>_xlfn.XLOOKUP($A97,[1]Table7_badETA!$A:$A,[1]Table7_badETA!H:H,"-",0)</f>
        <v>1.08E-7</v>
      </c>
      <c r="I97" s="2">
        <f>_xlfn.XLOOKUP($A97,[1]Table7_badETA!$A:$A,[1]Table7_badETA!M:M,"-",0)</f>
        <v>0.87749999999999995</v>
      </c>
      <c r="J97" s="2">
        <f>_xlfn.XLOOKUP($A97,[1]Table7_badETA!$A:$A,[1]Table7_badETA!O:O,"-",0)</f>
        <v>1.6650000000000002E-2</v>
      </c>
      <c r="K97" s="2">
        <f>_xlfn.XLOOKUP($A97,[1]morph_04R500.dat!$A:$A,[1]morph_04R500.dat!P:P,"-",0)</f>
        <v>78.52</v>
      </c>
      <c r="L97" s="2">
        <f>_xlfn.XLOOKUP($A97,[1]morph_04R500.dat!$A:$A,[1]morph_04R500.dat!R:R,"-",0)</f>
        <v>3.4319999999999999</v>
      </c>
      <c r="M97" s="2">
        <f>_xlfn.XLOOKUP($A97,[1]Table7_badETA!$A:$A,[1]Table7_badETA!T:T,"-",0)</f>
        <v>0.56634328358208952</v>
      </c>
      <c r="N97" s="2">
        <f>_xlfn.XLOOKUP($A97,[1]Table7_badETA!$A:$A,[1]Table7_badETA!U:U,"-",0)</f>
        <v>2.1852550580732082E-2</v>
      </c>
      <c r="O97" s="7">
        <f>_xlfn.XLOOKUP($A97,[1]Table7_badETA!$A:$A,[1]Table7_badETA!S:S,"-",0)</f>
        <v>398.52692000000002</v>
      </c>
    </row>
    <row r="98" spans="1:15" x14ac:dyDescent="0.2">
      <c r="A98" s="8" t="s">
        <v>109</v>
      </c>
      <c r="B98" s="8" cm="1">
        <f t="array" aca="1" ref="B98" ca="1">_xlfn.XLOOKUP(A98,[1]Table2_V5_w3C28!A:A,[1]Table2_V5_w3C28!B:B,nan(),0)</f>
        <v>0.54600000000000004</v>
      </c>
      <c r="C98" s="8" cm="1">
        <f t="array" aca="1" ref="C98" ca="1">_xlfn.XLOOKUP(A98,[1]Table2_V5_w3C28!A:A,[1]Table2_V5_w3C28!D:D,nan(),0)</f>
        <v>109.37560000000001</v>
      </c>
      <c r="D98" s="8" cm="1">
        <f t="array" aca="1" ref="D98" ca="1">_xlfn.XLOOKUP(A98,[1]Table2_V5_w3C28!A:A,[1]Table2_V5_w3C28!E:E,nan(),0)</f>
        <v>37.76</v>
      </c>
      <c r="E98" s="1">
        <f>_xlfn.XLOOKUP($A98,[1]Table7_badETA!$A:$A,[1]Table7_badETA!C:C,"-",0)</f>
        <v>0.1226</v>
      </c>
      <c r="F98" s="1">
        <f>_xlfn.XLOOKUP($A98,[1]Table7_badETA!$A:$A,[1]Table7_badETA!E:E,"-",0)</f>
        <v>6.1260000000000004E-3</v>
      </c>
      <c r="G98" s="5">
        <f>_xlfn.XLOOKUP($A98,[1]Table7_badETA!$A:$A,[1]Table7_badETA!F:F,"-",0)</f>
        <v>1.35E-6</v>
      </c>
      <c r="H98" s="6">
        <f>_xlfn.XLOOKUP($A98,[1]Table7_badETA!$A:$A,[1]Table7_badETA!H:H,"-",0)</f>
        <v>1.23E-7</v>
      </c>
      <c r="I98" s="2">
        <f>_xlfn.XLOOKUP($A98,[1]Table7_badETA!$A:$A,[1]Table7_badETA!M:M,"-",0)</f>
        <v>0.83189999999999997</v>
      </c>
      <c r="J98" s="2">
        <f>_xlfn.XLOOKUP($A98,[1]Table7_badETA!$A:$A,[1]Table7_badETA!O:O,"-",0)</f>
        <v>3.3660000000000001E-3</v>
      </c>
      <c r="K98" s="2">
        <f>_xlfn.XLOOKUP($A98,[1]morph_04R500.dat!$A:$A,[1]morph_04R500.dat!P:P,"-",0)</f>
        <v>-34.82</v>
      </c>
      <c r="L98" s="2">
        <f>_xlfn.XLOOKUP($A98,[1]morph_04R500.dat!$A:$A,[1]morph_04R500.dat!R:R,"-",0)</f>
        <v>0.70809999999999995</v>
      </c>
      <c r="M98" s="2">
        <f>_xlfn.XLOOKUP($A98,[1]Table7_badETA!$A:$A,[1]Table7_badETA!T:T,"-",0)</f>
        <v>0.29804334936425325</v>
      </c>
      <c r="N98" s="2">
        <f>_xlfn.XLOOKUP($A98,[1]Table7_badETA!$A:$A,[1]Table7_badETA!U:U,"-",0)</f>
        <v>5.7901819892611723E-3</v>
      </c>
      <c r="O98" s="7">
        <f>_xlfn.XLOOKUP($A98,[1]Table7_badETA!$A:$A,[1]Table7_badETA!S:S,"-",0)</f>
        <v>574.50379999999996</v>
      </c>
    </row>
    <row r="99" spans="1:15" x14ac:dyDescent="0.2">
      <c r="A99" s="8" t="s">
        <v>110</v>
      </c>
      <c r="B99" s="8" cm="1">
        <f t="array" aca="1" ref="B99" ca="1">_xlfn.XLOOKUP(A99,[1]Table2_V5_w3C28!A:A,[1]Table2_V5_w3C28!B:B,nan(),0)</f>
        <v>0.23100000000000001</v>
      </c>
      <c r="C99" s="8" cm="1">
        <f t="array" aca="1" ref="C99" ca="1">_xlfn.XLOOKUP(A99,[1]Table2_V5_w3C28!A:A,[1]Table2_V5_w3C28!D:D,nan(),0)</f>
        <v>110.2248</v>
      </c>
      <c r="D99" s="8" cm="1">
        <f t="array" aca="1" ref="D99" ca="1">_xlfn.XLOOKUP(A99,[1]Table2_V5_w3C28!A:A,[1]Table2_V5_w3C28!E:E,nan(),0)</f>
        <v>71.149699999999996</v>
      </c>
      <c r="E99" s="1">
        <f>_xlfn.XLOOKUP($A99,[1]Table7_badETA!$A:$A,[1]Table7_badETA!C:C,"-",0)</f>
        <v>5.6419999999999998E-2</v>
      </c>
      <c r="F99" s="1">
        <f>_xlfn.XLOOKUP($A99,[1]Table7_badETA!$A:$A,[1]Table7_badETA!E:E,"-",0)</f>
        <v>7.6940000000000003E-3</v>
      </c>
      <c r="G99" s="5">
        <f>_xlfn.XLOOKUP($A99,[1]Table7_badETA!$A:$A,[1]Table7_badETA!F:F,"-",0)</f>
        <v>2.8600000000000001E-8</v>
      </c>
      <c r="H99" s="6">
        <f>_xlfn.XLOOKUP($A99,[1]Table7_badETA!$A:$A,[1]Table7_badETA!H:H,"-",0)</f>
        <v>1.01E-7</v>
      </c>
      <c r="I99" s="2">
        <f>_xlfn.XLOOKUP($A99,[1]Table7_badETA!$A:$A,[1]Table7_badETA!M:M,"-",0)</f>
        <v>0.97770000000000001</v>
      </c>
      <c r="J99" s="2">
        <f>_xlfn.XLOOKUP($A99,[1]Table7_badETA!$A:$A,[1]Table7_badETA!O:O,"-",0)</f>
        <v>1.6910000000000001E-2</v>
      </c>
      <c r="K99" s="2">
        <f>_xlfn.XLOOKUP($A99,[1]morph_04R500.dat!$A:$A,[1]morph_04R500.dat!P:P,"-",0)</f>
        <v>9.4960000000000004</v>
      </c>
      <c r="L99" s="2">
        <f>_xlfn.XLOOKUP($A99,[1]morph_04R500.dat!$A:$A,[1]morph_04R500.dat!R:R,"-",0)</f>
        <v>17.32</v>
      </c>
      <c r="M99" s="2" t="str">
        <f>_xlfn.XLOOKUP($A99,[1]Table7_badETA!$A:$A,[1]Table7_badETA!T:T,"-",0)</f>
        <v>-</v>
      </c>
      <c r="N99" s="2" t="str">
        <f>_xlfn.XLOOKUP($A99,[1]Table7_badETA!$A:$A,[1]Table7_badETA!U:U,"-",0)</f>
        <v>-</v>
      </c>
      <c r="O99" s="7">
        <f>_xlfn.XLOOKUP($A99,[1]Table7_badETA!$A:$A,[1]Table7_badETA!S:S,"-",0)</f>
        <v>279.88449000000003</v>
      </c>
    </row>
    <row r="100" spans="1:15" x14ac:dyDescent="0.2">
      <c r="A100" s="8" t="s">
        <v>111</v>
      </c>
      <c r="B100" s="8" cm="1">
        <f t="array" aca="1" ref="B100" ca="1">_xlfn.XLOOKUP(A100,[1]Table2_V5_w3C28!A:A,[1]Table2_V5_w3C28!B:B,nan(),0)</f>
        <v>8.6999999999999994E-2</v>
      </c>
      <c r="C100" s="8" cm="1">
        <f t="array" aca="1" ref="C100" ca="1">_xlfn.XLOOKUP(A100,[1]Table2_V5_w3C28!A:A,[1]Table2_V5_w3C28!D:D,nan(),0)</f>
        <v>111.223</v>
      </c>
      <c r="D100" s="8" cm="1">
        <f t="array" aca="1" ref="D100" ca="1">_xlfn.XLOOKUP(A100,[1]Table2_V5_w3C28!A:A,[1]Table2_V5_w3C28!E:E,nan(),0)</f>
        <v>66.985399999999998</v>
      </c>
      <c r="E100" s="1">
        <f>_xlfn.XLOOKUP($A100,[1]Table7_badETA!$A:$A,[1]Table7_badETA!C:C,"-",0)</f>
        <v>5.7119999999999997E-2</v>
      </c>
      <c r="F100" s="1">
        <f>_xlfn.XLOOKUP($A100,[1]Table7_badETA!$A:$A,[1]Table7_badETA!E:E,"-",0)</f>
        <v>5.1409999999999997E-3</v>
      </c>
      <c r="G100" s="5">
        <f>_xlfn.XLOOKUP($A100,[1]Table7_badETA!$A:$A,[1]Table7_badETA!F:F,"-",0)</f>
        <v>3.4900000000000001E-7</v>
      </c>
      <c r="H100" s="6">
        <f>_xlfn.XLOOKUP($A100,[1]Table7_badETA!$A:$A,[1]Table7_badETA!H:H,"-",0)</f>
        <v>1.14E-7</v>
      </c>
      <c r="I100" s="2">
        <f>_xlfn.XLOOKUP($A100,[1]Table7_badETA!$A:$A,[1]Table7_badETA!M:M,"-",0)</f>
        <v>0.94569999999999999</v>
      </c>
      <c r="J100" s="2">
        <f>_xlfn.XLOOKUP($A100,[1]Table7_badETA!$A:$A,[1]Table7_badETA!O:O,"-",0)</f>
        <v>7.6049999999999998E-3</v>
      </c>
      <c r="K100" s="2">
        <f>_xlfn.XLOOKUP($A100,[1]morph_04R500.dat!$A:$A,[1]morph_04R500.dat!P:P,"-",0)</f>
        <v>58.6</v>
      </c>
      <c r="L100" s="2">
        <f>_xlfn.XLOOKUP($A100,[1]morph_04R500.dat!$A:$A,[1]morph_04R500.dat!R:R,"-",0)</f>
        <v>3.9049999999999998</v>
      </c>
      <c r="M100" s="2">
        <f>_xlfn.XLOOKUP($A100,[1]Table7_badETA!$A:$A,[1]Table7_badETA!T:T,"-",0)</f>
        <v>0.3555147768978173</v>
      </c>
      <c r="N100" s="2">
        <f>_xlfn.XLOOKUP($A100,[1]Table7_badETA!$A:$A,[1]Table7_badETA!U:U,"-",0)</f>
        <v>3.9693515839931671E-2</v>
      </c>
      <c r="O100" s="7">
        <f>_xlfn.XLOOKUP($A100,[1]Table7_badETA!$A:$A,[1]Table7_badETA!S:S,"-",0)</f>
        <v>314.13481000000002</v>
      </c>
    </row>
    <row r="101" spans="1:15" x14ac:dyDescent="0.2">
      <c r="A101" s="8" t="s">
        <v>112</v>
      </c>
      <c r="B101" s="8" cm="1">
        <f t="array" aca="1" ref="B101" ca="1">_xlfn.XLOOKUP(A101,[1]Table2_V5_w3C28!A:A,[1]Table2_V5_w3C28!B:B,nan(),0)</f>
        <v>0.17100000000000001</v>
      </c>
      <c r="C101" s="8" cm="1">
        <f t="array" aca="1" ref="C101" ca="1">_xlfn.XLOOKUP(A101,[1]Table2_V5_w3C28!A:A,[1]Table2_V5_w3C28!D:D,nan(),0)</f>
        <v>113.0847</v>
      </c>
      <c r="D101" s="8" cm="1">
        <f t="array" aca="1" ref="D101" ca="1">_xlfn.XLOOKUP(A101,[1]Table2_V5_w3C28!A:A,[1]Table2_V5_w3C28!E:E,nan(),0)</f>
        <v>31.6325</v>
      </c>
      <c r="E101" s="1">
        <f>_xlfn.XLOOKUP($A101,[1]Table7_badETA!$A:$A,[1]Table7_badETA!C:C,"-",0)</f>
        <v>5.5519999999999996E-3</v>
      </c>
      <c r="F101" s="1">
        <f>_xlfn.XLOOKUP($A101,[1]Table7_badETA!$A:$A,[1]Table7_badETA!E:E,"-",0)</f>
        <v>2.1069999999999999E-3</v>
      </c>
      <c r="G101" s="5">
        <f>_xlfn.XLOOKUP($A101,[1]Table7_badETA!$A:$A,[1]Table7_badETA!F:F,"-",0)</f>
        <v>4.0000000000000001E-8</v>
      </c>
      <c r="H101" s="6">
        <f>_xlfn.XLOOKUP($A101,[1]Table7_badETA!$A:$A,[1]Table7_badETA!H:H,"-",0)</f>
        <v>1.7999999999999999E-8</v>
      </c>
      <c r="I101" s="2">
        <f>_xlfn.XLOOKUP($A101,[1]Table7_badETA!$A:$A,[1]Table7_badETA!M:M,"-",0)</f>
        <v>0.94159999999999999</v>
      </c>
      <c r="J101" s="2">
        <f>_xlfn.XLOOKUP($A101,[1]Table7_badETA!$A:$A,[1]Table7_badETA!O:O,"-",0)</f>
        <v>8.5850000000000006E-3</v>
      </c>
      <c r="K101" s="2">
        <f>_xlfn.XLOOKUP($A101,[1]morph_04R500.dat!$A:$A,[1]morph_04R500.dat!P:P,"-",0)</f>
        <v>-40.130000000000003</v>
      </c>
      <c r="L101" s="2">
        <f>_xlfn.XLOOKUP($A101,[1]morph_04R500.dat!$A:$A,[1]morph_04R500.dat!R:R,"-",0)</f>
        <v>4.4630000000000001</v>
      </c>
      <c r="M101" s="2">
        <f>_xlfn.XLOOKUP($A101,[1]Table7_badETA!$A:$A,[1]Table7_badETA!T:T,"-",0)</f>
        <v>0.63676656817222455</v>
      </c>
      <c r="N101" s="2">
        <f>_xlfn.XLOOKUP($A101,[1]Table7_badETA!$A:$A,[1]Table7_badETA!U:U,"-",0)</f>
        <v>9.5006894519508323E-3</v>
      </c>
      <c r="O101" s="7">
        <f>_xlfn.XLOOKUP($A101,[1]Table7_badETA!$A:$A,[1]Table7_badETA!S:S,"-",0)</f>
        <v>460.3605</v>
      </c>
    </row>
    <row r="102" spans="1:15" x14ac:dyDescent="0.2">
      <c r="A102" s="8" t="s">
        <v>113</v>
      </c>
      <c r="B102" s="8" cm="1">
        <f t="array" aca="1" ref="B102" ca="1">_xlfn.XLOOKUP(A102,[1]Table2_V5_w3C28!A:A,[1]Table2_V5_w3C28!B:B,nan(),0)</f>
        <v>0.216</v>
      </c>
      <c r="C102" s="8" cm="1">
        <f t="array" aca="1" ref="C102" ca="1">_xlfn.XLOOKUP(A102,[1]Table2_V5_w3C28!A:A,[1]Table2_V5_w3C28!D:D,nan(),0)</f>
        <v>115.4346</v>
      </c>
      <c r="D102" s="8" cm="1">
        <f t="array" aca="1" ref="D102" ca="1">_xlfn.XLOOKUP(A102,[1]Table2_V5_w3C28!A:A,[1]Table2_V5_w3C28!E:E,nan(),0)</f>
        <v>74.244</v>
      </c>
      <c r="E102" s="1">
        <f>_xlfn.XLOOKUP($A102,[1]Table7_badETA!$A:$A,[1]Table7_badETA!C:C,"-",0)</f>
        <v>4.6710000000000002E-2</v>
      </c>
      <c r="F102" s="1">
        <f>_xlfn.XLOOKUP($A102,[1]Table7_badETA!$A:$A,[1]Table7_badETA!E:E,"-",0)</f>
        <v>2.8809999999999999E-3</v>
      </c>
      <c r="G102" s="5">
        <f>_xlfn.XLOOKUP($A102,[1]Table7_badETA!$A:$A,[1]Table7_badETA!F:F,"-",0)</f>
        <v>8.0299999999999998E-9</v>
      </c>
      <c r="H102" s="6">
        <f>_xlfn.XLOOKUP($A102,[1]Table7_badETA!$A:$A,[1]Table7_badETA!H:H,"-",0)</f>
        <v>4.1299999999999996E-9</v>
      </c>
      <c r="I102" s="2">
        <f>_xlfn.XLOOKUP($A102,[1]Table7_badETA!$A:$A,[1]Table7_badETA!M:M,"-",0)</f>
        <v>0.85929999999999995</v>
      </c>
      <c r="J102" s="2">
        <f>_xlfn.XLOOKUP($A102,[1]Table7_badETA!$A:$A,[1]Table7_badETA!O:O,"-",0)</f>
        <v>2.0929999999999998E-3</v>
      </c>
      <c r="K102" s="2">
        <f>_xlfn.XLOOKUP($A102,[1]morph_04R500.dat!$A:$A,[1]morph_04R500.dat!P:P,"-",0)</f>
        <v>-11.53</v>
      </c>
      <c r="L102" s="2">
        <f>_xlfn.XLOOKUP($A102,[1]morph_04R500.dat!$A:$A,[1]morph_04R500.dat!R:R,"-",0)</f>
        <v>0.41049999999999998</v>
      </c>
      <c r="M102" s="2">
        <f>_xlfn.XLOOKUP($A102,[1]Table7_badETA!$A:$A,[1]Table7_badETA!T:T,"-",0)</f>
        <v>0.57155217165599592</v>
      </c>
      <c r="N102" s="2">
        <f>_xlfn.XLOOKUP($A102,[1]Table7_badETA!$A:$A,[1]Table7_badETA!U:U,"-",0)</f>
        <v>3.2196171806557596E-3</v>
      </c>
      <c r="O102" s="7">
        <f>_xlfn.XLOOKUP($A102,[1]Table7_badETA!$A:$A,[1]Table7_badETA!S:S,"-",0)</f>
        <v>471.12319000000002</v>
      </c>
    </row>
    <row r="103" spans="1:15" x14ac:dyDescent="0.2">
      <c r="A103" s="8" t="s">
        <v>114</v>
      </c>
      <c r="B103" s="8" cm="1">
        <f t="array" aca="1" ref="B103" ca="1">_xlfn.XLOOKUP(A103,[1]Table2_V5_w3C28!A:A,[1]Table2_V5_w3C28!B:B,nan(),0)</f>
        <v>1.0686</v>
      </c>
      <c r="C103" s="8" cm="1">
        <f t="array" aca="1" ref="C103" ca="1">_xlfn.XLOOKUP(A103,[1]Table2_V5_w3C28!A:A,[1]Table2_V5_w3C28!D:D,nan(),0)</f>
        <v>116.0724</v>
      </c>
      <c r="D103" s="8" cm="1">
        <f t="array" aca="1" ref="D103" ca="1">_xlfn.XLOOKUP(A103,[1]Table2_V5_w3C28!A:A,[1]Table2_V5_w3C28!E:E,nan(),0)</f>
        <v>37.887799999999999</v>
      </c>
      <c r="E103" s="1">
        <f>_xlfn.XLOOKUP($A103,[1]Table7_badETA!$A:$A,[1]Table7_badETA!C:C,"-",0)</f>
        <v>3.1199999999999999E-2</v>
      </c>
      <c r="F103" s="1">
        <f>_xlfn.XLOOKUP($A103,[1]Table7_badETA!$A:$A,[1]Table7_badETA!E:E,"-",0)</f>
        <v>6.7070000000000003E-3</v>
      </c>
      <c r="G103" s="5">
        <f>_xlfn.XLOOKUP($A103,[1]Table7_badETA!$A:$A,[1]Table7_badETA!F:F,"-",0)</f>
        <v>1.14E-7</v>
      </c>
      <c r="H103" s="6">
        <f>_xlfn.XLOOKUP($A103,[1]Table7_badETA!$A:$A,[1]Table7_badETA!H:H,"-",0)</f>
        <v>1.08E-7</v>
      </c>
      <c r="I103" s="2">
        <f>_xlfn.XLOOKUP($A103,[1]Table7_badETA!$A:$A,[1]Table7_badETA!M:M,"-",0)</f>
        <v>0.90849999999999997</v>
      </c>
      <c r="J103" s="2">
        <f>_xlfn.XLOOKUP($A103,[1]Table7_badETA!$A:$A,[1]Table7_badETA!O:O,"-",0)</f>
        <v>1.056E-2</v>
      </c>
      <c r="K103" s="2">
        <f>_xlfn.XLOOKUP($A103,[1]morph_04R500.dat!$A:$A,[1]morph_04R500.dat!P:P,"-",0)</f>
        <v>51.36</v>
      </c>
      <c r="L103" s="2">
        <f>_xlfn.XLOOKUP($A103,[1]morph_04R500.dat!$A:$A,[1]morph_04R500.dat!R:R,"-",0)</f>
        <v>3.7610000000000001</v>
      </c>
      <c r="M103" s="2" t="str">
        <f>_xlfn.XLOOKUP($A103,[1]Table7_badETA!$A:$A,[1]Table7_badETA!T:T,"-",0)</f>
        <v>-</v>
      </c>
      <c r="N103" s="2" t="str">
        <f>_xlfn.XLOOKUP($A103,[1]Table7_badETA!$A:$A,[1]Table7_badETA!U:U,"-",0)</f>
        <v>-</v>
      </c>
      <c r="O103" s="7">
        <f>_xlfn.XLOOKUP($A103,[1]Table7_badETA!$A:$A,[1]Table7_badETA!S:S,"-",0)</f>
        <v>308.45708000000002</v>
      </c>
    </row>
    <row r="104" spans="1:15" x14ac:dyDescent="0.2">
      <c r="A104" s="8" t="s">
        <v>115</v>
      </c>
      <c r="B104" s="8" cm="1">
        <f t="array" aca="1" ref="B104" ca="1">_xlfn.XLOOKUP(A104,[1]Table2_V5_w3C28!A:A,[1]Table2_V5_w3C28!B:B,nan(),0)</f>
        <v>0.189</v>
      </c>
      <c r="C104" s="8" cm="1">
        <f t="array" aca="1" ref="C104" ca="1">_xlfn.XLOOKUP(A104,[1]Table2_V5_w3C28!A:A,[1]Table2_V5_w3C28!D:D,nan(),0)</f>
        <v>117.855</v>
      </c>
      <c r="D104" s="8" cm="1">
        <f t="array" aca="1" ref="D104" ca="1">_xlfn.XLOOKUP(A104,[1]Table2_V5_w3C28!A:A,[1]Table2_V5_w3C28!E:E,nan(),0)</f>
        <v>17.5139</v>
      </c>
      <c r="E104" s="1">
        <f>_xlfn.XLOOKUP($A104,[1]Table7_badETA!$A:$A,[1]Table7_badETA!C:C,"-",0)</f>
        <v>2.3060000000000001E-2</v>
      </c>
      <c r="F104" s="1">
        <f>_xlfn.XLOOKUP($A104,[1]Table7_badETA!$A:$A,[1]Table7_badETA!E:E,"-",0)</f>
        <v>2.9380000000000001E-3</v>
      </c>
      <c r="G104" s="5">
        <f>_xlfn.XLOOKUP($A104,[1]Table7_badETA!$A:$A,[1]Table7_badETA!F:F,"-",0)</f>
        <v>1.4100000000000001E-9</v>
      </c>
      <c r="H104" s="6">
        <f>_xlfn.XLOOKUP($A104,[1]Table7_badETA!$A:$A,[1]Table7_badETA!H:H,"-",0)</f>
        <v>1.3200000000000001E-8</v>
      </c>
      <c r="I104" s="2">
        <f>_xlfn.XLOOKUP($A104,[1]Table7_badETA!$A:$A,[1]Table7_badETA!M:M,"-",0)</f>
        <v>0.95479999999999998</v>
      </c>
      <c r="J104" s="2">
        <f>_xlfn.XLOOKUP($A104,[1]Table7_badETA!$A:$A,[1]Table7_badETA!O:O,"-",0)</f>
        <v>1.132E-2</v>
      </c>
      <c r="K104" s="2">
        <f>_xlfn.XLOOKUP($A104,[1]morph_04R500.dat!$A:$A,[1]morph_04R500.dat!P:P,"-",0)</f>
        <v>-43.96</v>
      </c>
      <c r="L104" s="2">
        <f>_xlfn.XLOOKUP($A104,[1]morph_04R500.dat!$A:$A,[1]morph_04R500.dat!R:R,"-",0)</f>
        <v>8.2639999999999993</v>
      </c>
      <c r="M104" s="2">
        <f>_xlfn.XLOOKUP($A104,[1]Table7_badETA!$A:$A,[1]Table7_badETA!T:T,"-",0)</f>
        <v>0.66878980891719741</v>
      </c>
      <c r="N104" s="2">
        <f>_xlfn.XLOOKUP($A104,[1]Table7_badETA!$A:$A,[1]Table7_badETA!U:U,"-",0)</f>
        <v>1.2584205237361682E-2</v>
      </c>
      <c r="O104" s="7">
        <f>_xlfn.XLOOKUP($A104,[1]Table7_badETA!$A:$A,[1]Table7_badETA!S:S,"-",0)</f>
        <v>400.28339</v>
      </c>
    </row>
    <row r="105" spans="1:15" x14ac:dyDescent="0.2">
      <c r="A105" s="8" t="s">
        <v>116</v>
      </c>
      <c r="B105" s="8" cm="1">
        <f t="array" aca="1" ref="B105" ca="1">_xlfn.XLOOKUP(A105,[1]Table2_V5_w3C28!A:A,[1]Table2_V5_w3C28!B:B,nan(),0)</f>
        <v>0.28799999999999998</v>
      </c>
      <c r="C105" s="8" cm="1">
        <f t="array" aca="1" ref="C105" ca="1">_xlfn.XLOOKUP(A105,[1]Table2_V5_w3C28!A:A,[1]Table2_V5_w3C28!D:D,nan(),0)</f>
        <v>120.23699999999999</v>
      </c>
      <c r="D105" s="8" cm="1">
        <f t="array" aca="1" ref="D105" ca="1">_xlfn.XLOOKUP(A105,[1]Table2_V5_w3C28!A:A,[1]Table2_V5_w3C28!E:E,nan(),0)</f>
        <v>36.056600000000003</v>
      </c>
      <c r="E105" s="1">
        <f>_xlfn.XLOOKUP($A105,[1]Table7_badETA!$A:$A,[1]Table7_badETA!C:C,"-",0)</f>
        <v>3.0689999999999999E-2</v>
      </c>
      <c r="F105" s="1">
        <f>_xlfn.XLOOKUP($A105,[1]Table7_badETA!$A:$A,[1]Table7_badETA!E:E,"-",0)</f>
        <v>3.5850000000000001E-3</v>
      </c>
      <c r="G105" s="5">
        <f>_xlfn.XLOOKUP($A105,[1]Table7_badETA!$A:$A,[1]Table7_badETA!F:F,"-",0)</f>
        <v>8.5999999999999993E-9</v>
      </c>
      <c r="H105" s="6">
        <f>_xlfn.XLOOKUP($A105,[1]Table7_badETA!$A:$A,[1]Table7_badETA!H:H,"-",0)</f>
        <v>1.14E-8</v>
      </c>
      <c r="I105" s="2">
        <f>_xlfn.XLOOKUP($A105,[1]Table7_badETA!$A:$A,[1]Table7_badETA!M:M,"-",0)</f>
        <v>0.93359999999999999</v>
      </c>
      <c r="J105" s="2">
        <f>_xlfn.XLOOKUP($A105,[1]Table7_badETA!$A:$A,[1]Table7_badETA!O:O,"-",0)</f>
        <v>7.4640000000000001E-3</v>
      </c>
      <c r="K105" s="2">
        <f>_xlfn.XLOOKUP($A105,[1]morph_04R500.dat!$A:$A,[1]morph_04R500.dat!P:P,"-",0)</f>
        <v>32.61</v>
      </c>
      <c r="L105" s="2">
        <f>_xlfn.XLOOKUP($A105,[1]morph_04R500.dat!$A:$A,[1]morph_04R500.dat!R:R,"-",0)</f>
        <v>2.577</v>
      </c>
      <c r="M105" s="2">
        <f>_xlfn.XLOOKUP($A105,[1]Table7_badETA!$A:$A,[1]Table7_badETA!T:T,"-",0)</f>
        <v>0.61072834645669283</v>
      </c>
      <c r="N105" s="2">
        <f>_xlfn.XLOOKUP($A105,[1]Table7_badETA!$A:$A,[1]Table7_badETA!U:U,"-",0)</f>
        <v>8.2083767240202464E-3</v>
      </c>
      <c r="O105" s="7">
        <f>_xlfn.XLOOKUP($A105,[1]Table7_badETA!$A:$A,[1]Table7_badETA!S:S,"-",0)</f>
        <v>510.28226000000001</v>
      </c>
    </row>
    <row r="106" spans="1:15" x14ac:dyDescent="0.2">
      <c r="A106" s="8" t="s">
        <v>117</v>
      </c>
      <c r="B106" s="8" cm="1">
        <f t="array" aca="1" ref="B106" ca="1">_xlfn.XLOOKUP(A106,[1]Table2_V5_w3C28!A:A,[1]Table2_V5_w3C28!B:B,nan(),0)</f>
        <v>0.3</v>
      </c>
      <c r="C106" s="8" cm="1">
        <f t="array" aca="1" ref="C106" ca="1">_xlfn.XLOOKUP(A106,[1]Table2_V5_w3C28!A:A,[1]Table2_V5_w3C28!D:D,nan(),0)</f>
        <v>122.4251</v>
      </c>
      <c r="D106" s="8" cm="1">
        <f t="array" aca="1" ref="D106" ca="1">_xlfn.XLOOKUP(A106,[1]Table2_V5_w3C28!A:A,[1]Table2_V5_w3C28!E:E,nan(),0)</f>
        <v>28.202300000000001</v>
      </c>
      <c r="E106" s="1">
        <f>_xlfn.XLOOKUP($A106,[1]Table7_badETA!$A:$A,[1]Table7_badETA!C:C,"-",0)</f>
        <v>3.4950000000000002E-2</v>
      </c>
      <c r="F106" s="1">
        <f>_xlfn.XLOOKUP($A106,[1]Table7_badETA!$A:$A,[1]Table7_badETA!E:E,"-",0)</f>
        <v>7.2439999999999996E-3</v>
      </c>
      <c r="G106" s="5">
        <f>_xlfn.XLOOKUP($A106,[1]Table7_badETA!$A:$A,[1]Table7_badETA!F:F,"-",0)</f>
        <v>2.72E-7</v>
      </c>
      <c r="H106" s="6">
        <f>_xlfn.XLOOKUP($A106,[1]Table7_badETA!$A:$A,[1]Table7_badETA!H:H,"-",0)</f>
        <v>3.6100000000000002E-7</v>
      </c>
      <c r="I106" s="2">
        <f>_xlfn.XLOOKUP($A106,[1]Table7_badETA!$A:$A,[1]Table7_badETA!M:M,"-",0)</f>
        <v>0.91749999999999998</v>
      </c>
      <c r="J106" s="2">
        <f>_xlfn.XLOOKUP($A106,[1]Table7_badETA!$A:$A,[1]Table7_badETA!O:O,"-",0)</f>
        <v>2.164E-2</v>
      </c>
      <c r="K106" s="2">
        <f>_xlfn.XLOOKUP($A106,[1]morph_04R500.dat!$A:$A,[1]morph_04R500.dat!P:P,"-",0)</f>
        <v>28.21</v>
      </c>
      <c r="L106" s="2">
        <f>_xlfn.XLOOKUP($A106,[1]morph_04R500.dat!$A:$A,[1]morph_04R500.dat!R:R,"-",0)</f>
        <v>9.1720000000000006</v>
      </c>
      <c r="M106" s="2" t="str">
        <f>_xlfn.XLOOKUP($A106,[1]Table7_badETA!$A:$A,[1]Table7_badETA!T:T,"-",0)</f>
        <v>-</v>
      </c>
      <c r="N106" s="2" t="str">
        <f>_xlfn.XLOOKUP($A106,[1]Table7_badETA!$A:$A,[1]Table7_badETA!U:U,"-",0)</f>
        <v>-</v>
      </c>
      <c r="O106" s="7">
        <f>_xlfn.XLOOKUP($A106,[1]Table7_badETA!$A:$A,[1]Table7_badETA!S:S,"-",0)</f>
        <v>524.76329999999996</v>
      </c>
    </row>
    <row r="107" spans="1:15" x14ac:dyDescent="0.2">
      <c r="A107" s="8" t="s">
        <v>118</v>
      </c>
      <c r="B107" s="8" cm="1">
        <f t="array" aca="1" ref="B107" ca="1">_xlfn.XLOOKUP(A107,[1]Table2_V5_w3C28!A:A,[1]Table2_V5_w3C28!B:B,nan(),0)</f>
        <v>6.4000000000000001E-2</v>
      </c>
      <c r="C107" s="8" cm="1">
        <f t="array" aca="1" ref="C107" ca="1">_xlfn.XLOOKUP(A107,[1]Table2_V5_w3C28!A:A,[1]Table2_V5_w3C28!D:D,nan(),0)</f>
        <v>122.5973</v>
      </c>
      <c r="D107" s="8" cm="1">
        <f t="array" aca="1" ref="D107" ca="1">_xlfn.XLOOKUP(A107,[1]Table2_V5_w3C28!A:A,[1]Table2_V5_w3C28!E:E,nan(),0)</f>
        <v>42.273899999999998</v>
      </c>
      <c r="E107" s="1">
        <f>_xlfn.XLOOKUP($A107,[1]Table7_badETA!$A:$A,[1]Table7_badETA!C:C,"-",0)</f>
        <v>2.632E-2</v>
      </c>
      <c r="F107" s="1">
        <f>_xlfn.XLOOKUP($A107,[1]Table7_badETA!$A:$A,[1]Table7_badETA!E:E,"-",0)</f>
        <v>3.8430000000000001E-3</v>
      </c>
      <c r="G107" s="5">
        <f>_xlfn.XLOOKUP($A107,[1]Table7_badETA!$A:$A,[1]Table7_badETA!F:F,"-",0)</f>
        <v>6.7399999999999995E-8</v>
      </c>
      <c r="H107" s="6">
        <f>_xlfn.XLOOKUP($A107,[1]Table7_badETA!$A:$A,[1]Table7_badETA!H:H,"-",0)</f>
        <v>6.6899999999999997E-8</v>
      </c>
      <c r="I107" s="2">
        <f>_xlfn.XLOOKUP($A107,[1]Table7_badETA!$A:$A,[1]Table7_badETA!M:M,"-",0)</f>
        <v>0.93910000000000005</v>
      </c>
      <c r="J107" s="2">
        <f>_xlfn.XLOOKUP($A107,[1]Table7_badETA!$A:$A,[1]Table7_badETA!O:O,"-",0)</f>
        <v>1.0359999999999999E-2</v>
      </c>
      <c r="K107" s="2">
        <f>_xlfn.XLOOKUP($A107,[1]morph_04R500.dat!$A:$A,[1]morph_04R500.dat!P:P,"-",0)</f>
        <v>-62.78</v>
      </c>
      <c r="L107" s="2">
        <f>_xlfn.XLOOKUP($A107,[1]morph_04R500.dat!$A:$A,[1]morph_04R500.dat!R:R,"-",0)</f>
        <v>5.5359999999999996</v>
      </c>
      <c r="M107" s="2">
        <f>_xlfn.XLOOKUP($A107,[1]Table7_badETA!$A:$A,[1]Table7_badETA!T:T,"-",0)</f>
        <v>0.56537753222836096</v>
      </c>
      <c r="N107" s="2">
        <f>_xlfn.XLOOKUP($A107,[1]Table7_badETA!$A:$A,[1]Table7_badETA!U:U,"-",0)</f>
        <v>5.4306025123872358E-2</v>
      </c>
      <c r="O107" s="7">
        <f>_xlfn.XLOOKUP($A107,[1]Table7_badETA!$A:$A,[1]Table7_badETA!S:S,"-",0)</f>
        <v>412.08389</v>
      </c>
    </row>
    <row r="108" spans="1:15" x14ac:dyDescent="0.2">
      <c r="A108" s="8" t="s">
        <v>119</v>
      </c>
      <c r="B108" s="8" cm="1">
        <f t="array" aca="1" ref="B108" ca="1">_xlfn.XLOOKUP(A108,[1]Table2_V5_w3C28!A:A,[1]Table2_V5_w3C28!B:B,nan(),0)</f>
        <v>7.0000000000000007E-2</v>
      </c>
      <c r="C108" s="8" cm="1">
        <f t="array" aca="1" ref="C108" ca="1">_xlfn.XLOOKUP(A108,[1]Table2_V5_w3C28!A:A,[1]Table2_V5_w3C28!D:D,nan(),0)</f>
        <v>124.35850000000001</v>
      </c>
      <c r="D108" s="8" cm="1">
        <f t="array" aca="1" ref="D108" ca="1">_xlfn.XLOOKUP(A108,[1]Table2_V5_w3C28!A:A,[1]Table2_V5_w3C28!E:E,nan(),0)</f>
        <v>-7.5087999999999999</v>
      </c>
      <c r="E108" s="1">
        <f>_xlfn.XLOOKUP($A108,[1]Table7_badETA!$A:$A,[1]Table7_badETA!C:C,"-",0)</f>
        <v>2.827E-2</v>
      </c>
      <c r="F108" s="1">
        <f>_xlfn.XLOOKUP($A108,[1]Table7_badETA!$A:$A,[1]Table7_badETA!E:E,"-",0)</f>
        <v>1.085E-3</v>
      </c>
      <c r="G108" s="5">
        <f>_xlfn.XLOOKUP($A108,[1]Table7_badETA!$A:$A,[1]Table7_badETA!F:F,"-",0)</f>
        <v>9.1600000000000006E-9</v>
      </c>
      <c r="H108" s="6">
        <f>_xlfn.XLOOKUP($A108,[1]Table7_badETA!$A:$A,[1]Table7_badETA!H:H,"-",0)</f>
        <v>3.36E-9</v>
      </c>
      <c r="I108" s="2">
        <f>_xlfn.XLOOKUP($A108,[1]Table7_badETA!$A:$A,[1]Table7_badETA!M:M,"-",0)</f>
        <v>0.85929999999999995</v>
      </c>
      <c r="J108" s="2">
        <f>_xlfn.XLOOKUP($A108,[1]Table7_badETA!$A:$A,[1]Table7_badETA!O:O,"-",0)</f>
        <v>2.5820000000000001E-3</v>
      </c>
      <c r="K108" s="2">
        <f>_xlfn.XLOOKUP($A108,[1]morph_04R500.dat!$A:$A,[1]morph_04R500.dat!P:P,"-",0)</f>
        <v>10.46</v>
      </c>
      <c r="L108" s="2">
        <f>_xlfn.XLOOKUP($A108,[1]morph_04R500.dat!$A:$A,[1]morph_04R500.dat!R:R,"-",0)</f>
        <v>0.52380000000000004</v>
      </c>
      <c r="M108" s="2">
        <f>_xlfn.XLOOKUP($A108,[1]Table7_badETA!$A:$A,[1]Table7_badETA!T:T,"-",0)</f>
        <v>0.6207461328480437</v>
      </c>
      <c r="N108" s="2">
        <f>_xlfn.XLOOKUP($A108,[1]Table7_badETA!$A:$A,[1]Table7_badETA!U:U,"-",0)</f>
        <v>3.3297428621934656E-3</v>
      </c>
      <c r="O108" s="7">
        <f>_xlfn.XLOOKUP($A108,[1]Table7_badETA!$A:$A,[1]Table7_badETA!S:S,"-",0)</f>
        <v>519.12696000000005</v>
      </c>
    </row>
    <row r="109" spans="1:15" x14ac:dyDescent="0.2">
      <c r="A109" s="8" t="s">
        <v>120</v>
      </c>
      <c r="B109" s="8" cm="1">
        <f t="array" aca="1" ref="B109" ca="1">_xlfn.XLOOKUP(A109,[1]Table2_V5_w3C28!A:A,[1]Table2_V5_w3C28!B:B,nan(),0)</f>
        <v>0.11899999999999999</v>
      </c>
      <c r="C109" s="8" cm="1">
        <f t="array" aca="1" ref="C109" ca="1">_xlfn.XLOOKUP(A109,[1]Table2_V5_w3C28!A:A,[1]Table2_V5_w3C28!D:D,nan(),0)</f>
        <v>124.858</v>
      </c>
      <c r="D109" s="8" cm="1">
        <f t="array" aca="1" ref="D109" ca="1">_xlfn.XLOOKUP(A109,[1]Table2_V5_w3C28!A:A,[1]Table2_V5_w3C28!E:E,nan(),0)</f>
        <v>63.623800000000003</v>
      </c>
      <c r="E109" s="1">
        <f>_xlfn.XLOOKUP($A109,[1]Table7_badETA!$A:$A,[1]Table7_badETA!C:C,"-",0)</f>
        <v>3.3840000000000002E-2</v>
      </c>
      <c r="F109" s="1">
        <f>_xlfn.XLOOKUP($A109,[1]Table7_badETA!$A:$A,[1]Table7_badETA!E:E,"-",0)</f>
        <v>6.117E-3</v>
      </c>
      <c r="G109" s="5">
        <f>_xlfn.XLOOKUP($A109,[1]Table7_badETA!$A:$A,[1]Table7_badETA!F:F,"-",0)</f>
        <v>2.59E-8</v>
      </c>
      <c r="H109" s="6">
        <f>_xlfn.XLOOKUP($A109,[1]Table7_badETA!$A:$A,[1]Table7_badETA!H:H,"-",0)</f>
        <v>3.8799999999999997E-8</v>
      </c>
      <c r="I109" s="2">
        <f>_xlfn.XLOOKUP($A109,[1]Table7_badETA!$A:$A,[1]Table7_badETA!M:M,"-",0)</f>
        <v>0.97960000000000003</v>
      </c>
      <c r="J109" s="2">
        <f>_xlfn.XLOOKUP($A109,[1]Table7_badETA!$A:$A,[1]Table7_badETA!O:O,"-",0)</f>
        <v>1.8350000000000002E-2</v>
      </c>
      <c r="K109" s="2">
        <f>_xlfn.XLOOKUP($A109,[1]morph_04R500.dat!$A:$A,[1]morph_04R500.dat!P:P,"-",0)</f>
        <v>77.62</v>
      </c>
      <c r="L109" s="2">
        <f>_xlfn.XLOOKUP($A109,[1]morph_04R500.dat!$A:$A,[1]morph_04R500.dat!R:R,"-",0)</f>
        <v>19.07</v>
      </c>
      <c r="M109" s="2">
        <f>_xlfn.XLOOKUP($A109,[1]Table7_badETA!$A:$A,[1]Table7_badETA!T:T,"-",0)</f>
        <v>0.51255107997664917</v>
      </c>
      <c r="N109" s="2">
        <f>_xlfn.XLOOKUP($A109,[1]Table7_badETA!$A:$A,[1]Table7_badETA!U:U,"-",0)</f>
        <v>2.1138434703194386E-2</v>
      </c>
      <c r="O109" s="7">
        <f>_xlfn.XLOOKUP($A109,[1]Table7_badETA!$A:$A,[1]Table7_badETA!S:S,"-",0)</f>
        <v>345.15390000000002</v>
      </c>
    </row>
    <row r="110" spans="1:15" x14ac:dyDescent="0.2">
      <c r="A110" s="8" t="s">
        <v>121</v>
      </c>
      <c r="B110" s="8" cm="1">
        <f t="array" aca="1" ref="B110" ca="1">_xlfn.XLOOKUP(A110,[1]Table2_V5_w3C28!A:A,[1]Table2_V5_w3C28!B:B,nan(),0)</f>
        <v>0.22500000000000001</v>
      </c>
      <c r="C110" s="8" cm="1">
        <f t="array" aca="1" ref="C110" ca="1">_xlfn.XLOOKUP(A110,[1]Table2_V5_w3C28!A:A,[1]Table2_V5_w3C28!D:D,nan(),0)</f>
        <v>126.4913</v>
      </c>
      <c r="D110" s="8" cm="1">
        <f t="array" aca="1" ref="D110" ca="1">_xlfn.XLOOKUP(A110,[1]Table2_V5_w3C28!A:A,[1]Table2_V5_w3C28!E:E,nan(),0)</f>
        <v>4.2466999999999997</v>
      </c>
      <c r="E110" s="1">
        <f>_xlfn.XLOOKUP($A110,[1]Table7_badETA!$A:$A,[1]Table7_badETA!C:C,"-",0)</f>
        <v>2.5499999999999998E-2</v>
      </c>
      <c r="F110" s="1">
        <f>_xlfn.XLOOKUP($A110,[1]Table7_badETA!$A:$A,[1]Table7_badETA!E:E,"-",0)</f>
        <v>6.0429999999999998E-3</v>
      </c>
      <c r="G110" s="5">
        <f>_xlfn.XLOOKUP($A110,[1]Table7_badETA!$A:$A,[1]Table7_badETA!F:F,"-",0)</f>
        <v>3.33E-8</v>
      </c>
      <c r="H110" s="6">
        <f>_xlfn.XLOOKUP($A110,[1]Table7_badETA!$A:$A,[1]Table7_badETA!H:H,"-",0)</f>
        <v>5.8999999999999999E-8</v>
      </c>
      <c r="I110" s="2">
        <f>_xlfn.XLOOKUP($A110,[1]Table7_badETA!$A:$A,[1]Table7_badETA!M:M,"-",0)</f>
        <v>0.92479999999999996</v>
      </c>
      <c r="J110" s="2">
        <f>_xlfn.XLOOKUP($A110,[1]Table7_badETA!$A:$A,[1]Table7_badETA!O:O,"-",0)</f>
        <v>1.3169999999999999E-2</v>
      </c>
      <c r="K110" s="2">
        <f>_xlfn.XLOOKUP($A110,[1]morph_04R500.dat!$A:$A,[1]morph_04R500.dat!P:P,"-",0)</f>
        <v>-48.71</v>
      </c>
      <c r="L110" s="2">
        <f>_xlfn.XLOOKUP($A110,[1]morph_04R500.dat!$A:$A,[1]morph_04R500.dat!R:R,"-",0)</f>
        <v>5.3049999999999997</v>
      </c>
      <c r="M110" s="2">
        <f>_xlfn.XLOOKUP($A110,[1]Table7_badETA!$A:$A,[1]Table7_badETA!T:T,"-",0)</f>
        <v>0.50840632235981065</v>
      </c>
      <c r="N110" s="2">
        <f>_xlfn.XLOOKUP($A110,[1]Table7_badETA!$A:$A,[1]Table7_badETA!U:U,"-",0)</f>
        <v>2.3244660074919165E-2</v>
      </c>
      <c r="O110" s="7">
        <f>_xlfn.XLOOKUP($A110,[1]Table7_badETA!$A:$A,[1]Table7_badETA!S:S,"-",0)</f>
        <v>383.90685000000002</v>
      </c>
    </row>
    <row r="111" spans="1:15" x14ac:dyDescent="0.2">
      <c r="A111" s="8" t="s">
        <v>122</v>
      </c>
      <c r="B111" s="8" cm="1">
        <f t="array" aca="1" ref="B111" ca="1">_xlfn.XLOOKUP(A111,[1]Table2_V5_w3C28!A:A,[1]Table2_V5_w3C28!B:B,nan(),0)</f>
        <v>0.182</v>
      </c>
      <c r="C111" s="8" cm="1">
        <f t="array" aca="1" ref="C111" ca="1">_xlfn.XLOOKUP(A111,[1]Table2_V5_w3C28!A:A,[1]Table2_V5_w3C28!D:D,nan(),0)</f>
        <v>127.74679999999999</v>
      </c>
      <c r="D111" s="8" cm="1">
        <f t="array" aca="1" ref="D111" ca="1">_xlfn.XLOOKUP(A111,[1]Table2_V5_w3C28!A:A,[1]Table2_V5_w3C28!E:E,nan(),0)</f>
        <v>65.839500000000001</v>
      </c>
      <c r="E111" s="1">
        <f>_xlfn.XLOOKUP($A111,[1]Table7_badETA!$A:$A,[1]Table7_badETA!C:C,"-",0)</f>
        <v>9.3649999999999997E-2</v>
      </c>
      <c r="F111" s="1">
        <f>_xlfn.XLOOKUP($A111,[1]Table7_badETA!$A:$A,[1]Table7_badETA!E:E,"-",0)</f>
        <v>1.1609999999999999E-3</v>
      </c>
      <c r="G111" s="5">
        <f>_xlfn.XLOOKUP($A111,[1]Table7_badETA!$A:$A,[1]Table7_badETA!F:F,"-",0)</f>
        <v>2.4200000000000002E-7</v>
      </c>
      <c r="H111" s="6">
        <f>_xlfn.XLOOKUP($A111,[1]Table7_badETA!$A:$A,[1]Table7_badETA!H:H,"-",0)</f>
        <v>2.66E-8</v>
      </c>
      <c r="I111" s="2">
        <f>_xlfn.XLOOKUP($A111,[1]Table7_badETA!$A:$A,[1]Table7_badETA!M:M,"-",0)</f>
        <v>0.9304</v>
      </c>
      <c r="J111" s="2">
        <f>_xlfn.XLOOKUP($A111,[1]Table7_badETA!$A:$A,[1]Table7_badETA!O:O,"-",0)</f>
        <v>2.4750000000000002E-3</v>
      </c>
      <c r="K111" s="2">
        <f>_xlfn.XLOOKUP($A111,[1]morph_04R500.dat!$A:$A,[1]morph_04R500.dat!P:P,"-",0)</f>
        <v>-41.23</v>
      </c>
      <c r="L111" s="2">
        <f>_xlfn.XLOOKUP($A111,[1]morph_04R500.dat!$A:$A,[1]morph_04R500.dat!R:R,"-",0)</f>
        <v>1.0269999999999999</v>
      </c>
      <c r="M111" s="2">
        <f>_xlfn.XLOOKUP($A111,[1]Table7_badETA!$A:$A,[1]Table7_badETA!T:T,"-",0)</f>
        <v>0.46845865116842228</v>
      </c>
      <c r="N111" s="2">
        <f>_xlfn.XLOOKUP($A111,[1]Table7_badETA!$A:$A,[1]Table7_badETA!U:U,"-",0)</f>
        <v>4.2652839616534348E-3</v>
      </c>
      <c r="O111" s="7">
        <f>_xlfn.XLOOKUP($A111,[1]Table7_badETA!$A:$A,[1]Table7_badETA!S:S,"-",0)</f>
        <v>553.21613000000002</v>
      </c>
    </row>
    <row r="112" spans="1:15" x14ac:dyDescent="0.2">
      <c r="A112" s="8" t="s">
        <v>123</v>
      </c>
      <c r="B112" s="8" cm="1">
        <f t="array" aca="1" ref="B112" ca="1">_xlfn.XLOOKUP(A112,[1]Table2_V5_w3C28!A:A,[1]Table2_V5_w3C28!B:B,nan(),0)</f>
        <v>0.24099999999999999</v>
      </c>
      <c r="C112" s="8" cm="1">
        <f t="array" aca="1" ref="C112" ca="1">_xlfn.XLOOKUP(A112,[1]Table2_V5_w3C28!A:A,[1]Table2_V5_w3C28!D:D,nan(),0)</f>
        <v>128.72839999999999</v>
      </c>
      <c r="D112" s="8" cm="1">
        <f t="array" aca="1" ref="D112" ca="1">_xlfn.XLOOKUP(A112,[1]Table2_V5_w3C28!A:A,[1]Table2_V5_w3C28!E:E,nan(),0)</f>
        <v>55.572200000000002</v>
      </c>
      <c r="E112" s="1">
        <f>_xlfn.XLOOKUP($A112,[1]Table7_badETA!$A:$A,[1]Table7_badETA!C:C,"-",0)</f>
        <v>5.8549999999999998E-2</v>
      </c>
      <c r="F112" s="1">
        <f>_xlfn.XLOOKUP($A112,[1]Table7_badETA!$A:$A,[1]Table7_badETA!E:E,"-",0)</f>
        <v>8.2220000000000004E-4</v>
      </c>
      <c r="G112" s="5">
        <f>_xlfn.XLOOKUP($A112,[1]Table7_badETA!$A:$A,[1]Table7_badETA!F:F,"-",0)</f>
        <v>3.6399999999999998E-10</v>
      </c>
      <c r="H112" s="6">
        <f>_xlfn.XLOOKUP($A112,[1]Table7_badETA!$A:$A,[1]Table7_badETA!H:H,"-",0)</f>
        <v>2.9499999999999999E-9</v>
      </c>
      <c r="I112" s="2">
        <f>_xlfn.XLOOKUP($A112,[1]Table7_badETA!$A:$A,[1]Table7_badETA!M:M,"-",0)</f>
        <v>0.83840000000000003</v>
      </c>
      <c r="J112" s="2">
        <f>_xlfn.XLOOKUP($A112,[1]Table7_badETA!$A:$A,[1]Table7_badETA!O:O,"-",0)</f>
        <v>4.5409999999999999E-3</v>
      </c>
      <c r="K112" s="2">
        <f>_xlfn.XLOOKUP($A112,[1]morph_04R500.dat!$A:$A,[1]morph_04R500.dat!P:P,"-",0)</f>
        <v>41.97</v>
      </c>
      <c r="L112" s="2">
        <f>_xlfn.XLOOKUP($A112,[1]morph_04R500.dat!$A:$A,[1]morph_04R500.dat!R:R,"-",0)</f>
        <v>0.89149999999999996</v>
      </c>
      <c r="M112" s="2">
        <f>_xlfn.XLOOKUP($A112,[1]Table7_badETA!$A:$A,[1]Table7_badETA!T:T,"-",0)</f>
        <v>0.70428280081577166</v>
      </c>
      <c r="N112" s="2">
        <f>_xlfn.XLOOKUP($A112,[1]Table7_badETA!$A:$A,[1]Table7_badETA!U:U,"-",0)</f>
        <v>5.5772918488681822E-3</v>
      </c>
      <c r="O112" s="7">
        <f>_xlfn.XLOOKUP($A112,[1]Table7_badETA!$A:$A,[1]Table7_badETA!S:S,"-",0)</f>
        <v>393.65629000000001</v>
      </c>
    </row>
    <row r="113" spans="1:15" x14ac:dyDescent="0.2">
      <c r="A113" s="8" t="s">
        <v>124</v>
      </c>
      <c r="B113" s="8" cm="1">
        <f t="array" aca="1" ref="B113" ca="1">_xlfn.XLOOKUP(A113,[1]Table2_V5_w3C28!A:A,[1]Table2_V5_w3C28!B:B,nan(),0)</f>
        <v>0.123</v>
      </c>
      <c r="C113" s="8" cm="1">
        <f t="array" aca="1" ref="C113" ca="1">_xlfn.XLOOKUP(A113,[1]Table2_V5_w3C28!A:A,[1]Table2_V5_w3C28!D:D,nan(),0)</f>
        <v>129.62880000000001</v>
      </c>
      <c r="D113" s="8" cm="1">
        <f t="array" aca="1" ref="D113" ca="1">_xlfn.XLOOKUP(A113,[1]Table2_V5_w3C28!A:A,[1]Table2_V5_w3C28!E:E,nan(),0)</f>
        <v>19.805499999999999</v>
      </c>
      <c r="E113" s="1">
        <f>_xlfn.XLOOKUP($A113,[1]Table7_badETA!$A:$A,[1]Table7_badETA!C:C,"-",0)</f>
        <v>2.7089999999999999E-2</v>
      </c>
      <c r="F113" s="1">
        <f>_xlfn.XLOOKUP($A113,[1]Table7_badETA!$A:$A,[1]Table7_badETA!E:E,"-",0)</f>
        <v>5.8820000000000001E-3</v>
      </c>
      <c r="G113" s="5">
        <f>_xlfn.XLOOKUP($A113,[1]Table7_badETA!$A:$A,[1]Table7_badETA!F:F,"-",0)</f>
        <v>2.3200000000000001E-7</v>
      </c>
      <c r="H113" s="6">
        <f>_xlfn.XLOOKUP($A113,[1]Table7_badETA!$A:$A,[1]Table7_badETA!H:H,"-",0)</f>
        <v>2.0800000000000001E-7</v>
      </c>
      <c r="I113" s="2">
        <f>_xlfn.XLOOKUP($A113,[1]Table7_badETA!$A:$A,[1]Table7_badETA!M:M,"-",0)</f>
        <v>0.94589999999999996</v>
      </c>
      <c r="J113" s="2">
        <f>_xlfn.XLOOKUP($A113,[1]Table7_badETA!$A:$A,[1]Table7_badETA!O:O,"-",0)</f>
        <v>2.0469999999999999E-2</v>
      </c>
      <c r="K113" s="2">
        <f>_xlfn.XLOOKUP($A113,[1]morph_04R500.dat!$A:$A,[1]morph_04R500.dat!P:P,"-",0)</f>
        <v>71.98</v>
      </c>
      <c r="L113" s="2">
        <f>_xlfn.XLOOKUP($A113,[1]morph_04R500.dat!$A:$A,[1]morph_04R500.dat!R:R,"-",0)</f>
        <v>9.0109999999999992</v>
      </c>
      <c r="M113" s="2" t="str">
        <f>_xlfn.XLOOKUP($A113,[1]Table7_badETA!$A:$A,[1]Table7_badETA!T:T,"-",0)</f>
        <v>-</v>
      </c>
      <c r="N113" s="2" t="str">
        <f>_xlfn.XLOOKUP($A113,[1]Table7_badETA!$A:$A,[1]Table7_badETA!U:U,"-",0)</f>
        <v>-</v>
      </c>
      <c r="O113" s="7">
        <f>_xlfn.XLOOKUP($A113,[1]Table7_badETA!$A:$A,[1]Table7_badETA!S:S,"-",0)</f>
        <v>326.04476</v>
      </c>
    </row>
    <row r="114" spans="1:15" x14ac:dyDescent="0.2">
      <c r="A114" s="8" t="s">
        <v>125</v>
      </c>
      <c r="B114" s="8" cm="1">
        <f t="array" aca="1" ref="B114" ca="1">_xlfn.XLOOKUP(A114,[1]Table2_V5_w3C28!A:A,[1]Table2_V5_w3C28!B:B,nan(),0)</f>
        <v>0.19400000000000001</v>
      </c>
      <c r="C114" s="8" cm="1">
        <f t="array" aca="1" ref="C114" ca="1">_xlfn.XLOOKUP(A114,[1]Table2_V5_w3C28!A:A,[1]Table2_V5_w3C28!D:D,nan(),0)</f>
        <v>130.7329</v>
      </c>
      <c r="D114" s="8" cm="1">
        <f t="array" aca="1" ref="D114" ca="1">_xlfn.XLOOKUP(A114,[1]Table2_V5_w3C28!A:A,[1]Table2_V5_w3C28!E:E,nan(),0)</f>
        <v>29.457599999999999</v>
      </c>
      <c r="E114" s="1">
        <f>_xlfn.XLOOKUP($A114,[1]Table7_badETA!$A:$A,[1]Table7_badETA!C:C,"-",0)</f>
        <v>2.7210000000000002E-2</v>
      </c>
      <c r="F114" s="1">
        <f>_xlfn.XLOOKUP($A114,[1]Table7_badETA!$A:$A,[1]Table7_badETA!E:E,"-",0)</f>
        <v>1.738E-3</v>
      </c>
      <c r="G114" s="5">
        <f>_xlfn.XLOOKUP($A114,[1]Table7_badETA!$A:$A,[1]Table7_badETA!F:F,"-",0)</f>
        <v>5.4800000000000001E-9</v>
      </c>
      <c r="H114" s="6">
        <f>_xlfn.XLOOKUP($A114,[1]Table7_badETA!$A:$A,[1]Table7_badETA!H:H,"-",0)</f>
        <v>9.0200000000000007E-9</v>
      </c>
      <c r="I114" s="2">
        <f>_xlfn.XLOOKUP($A114,[1]Table7_badETA!$A:$A,[1]Table7_badETA!M:M,"-",0)</f>
        <v>0.94210000000000005</v>
      </c>
      <c r="J114" s="2">
        <f>_xlfn.XLOOKUP($A114,[1]Table7_badETA!$A:$A,[1]Table7_badETA!O:O,"-",0)</f>
        <v>1.4409999999999999E-2</v>
      </c>
      <c r="K114" s="2">
        <f>_xlfn.XLOOKUP($A114,[1]morph_04R500.dat!$A:$A,[1]morph_04R500.dat!P:P,"-",0)</f>
        <v>-11.86</v>
      </c>
      <c r="L114" s="2">
        <f>_xlfn.XLOOKUP($A114,[1]morph_04R500.dat!$A:$A,[1]morph_04R500.dat!R:R,"-",0)</f>
        <v>4.42</v>
      </c>
      <c r="M114" s="2">
        <f>_xlfn.XLOOKUP($A114,[1]Table7_badETA!$A:$A,[1]Table7_badETA!T:T,"-",0)</f>
        <v>0.70291162071631019</v>
      </c>
      <c r="N114" s="2">
        <f>_xlfn.XLOOKUP($A114,[1]Table7_badETA!$A:$A,[1]Table7_badETA!U:U,"-",0)</f>
        <v>9.6381783730496579E-3</v>
      </c>
      <c r="O114" s="7">
        <f>_xlfn.XLOOKUP($A114,[1]Table7_badETA!$A:$A,[1]Table7_badETA!S:S,"-",0)</f>
        <v>472.03505000000001</v>
      </c>
    </row>
    <row r="115" spans="1:15" x14ac:dyDescent="0.2">
      <c r="A115" s="8" t="s">
        <v>126</v>
      </c>
      <c r="B115" s="8" cm="1">
        <f t="array" aca="1" ref="B115" ca="1">_xlfn.XLOOKUP(A115,[1]Table2_V5_w3C28!A:A,[1]Table2_V5_w3C28!B:B,nan(),0)</f>
        <v>0.28199999999999997</v>
      </c>
      <c r="C115" s="8" cm="1">
        <f t="array" aca="1" ref="C115" ca="1">_xlfn.XLOOKUP(A115,[1]Table2_V5_w3C28!A:A,[1]Table2_V5_w3C28!D:D,nan(),0)</f>
        <v>130.73990000000001</v>
      </c>
      <c r="D115" s="8" cm="1">
        <f t="array" aca="1" ref="D115" ca="1">_xlfn.XLOOKUP(A115,[1]Table2_V5_w3C28!A:A,[1]Table2_V5_w3C28!E:E,nan(),0)</f>
        <v>36.366399999999999</v>
      </c>
      <c r="E115" s="1">
        <f>_xlfn.XLOOKUP($A115,[1]Table7_badETA!$A:$A,[1]Table7_badETA!C:C,"-",0)</f>
        <v>4.1729999999999996E-3</v>
      </c>
      <c r="F115" s="1">
        <f>_xlfn.XLOOKUP($A115,[1]Table7_badETA!$A:$A,[1]Table7_badETA!E:E,"-",0)</f>
        <v>4.607E-3</v>
      </c>
      <c r="G115" s="5">
        <f>_xlfn.XLOOKUP($A115,[1]Table7_badETA!$A:$A,[1]Table7_badETA!F:F,"-",0)</f>
        <v>2.48E-8</v>
      </c>
      <c r="H115" s="6">
        <f>_xlfn.XLOOKUP($A115,[1]Table7_badETA!$A:$A,[1]Table7_badETA!H:H,"-",0)</f>
        <v>2.2099999999999999E-8</v>
      </c>
      <c r="I115" s="2">
        <f>_xlfn.XLOOKUP($A115,[1]Table7_badETA!$A:$A,[1]Table7_badETA!M:M,"-",0)</f>
        <v>0.85809999999999997</v>
      </c>
      <c r="J115" s="2">
        <f>_xlfn.XLOOKUP($A115,[1]Table7_badETA!$A:$A,[1]Table7_badETA!O:O,"-",0)</f>
        <v>6.7600000000000004E-3</v>
      </c>
      <c r="K115" s="2">
        <f>_xlfn.XLOOKUP($A115,[1]morph_04R500.dat!$A:$A,[1]morph_04R500.dat!P:P,"-",0)</f>
        <v>-16.16</v>
      </c>
      <c r="L115" s="2">
        <f>_xlfn.XLOOKUP($A115,[1]morph_04R500.dat!$A:$A,[1]morph_04R500.dat!R:R,"-",0)</f>
        <v>1.504</v>
      </c>
      <c r="M115" s="2">
        <f>_xlfn.XLOOKUP($A115,[1]Table7_badETA!$A:$A,[1]Table7_badETA!T:T,"-",0)</f>
        <v>0.49116161616161619</v>
      </c>
      <c r="N115" s="2">
        <f>_xlfn.XLOOKUP($A115,[1]Table7_badETA!$A:$A,[1]Table7_badETA!U:U,"-",0)</f>
        <v>8.2412023213314298E-3</v>
      </c>
      <c r="O115" s="7">
        <f>_xlfn.XLOOKUP($A115,[1]Table7_badETA!$A:$A,[1]Table7_badETA!S:S,"-",0)</f>
        <v>669.56232</v>
      </c>
    </row>
    <row r="116" spans="1:15" x14ac:dyDescent="0.2">
      <c r="A116" s="8" t="s">
        <v>127</v>
      </c>
      <c r="B116" s="8" cm="1">
        <f t="array" aca="1" ref="B116" ca="1">_xlfn.XLOOKUP(A116,[1]Table2_V5_w3C28!A:A,[1]Table2_V5_w3C28!B:B,nan(),0)</f>
        <v>0.54300000000000004</v>
      </c>
      <c r="C116" s="8" cm="1">
        <f t="array" aca="1" ref="C116" ca="1">_xlfn.XLOOKUP(A116,[1]Table2_V5_w3C28!A:A,[1]Table2_V5_w3C28!D:D,nan(),0)</f>
        <v>132.19900000000001</v>
      </c>
      <c r="D116" s="8" cm="1">
        <f t="array" aca="1" ref="D116" ca="1">_xlfn.XLOOKUP(A116,[1]Table2_V5_w3C28!A:A,[1]Table2_V5_w3C28!E:E,nan(),0)</f>
        <v>44.937800000000003</v>
      </c>
      <c r="E116" s="1">
        <f>_xlfn.XLOOKUP($A116,[1]Table7_badETA!$A:$A,[1]Table7_badETA!C:C,"-",0)</f>
        <v>5.0369999999999998E-2</v>
      </c>
      <c r="F116" s="1">
        <f>_xlfn.XLOOKUP($A116,[1]Table7_badETA!$A:$A,[1]Table7_badETA!E:E,"-",0)</f>
        <v>1.618E-2</v>
      </c>
      <c r="G116" s="5">
        <f>_xlfn.XLOOKUP($A116,[1]Table7_badETA!$A:$A,[1]Table7_badETA!F:F,"-",0)</f>
        <v>3.17E-9</v>
      </c>
      <c r="H116" s="6">
        <f>_xlfn.XLOOKUP($A116,[1]Table7_badETA!$A:$A,[1]Table7_badETA!H:H,"-",0)</f>
        <v>4.4900000000000001E-7</v>
      </c>
      <c r="I116" s="2">
        <f>_xlfn.XLOOKUP($A116,[1]Table7_badETA!$A:$A,[1]Table7_badETA!M:M,"-",0)</f>
        <v>0.91149999999999998</v>
      </c>
      <c r="J116" s="2">
        <f>_xlfn.XLOOKUP($A116,[1]Table7_badETA!$A:$A,[1]Table7_badETA!O:O,"-",0)</f>
        <v>2.7720000000000002E-2</v>
      </c>
      <c r="K116" s="2">
        <f>_xlfn.XLOOKUP($A116,[1]morph_04R500.dat!$A:$A,[1]morph_04R500.dat!P:P,"-",0)</f>
        <v>-25.53</v>
      </c>
      <c r="L116" s="2">
        <f>_xlfn.XLOOKUP($A116,[1]morph_04R500.dat!$A:$A,[1]morph_04R500.dat!R:R,"-",0)</f>
        <v>9.3469999999999995</v>
      </c>
      <c r="M116" s="2" t="str">
        <f>_xlfn.XLOOKUP($A116,[1]Table7_badETA!$A:$A,[1]Table7_badETA!T:T,"-",0)</f>
        <v>-</v>
      </c>
      <c r="N116" s="2" t="str">
        <f>_xlfn.XLOOKUP($A116,[1]Table7_badETA!$A:$A,[1]Table7_badETA!U:U,"-",0)</f>
        <v>-</v>
      </c>
      <c r="O116" s="7">
        <f>_xlfn.XLOOKUP($A116,[1]Table7_badETA!$A:$A,[1]Table7_badETA!S:S,"-",0)</f>
        <v>197.25707</v>
      </c>
    </row>
    <row r="117" spans="1:15" x14ac:dyDescent="0.2">
      <c r="A117" s="8" t="s">
        <v>128</v>
      </c>
      <c r="B117" s="8" cm="1">
        <f t="array" aca="1" ref="B117" ca="1">_xlfn.XLOOKUP(A117,[1]Table2_V5_w3C28!A:A,[1]Table2_V5_w3C28!B:B,nan(),0)</f>
        <v>0.371</v>
      </c>
      <c r="C117" s="8" cm="1">
        <f t="array" aca="1" ref="C117" ca="1">_xlfn.XLOOKUP(A117,[1]Table2_V5_w3C28!A:A,[1]Table2_V5_w3C28!D:D,nan(),0)</f>
        <v>132.91210000000001</v>
      </c>
      <c r="D117" s="8" cm="1">
        <f t="array" aca="1" ref="D117" ca="1">_xlfn.XLOOKUP(A117,[1]Table2_V5_w3C28!A:A,[1]Table2_V5_w3C28!E:E,nan(),0)</f>
        <v>33.518799999999999</v>
      </c>
      <c r="E117" s="1">
        <f>_xlfn.XLOOKUP($A117,[1]Table7_badETA!$A:$A,[1]Table7_badETA!C:C,"-",0)</f>
        <v>2.529E-2</v>
      </c>
      <c r="F117" s="1">
        <f>_xlfn.XLOOKUP($A117,[1]Table7_badETA!$A:$A,[1]Table7_badETA!E:E,"-",0)</f>
        <v>6.1409999999999998E-3</v>
      </c>
      <c r="G117" s="5">
        <f>_xlfn.XLOOKUP($A117,[1]Table7_badETA!$A:$A,[1]Table7_badETA!F:F,"-",0)</f>
        <v>4.1399999999999997E-7</v>
      </c>
      <c r="H117" s="6">
        <f>_xlfn.XLOOKUP($A117,[1]Table7_badETA!$A:$A,[1]Table7_badETA!H:H,"-",0)</f>
        <v>3.1800000000000002E-7</v>
      </c>
      <c r="I117" s="2">
        <f>_xlfn.XLOOKUP($A117,[1]Table7_badETA!$A:$A,[1]Table7_badETA!M:M,"-",0)</f>
        <v>0.84499999999999997</v>
      </c>
      <c r="J117" s="2">
        <f>_xlfn.XLOOKUP($A117,[1]Table7_badETA!$A:$A,[1]Table7_badETA!O:O,"-",0)</f>
        <v>1.968E-2</v>
      </c>
      <c r="K117" s="2">
        <f>_xlfn.XLOOKUP($A117,[1]morph_04R500.dat!$A:$A,[1]morph_04R500.dat!P:P,"-",0)</f>
        <v>-63.04</v>
      </c>
      <c r="L117" s="2">
        <f>_xlfn.XLOOKUP($A117,[1]morph_04R500.dat!$A:$A,[1]morph_04R500.dat!R:R,"-",0)</f>
        <v>3.9740000000000002</v>
      </c>
      <c r="M117" s="2" t="str">
        <f>_xlfn.XLOOKUP($A117,[1]Table7_badETA!$A:$A,[1]Table7_badETA!T:T,"-",0)</f>
        <v>-</v>
      </c>
      <c r="N117" s="2" t="str">
        <f>_xlfn.XLOOKUP($A117,[1]Table7_badETA!$A:$A,[1]Table7_badETA!U:U,"-",0)</f>
        <v>-</v>
      </c>
      <c r="O117" s="7">
        <f>_xlfn.XLOOKUP($A117,[1]Table7_badETA!$A:$A,[1]Table7_badETA!S:S,"-",0)</f>
        <v>452.37423000000001</v>
      </c>
    </row>
    <row r="118" spans="1:15" x14ac:dyDescent="0.2">
      <c r="A118" s="8" t="s">
        <v>129</v>
      </c>
      <c r="B118" s="8" cm="1">
        <f t="array" aca="1" ref="B118" ca="1">_xlfn.XLOOKUP(A118,[1]Table2_V5_w3C28!A:A,[1]Table2_V5_w3C28!B:B,nan(),0)</f>
        <v>0.23</v>
      </c>
      <c r="C118" s="8" cm="1">
        <f t="array" aca="1" ref="C118" ca="1">_xlfn.XLOOKUP(A118,[1]Table2_V5_w3C28!A:A,[1]Table2_V5_w3C28!D:D,nan(),0)</f>
        <v>135.15350000000001</v>
      </c>
      <c r="D118" s="8" cm="1">
        <f t="array" aca="1" ref="D118" ca="1">_xlfn.XLOOKUP(A118,[1]Table2_V5_w3C28!A:A,[1]Table2_V5_w3C28!E:E,nan(),0)</f>
        <v>20.894400000000001</v>
      </c>
      <c r="E118" s="1">
        <f>_xlfn.XLOOKUP($A118,[1]Table7_badETA!$A:$A,[1]Table7_badETA!C:C,"-",0)</f>
        <v>3.977E-2</v>
      </c>
      <c r="F118" s="1">
        <f>_xlfn.XLOOKUP($A118,[1]Table7_badETA!$A:$A,[1]Table7_badETA!E:E,"-",0)</f>
        <v>5.7109999999999999E-3</v>
      </c>
      <c r="G118" s="5">
        <f>_xlfn.XLOOKUP($A118,[1]Table7_badETA!$A:$A,[1]Table7_badETA!F:F,"-",0)</f>
        <v>6.0899999999999996E-8</v>
      </c>
      <c r="H118" s="6">
        <f>_xlfn.XLOOKUP($A118,[1]Table7_badETA!$A:$A,[1]Table7_badETA!H:H,"-",0)</f>
        <v>2.7199999999999999E-8</v>
      </c>
      <c r="I118" s="2">
        <f>_xlfn.XLOOKUP($A118,[1]Table7_badETA!$A:$A,[1]Table7_badETA!M:M,"-",0)</f>
        <v>0.86470000000000002</v>
      </c>
      <c r="J118" s="2">
        <f>_xlfn.XLOOKUP($A118,[1]Table7_badETA!$A:$A,[1]Table7_badETA!O:O,"-",0)</f>
        <v>7.3039999999999997E-3</v>
      </c>
      <c r="K118" s="2">
        <f>_xlfn.XLOOKUP($A118,[1]morph_04R500.dat!$A:$A,[1]morph_04R500.dat!P:P,"-",0)</f>
        <v>51.33</v>
      </c>
      <c r="L118" s="2">
        <f>_xlfn.XLOOKUP($A118,[1]morph_04R500.dat!$A:$A,[1]morph_04R500.dat!R:R,"-",0)</f>
        <v>1.3720000000000001</v>
      </c>
      <c r="M118" s="2">
        <f>_xlfn.XLOOKUP($A118,[1]Table7_badETA!$A:$A,[1]Table7_badETA!T:T,"-",0)</f>
        <v>0.77470988395358142</v>
      </c>
      <c r="N118" s="2">
        <f>_xlfn.XLOOKUP($A118,[1]Table7_badETA!$A:$A,[1]Table7_badETA!U:U,"-",0)</f>
        <v>7.3381132658381877E-3</v>
      </c>
      <c r="O118" s="7">
        <f>_xlfn.XLOOKUP($A118,[1]Table7_badETA!$A:$A,[1]Table7_badETA!S:S,"-",0)</f>
        <v>381.81675000000001</v>
      </c>
    </row>
    <row r="119" spans="1:15" x14ac:dyDescent="0.2">
      <c r="A119" s="8" t="s">
        <v>130</v>
      </c>
      <c r="B119" s="8" cm="1">
        <f t="array" aca="1" ref="B119" ca="1">_xlfn.XLOOKUP(A119,[1]Table2_V5_w3C28!A:A,[1]Table2_V5_w3C28!B:B,nan(),0)</f>
        <v>7.2999999999999995E-2</v>
      </c>
      <c r="C119" s="8" cm="1">
        <f t="array" aca="1" ref="C119" ca="1">_xlfn.XLOOKUP(A119,[1]Table2_V5_w3C28!A:A,[1]Table2_V5_w3C28!D:D,nan(),0)</f>
        <v>136.8355</v>
      </c>
      <c r="D119" s="8" cm="1">
        <f t="array" aca="1" ref="D119" ca="1">_xlfn.XLOOKUP(A119,[1]Table2_V5_w3C28!A:A,[1]Table2_V5_w3C28!E:E,nan(),0)</f>
        <v>16.651700000000002</v>
      </c>
      <c r="E119" s="1">
        <f>_xlfn.XLOOKUP($A119,[1]Table7_badETA!$A:$A,[1]Table7_badETA!C:C,"-",0)</f>
        <v>2.9430000000000001E-2</v>
      </c>
      <c r="F119" s="1">
        <f>_xlfn.XLOOKUP($A119,[1]Table7_badETA!$A:$A,[1]Table7_badETA!E:E,"-",0)</f>
        <v>7.45E-3</v>
      </c>
      <c r="G119" s="5">
        <f>_xlfn.XLOOKUP($A119,[1]Table7_badETA!$A:$A,[1]Table7_badETA!F:F,"-",0)</f>
        <v>8.7800000000000005E-8</v>
      </c>
      <c r="H119" s="6">
        <f>_xlfn.XLOOKUP($A119,[1]Table7_badETA!$A:$A,[1]Table7_badETA!H:H,"-",0)</f>
        <v>4.8699999999999999E-8</v>
      </c>
      <c r="I119" s="2">
        <f>_xlfn.XLOOKUP($A119,[1]Table7_badETA!$A:$A,[1]Table7_badETA!M:M,"-",0)</f>
        <v>0.98529999999999995</v>
      </c>
      <c r="J119" s="2">
        <f>_xlfn.XLOOKUP($A119,[1]Table7_badETA!$A:$A,[1]Table7_badETA!O:O,"-",0)</f>
        <v>1.35E-2</v>
      </c>
      <c r="K119" s="2">
        <f>_xlfn.XLOOKUP($A119,[1]morph_04R500.dat!$A:$A,[1]morph_04R500.dat!P:P,"-",0)</f>
        <v>83.92</v>
      </c>
      <c r="L119" s="2">
        <f>_xlfn.XLOOKUP($A119,[1]morph_04R500.dat!$A:$A,[1]morph_04R500.dat!R:R,"-",0)</f>
        <v>24.91</v>
      </c>
      <c r="M119" s="2">
        <f>_xlfn.XLOOKUP($A119,[1]Table7_badETA!$A:$A,[1]Table7_badETA!T:T,"-",0)</f>
        <v>0.54771505376344098</v>
      </c>
      <c r="N119" s="2">
        <f>_xlfn.XLOOKUP($A119,[1]Table7_badETA!$A:$A,[1]Table7_badETA!U:U,"-",0)</f>
        <v>2.9512192628363628E-2</v>
      </c>
      <c r="O119" s="7">
        <f>_xlfn.XLOOKUP($A119,[1]Table7_badETA!$A:$A,[1]Table7_badETA!S:S,"-",0)</f>
        <v>292.58161999999999</v>
      </c>
    </row>
    <row r="120" spans="1:15" x14ac:dyDescent="0.2">
      <c r="A120" s="8" t="s">
        <v>131</v>
      </c>
      <c r="B120" s="8" cm="1">
        <f t="array" aca="1" ref="B120" ca="1">_xlfn.XLOOKUP(A120,[1]Table2_V5_w3C28!A:A,[1]Table2_V5_w3C28!B:B,nan(),0)</f>
        <v>0.18</v>
      </c>
      <c r="C120" s="8" cm="1">
        <f t="array" aca="1" ref="C120" ca="1">_xlfn.XLOOKUP(A120,[1]Table2_V5_w3C28!A:A,[1]Table2_V5_w3C28!D:D,nan(),0)</f>
        <v>137.3031</v>
      </c>
      <c r="D120" s="8" cm="1">
        <f t="array" aca="1" ref="D120" ca="1">_xlfn.XLOOKUP(A120,[1]Table2_V5_w3C28!A:A,[1]Table2_V5_w3C28!E:E,nan(),0)</f>
        <v>10.9748</v>
      </c>
      <c r="E120" s="1">
        <f>_xlfn.XLOOKUP($A120,[1]Table7_badETA!$A:$A,[1]Table7_badETA!C:C,"-",0)</f>
        <v>1.025E-2</v>
      </c>
      <c r="F120" s="1">
        <f>_xlfn.XLOOKUP($A120,[1]Table7_badETA!$A:$A,[1]Table7_badETA!E:E,"-",0)</f>
        <v>1.343E-3</v>
      </c>
      <c r="G120" s="5">
        <f>_xlfn.XLOOKUP($A120,[1]Table7_badETA!$A:$A,[1]Table7_badETA!F:F,"-",0)</f>
        <v>1.68E-9</v>
      </c>
      <c r="H120" s="6">
        <f>_xlfn.XLOOKUP($A120,[1]Table7_badETA!$A:$A,[1]Table7_badETA!H:H,"-",0)</f>
        <v>6.9699999999999997E-9</v>
      </c>
      <c r="I120" s="2">
        <f>_xlfn.XLOOKUP($A120,[1]Table7_badETA!$A:$A,[1]Table7_badETA!M:M,"-",0)</f>
        <v>0.89970000000000006</v>
      </c>
      <c r="J120" s="2">
        <f>_xlfn.XLOOKUP($A120,[1]Table7_badETA!$A:$A,[1]Table7_badETA!O:O,"-",0)</f>
        <v>7.241E-3</v>
      </c>
      <c r="K120" s="2">
        <f>_xlfn.XLOOKUP($A120,[1]morph_04R500.dat!$A:$A,[1]morph_04R500.dat!P:P,"-",0)</f>
        <v>75.569999999999993</v>
      </c>
      <c r="L120" s="2">
        <f>_xlfn.XLOOKUP($A120,[1]morph_04R500.dat!$A:$A,[1]morph_04R500.dat!R:R,"-",0)</f>
        <v>2.165</v>
      </c>
      <c r="M120" s="2">
        <f>_xlfn.XLOOKUP($A120,[1]Table7_badETA!$A:$A,[1]Table7_badETA!T:T,"-",0)</f>
        <v>0.55223342939481268</v>
      </c>
      <c r="N120" s="2">
        <f>_xlfn.XLOOKUP($A120,[1]Table7_badETA!$A:$A,[1]Table7_badETA!U:U,"-",0)</f>
        <v>1.0042242411940887E-2</v>
      </c>
      <c r="O120" s="7">
        <f>_xlfn.XLOOKUP($A120,[1]Table7_badETA!$A:$A,[1]Table7_badETA!S:S,"-",0)</f>
        <v>423.02769999999998</v>
      </c>
    </row>
    <row r="121" spans="1:15" x14ac:dyDescent="0.2">
      <c r="A121" s="8" t="s">
        <v>132</v>
      </c>
      <c r="B121" s="8" cm="1">
        <f t="array" aca="1" ref="B121" ca="1">_xlfn.XLOOKUP(A121,[1]Table2_V5_w3C28!A:A,[1]Table2_V5_w3C28!B:B,nan(),0)</f>
        <v>0.442</v>
      </c>
      <c r="C121" s="8" cm="1">
        <f t="array" aca="1" ref="C121" ca="1">_xlfn.XLOOKUP(A121,[1]Table2_V5_w3C28!A:A,[1]Table2_V5_w3C28!D:D,nan(),0)</f>
        <v>138.43950000000001</v>
      </c>
      <c r="D121" s="8" cm="1">
        <f t="array" aca="1" ref="D121" ca="1">_xlfn.XLOOKUP(A121,[1]Table2_V5_w3C28!A:A,[1]Table2_V5_w3C28!E:E,nan(),0)</f>
        <v>40.941299999999998</v>
      </c>
      <c r="E121" s="1">
        <f>_xlfn.XLOOKUP($A121,[1]Table7_badETA!$A:$A,[1]Table7_badETA!C:C,"-",0)</f>
        <v>7.3929999999999996E-2</v>
      </c>
      <c r="F121" s="1">
        <f>_xlfn.XLOOKUP($A121,[1]Table7_badETA!$A:$A,[1]Table7_badETA!E:E,"-",0)</f>
        <v>5.424E-3</v>
      </c>
      <c r="G121" s="5">
        <f>_xlfn.XLOOKUP($A121,[1]Table7_badETA!$A:$A,[1]Table7_badETA!F:F,"-",0)</f>
        <v>8.7399999999999992E-9</v>
      </c>
      <c r="H121" s="6">
        <f>_xlfn.XLOOKUP($A121,[1]Table7_badETA!$A:$A,[1]Table7_badETA!H:H,"-",0)</f>
        <v>1.9000000000000001E-8</v>
      </c>
      <c r="I121" s="2">
        <f>_xlfn.XLOOKUP($A121,[1]Table7_badETA!$A:$A,[1]Table7_badETA!M:M,"-",0)</f>
        <v>0.93379999999999996</v>
      </c>
      <c r="J121" s="2">
        <f>_xlfn.XLOOKUP($A121,[1]Table7_badETA!$A:$A,[1]Table7_badETA!O:O,"-",0)</f>
        <v>9.2759999999999995E-3</v>
      </c>
      <c r="K121" s="2">
        <f>_xlfn.XLOOKUP($A121,[1]morph_04R500.dat!$A:$A,[1]morph_04R500.dat!P:P,"-",0)</f>
        <v>-74.959999999999994</v>
      </c>
      <c r="L121" s="2">
        <f>_xlfn.XLOOKUP($A121,[1]morph_04R500.dat!$A:$A,[1]morph_04R500.dat!R:R,"-",0)</f>
        <v>4.3650000000000002</v>
      </c>
      <c r="M121" s="2">
        <f>_xlfn.XLOOKUP($A121,[1]Table7_badETA!$A:$A,[1]Table7_badETA!T:T,"-",0)</f>
        <v>0.78872405756353814</v>
      </c>
      <c r="N121" s="2">
        <f>_xlfn.XLOOKUP($A121,[1]Table7_badETA!$A:$A,[1]Table7_badETA!U:U,"-",0)</f>
        <v>7.5467888126812153E-3</v>
      </c>
      <c r="O121" s="7">
        <f>_xlfn.XLOOKUP($A121,[1]Table7_badETA!$A:$A,[1]Table7_badETA!S:S,"-",0)</f>
        <v>399.66257000000002</v>
      </c>
    </row>
    <row r="122" spans="1:15" x14ac:dyDescent="0.2">
      <c r="A122" s="8" t="s">
        <v>133</v>
      </c>
      <c r="B122" s="8" cm="1">
        <f t="array" aca="1" ref="B122" ca="1">_xlfn.XLOOKUP(A122,[1]Table2_V5_w3C28!A:A,[1]Table2_V5_w3C28!B:B,nan(),0)</f>
        <v>0.217</v>
      </c>
      <c r="C122" s="8" cm="1">
        <f t="array" aca="1" ref="C122" ca="1">_xlfn.XLOOKUP(A122,[1]Table2_V5_w3C28!A:A,[1]Table2_V5_w3C28!D:D,nan(),0)</f>
        <v>139.47110000000001</v>
      </c>
      <c r="D122" s="8" cm="1">
        <f t="array" aca="1" ref="D122" ca="1">_xlfn.XLOOKUP(A122,[1]Table2_V5_w3C28!A:A,[1]Table2_V5_w3C28!E:E,nan(),0)</f>
        <v>51.728000000000002</v>
      </c>
      <c r="E122" s="1">
        <f>_xlfn.XLOOKUP($A122,[1]Table7_badETA!$A:$A,[1]Table7_badETA!C:C,"-",0)</f>
        <v>2.9180000000000001E-2</v>
      </c>
      <c r="F122" s="1">
        <f>_xlfn.XLOOKUP($A122,[1]Table7_badETA!$A:$A,[1]Table7_badETA!E:E,"-",0)</f>
        <v>5.8890000000000001E-3</v>
      </c>
      <c r="G122" s="5">
        <f>_xlfn.XLOOKUP($A122,[1]Table7_badETA!$A:$A,[1]Table7_badETA!F:F,"-",0)</f>
        <v>6.3899999999999996E-9</v>
      </c>
      <c r="H122" s="6">
        <f>_xlfn.XLOOKUP($A122,[1]Table7_badETA!$A:$A,[1]Table7_badETA!H:H,"-",0)</f>
        <v>1.28E-8</v>
      </c>
      <c r="I122" s="2">
        <f>_xlfn.XLOOKUP($A122,[1]Table7_badETA!$A:$A,[1]Table7_badETA!M:M,"-",0)</f>
        <v>0.88139999999999996</v>
      </c>
      <c r="J122" s="2">
        <f>_xlfn.XLOOKUP($A122,[1]Table7_badETA!$A:$A,[1]Table7_badETA!O:O,"-",0)</f>
        <v>5.4900000000000001E-3</v>
      </c>
      <c r="K122" s="2">
        <f>_xlfn.XLOOKUP($A122,[1]morph_04R500.dat!$A:$A,[1]morph_04R500.dat!P:P,"-",0)</f>
        <v>81.540000000000006</v>
      </c>
      <c r="L122" s="2">
        <f>_xlfn.XLOOKUP($A122,[1]morph_04R500.dat!$A:$A,[1]morph_04R500.dat!R:R,"-",0)</f>
        <v>1.7829999999999999</v>
      </c>
      <c r="M122" s="2">
        <f>_xlfn.XLOOKUP($A122,[1]Table7_badETA!$A:$A,[1]Table7_badETA!T:T,"-",0)</f>
        <v>0.49822015334063524</v>
      </c>
      <c r="N122" s="2">
        <f>_xlfn.XLOOKUP($A122,[1]Table7_badETA!$A:$A,[1]Table7_badETA!U:U,"-",0)</f>
        <v>8.3008161850951327E-3</v>
      </c>
      <c r="O122" s="7">
        <f>_xlfn.XLOOKUP($A122,[1]Table7_badETA!$A:$A,[1]Table7_badETA!S:S,"-",0)</f>
        <v>525.81614000000002</v>
      </c>
    </row>
    <row r="123" spans="1:15" x14ac:dyDescent="0.2">
      <c r="A123" s="8" t="s">
        <v>134</v>
      </c>
      <c r="B123" s="8" cm="1">
        <f t="array" aca="1" ref="B123" ca="1">_xlfn.XLOOKUP(A123,[1]Table2_V5_w3C28!A:A,[1]Table2_V5_w3C28!B:B,nan(),0)</f>
        <v>0.28899999999999998</v>
      </c>
      <c r="C123" s="8" cm="1">
        <f t="array" aca="1" ref="C123" ca="1">_xlfn.XLOOKUP(A123,[1]Table2_V5_w3C28!A:A,[1]Table2_V5_w3C28!D:D,nan(),0)</f>
        <v>139.65020000000001</v>
      </c>
      <c r="D123" s="8" cm="1">
        <f t="array" aca="1" ref="D123" ca="1">_xlfn.XLOOKUP(A123,[1]Table2_V5_w3C28!A:A,[1]Table2_V5_w3C28!E:E,nan(),0)</f>
        <v>29.8919</v>
      </c>
      <c r="E123" s="1">
        <f>_xlfn.XLOOKUP($A123,[1]Table7_badETA!$A:$A,[1]Table7_badETA!C:C,"-",0)</f>
        <v>0.1331</v>
      </c>
      <c r="F123" s="1">
        <f>_xlfn.XLOOKUP($A123,[1]Table7_badETA!$A:$A,[1]Table7_badETA!E:E,"-",0)</f>
        <v>0.20419999999999999</v>
      </c>
      <c r="G123" s="5">
        <f>_xlfn.XLOOKUP($A123,[1]Table7_badETA!$A:$A,[1]Table7_badETA!F:F,"-",0)</f>
        <v>1.13E-6</v>
      </c>
      <c r="H123" s="6">
        <f>_xlfn.XLOOKUP($A123,[1]Table7_badETA!$A:$A,[1]Table7_badETA!H:H,"-",0)</f>
        <v>1.99E-6</v>
      </c>
      <c r="I123" s="2">
        <f>_xlfn.XLOOKUP($A123,[1]Table7_badETA!$A:$A,[1]Table7_badETA!M:M,"-",0)</f>
        <v>0.90239999999999998</v>
      </c>
      <c r="J123" s="2">
        <f>_xlfn.XLOOKUP($A123,[1]Table7_badETA!$A:$A,[1]Table7_badETA!O:O,"-",0)</f>
        <v>8.48E-2</v>
      </c>
      <c r="K123" s="2">
        <f>_xlfn.XLOOKUP($A123,[1]morph_04R500.dat!$A:$A,[1]morph_04R500.dat!P:P,"-",0)</f>
        <v>61.76</v>
      </c>
      <c r="L123" s="2">
        <f>_xlfn.XLOOKUP($A123,[1]morph_04R500.dat!$A:$A,[1]morph_04R500.dat!R:R,"-",0)</f>
        <v>18.239999999999998</v>
      </c>
      <c r="M123" s="2" t="str">
        <f>_xlfn.XLOOKUP($A123,[1]Table7_badETA!$A:$A,[1]Table7_badETA!T:T,"-",0)</f>
        <v>-</v>
      </c>
      <c r="N123" s="2" t="str">
        <f>_xlfn.XLOOKUP($A123,[1]Table7_badETA!$A:$A,[1]Table7_badETA!U:U,"-",0)</f>
        <v>-</v>
      </c>
      <c r="O123" s="7">
        <f>_xlfn.XLOOKUP($A123,[1]Table7_badETA!$A:$A,[1]Table7_badETA!S:S,"-",0)</f>
        <v>239.57297</v>
      </c>
    </row>
    <row r="124" spans="1:15" x14ac:dyDescent="0.2">
      <c r="A124" s="8" t="s">
        <v>135</v>
      </c>
      <c r="B124" s="8" cm="1">
        <f t="array" aca="1" ref="B124" ca="1">_xlfn.XLOOKUP(A124,[1]Table2_V5_w3C28!A:A,[1]Table2_V5_w3C28!B:B,nan(),0)</f>
        <v>0.25800000000000001</v>
      </c>
      <c r="C124" s="8" cm="1">
        <f t="array" aca="1" ref="C124" ca="1">_xlfn.XLOOKUP(A124,[1]Table2_V5_w3C28!A:A,[1]Table2_V5_w3C28!D:D,nan(),0)</f>
        <v>140.11179999999999</v>
      </c>
      <c r="D124" s="8" cm="1">
        <f t="array" aca="1" ref="D124" ca="1">_xlfn.XLOOKUP(A124,[1]Table2_V5_w3C28!A:A,[1]Table2_V5_w3C28!E:E,nan(),0)</f>
        <v>30.492699999999999</v>
      </c>
      <c r="E124" s="1">
        <f>_xlfn.XLOOKUP($A124,[1]Table7_badETA!$A:$A,[1]Table7_badETA!C:C,"-",0)</f>
        <v>0.19950000000000001</v>
      </c>
      <c r="F124" s="1">
        <f>_xlfn.XLOOKUP($A124,[1]Table7_badETA!$A:$A,[1]Table7_badETA!E:E,"-",0)</f>
        <v>1.1860000000000001E-2</v>
      </c>
      <c r="G124" s="5">
        <f>_xlfn.XLOOKUP($A124,[1]Table7_badETA!$A:$A,[1]Table7_badETA!F:F,"-",0)</f>
        <v>6.8800000000000002E-7</v>
      </c>
      <c r="H124" s="6">
        <f>_xlfn.XLOOKUP($A124,[1]Table7_badETA!$A:$A,[1]Table7_badETA!H:H,"-",0)</f>
        <v>2.2399999999999999E-7</v>
      </c>
      <c r="I124" s="2">
        <f>_xlfn.XLOOKUP($A124,[1]Table7_badETA!$A:$A,[1]Table7_badETA!M:M,"-",0)</f>
        <v>0.93</v>
      </c>
      <c r="J124" s="2">
        <f>_xlfn.XLOOKUP($A124,[1]Table7_badETA!$A:$A,[1]Table7_badETA!O:O,"-",0)</f>
        <v>1.0160000000000001E-2</v>
      </c>
      <c r="K124" s="2">
        <f>_xlfn.XLOOKUP($A124,[1]morph_04R500.dat!$A:$A,[1]morph_04R500.dat!P:P,"-",0)</f>
        <v>-40.04</v>
      </c>
      <c r="L124" s="2">
        <f>_xlfn.XLOOKUP($A124,[1]morph_04R500.dat!$A:$A,[1]morph_04R500.dat!R:R,"-",0)</f>
        <v>4.2489999999999997</v>
      </c>
      <c r="M124" s="2">
        <f>_xlfn.XLOOKUP($A124,[1]Table7_badETA!$A:$A,[1]Table7_badETA!T:T,"-",0)</f>
        <v>0.30665321450591332</v>
      </c>
      <c r="N124" s="2">
        <f>_xlfn.XLOOKUP($A124,[1]Table7_badETA!$A:$A,[1]Table7_badETA!U:U,"-",0)</f>
        <v>1.3157883607324256E-2</v>
      </c>
      <c r="O124" s="7">
        <f>_xlfn.XLOOKUP($A124,[1]Table7_badETA!$A:$A,[1]Table7_badETA!S:S,"-",0)</f>
        <v>449.12150000000003</v>
      </c>
    </row>
    <row r="125" spans="1:15" x14ac:dyDescent="0.2">
      <c r="A125" s="8" t="s">
        <v>136</v>
      </c>
      <c r="B125" s="8" cm="1">
        <f t="array" aca="1" ref="B125" ca="1">_xlfn.XLOOKUP(A125,[1]Table2_V5_w3C28!A:A,[1]Table2_V5_w3C28!B:B,nan(),0)</f>
        <v>0.28000000000000003</v>
      </c>
      <c r="C125" s="8" cm="1">
        <f t="array" aca="1" ref="C125" ca="1">_xlfn.XLOOKUP(A125,[1]Table2_V5_w3C28!A:A,[1]Table2_V5_w3C28!D:D,nan(),0)</f>
        <v>140.5428</v>
      </c>
      <c r="D125" s="8" cm="1">
        <f t="array" aca="1" ref="D125" ca="1">_xlfn.XLOOKUP(A125,[1]Table2_V5_w3C28!A:A,[1]Table2_V5_w3C28!E:E,nan(),0)</f>
        <v>3.7774999999999999</v>
      </c>
      <c r="E125" s="1">
        <f>_xlfn.XLOOKUP($A125,[1]Table7_badETA!$A:$A,[1]Table7_badETA!C:C,"-",0)</f>
        <v>0.1197</v>
      </c>
      <c r="F125" s="1">
        <f>_xlfn.XLOOKUP($A125,[1]Table7_badETA!$A:$A,[1]Table7_badETA!E:E,"-",0)</f>
        <v>1.238E-2</v>
      </c>
      <c r="G125" s="5">
        <f>_xlfn.XLOOKUP($A125,[1]Table7_badETA!$A:$A,[1]Table7_badETA!F:F,"-",0)</f>
        <v>9.0499999999999996E-8</v>
      </c>
      <c r="H125" s="6">
        <f>_xlfn.XLOOKUP($A125,[1]Table7_badETA!$A:$A,[1]Table7_badETA!H:H,"-",0)</f>
        <v>2.8299999999999998E-7</v>
      </c>
      <c r="I125" s="2">
        <f>_xlfn.XLOOKUP($A125,[1]Table7_badETA!$A:$A,[1]Table7_badETA!M:M,"-",0)</f>
        <v>0.87560000000000004</v>
      </c>
      <c r="J125" s="2">
        <f>_xlfn.XLOOKUP($A125,[1]Table7_badETA!$A:$A,[1]Table7_badETA!O:O,"-",0)</f>
        <v>2.1219999999999999E-2</v>
      </c>
      <c r="K125" s="2">
        <f>_xlfn.XLOOKUP($A125,[1]morph_04R500.dat!$A:$A,[1]morph_04R500.dat!P:P,"-",0)</f>
        <v>45.48</v>
      </c>
      <c r="L125" s="2">
        <f>_xlfn.XLOOKUP($A125,[1]morph_04R500.dat!$A:$A,[1]morph_04R500.dat!R:R,"-",0)</f>
        <v>5.0839999999999996</v>
      </c>
      <c r="M125" s="2" t="str">
        <f>_xlfn.XLOOKUP($A125,[1]Table7_badETA!$A:$A,[1]Table7_badETA!T:T,"-",0)</f>
        <v>-</v>
      </c>
      <c r="N125" s="2" t="str">
        <f>_xlfn.XLOOKUP($A125,[1]Table7_badETA!$A:$A,[1]Table7_badETA!U:U,"-",0)</f>
        <v>-</v>
      </c>
      <c r="O125" s="7">
        <f>_xlfn.XLOOKUP($A125,[1]Table7_badETA!$A:$A,[1]Table7_badETA!S:S,"-",0)</f>
        <v>546.74829</v>
      </c>
    </row>
    <row r="126" spans="1:15" x14ac:dyDescent="0.2">
      <c r="A126" s="8" t="s">
        <v>137</v>
      </c>
      <c r="B126" s="8" cm="1">
        <f t="array" aca="1" ref="B126" ca="1">_xlfn.XLOOKUP(A126,[1]Table2_V5_w3C28!A:A,[1]Table2_V5_w3C28!B:B,nan(),0)</f>
        <v>0.13600000000000001</v>
      </c>
      <c r="C126" s="8" cm="1">
        <f t="array" aca="1" ref="C126" ca="1">_xlfn.XLOOKUP(A126,[1]Table2_V5_w3C28!A:A,[1]Table2_V5_w3C28!D:D,nan(),0)</f>
        <v>141.0241</v>
      </c>
      <c r="D126" s="8" cm="1">
        <f t="array" aca="1" ref="D126" ca="1">_xlfn.XLOOKUP(A126,[1]Table2_V5_w3C28!A:A,[1]Table2_V5_w3C28!E:E,nan(),0)</f>
        <v>14.1739</v>
      </c>
      <c r="E126" s="1">
        <f>_xlfn.XLOOKUP($A126,[1]Table7_badETA!$A:$A,[1]Table7_badETA!C:C,"-",0)</f>
        <v>2.7830000000000001E-2</v>
      </c>
      <c r="F126" s="1">
        <f>_xlfn.XLOOKUP($A126,[1]Table7_badETA!$A:$A,[1]Table7_badETA!E:E,"-",0)</f>
        <v>4.8310000000000002E-3</v>
      </c>
      <c r="G126" s="5">
        <f>_xlfn.XLOOKUP($A126,[1]Table7_badETA!$A:$A,[1]Table7_badETA!F:F,"-",0)</f>
        <v>1.0099999999999999E-8</v>
      </c>
      <c r="H126" s="6">
        <f>_xlfn.XLOOKUP($A126,[1]Table7_badETA!$A:$A,[1]Table7_badETA!H:H,"-",0)</f>
        <v>1.0099999999999999E-8</v>
      </c>
      <c r="I126" s="2">
        <f>_xlfn.XLOOKUP($A126,[1]Table7_badETA!$A:$A,[1]Table7_badETA!M:M,"-",0)</f>
        <v>0.89080000000000004</v>
      </c>
      <c r="J126" s="2">
        <f>_xlfn.XLOOKUP($A126,[1]Table7_badETA!$A:$A,[1]Table7_badETA!O:O,"-",0)</f>
        <v>5.4050000000000001E-3</v>
      </c>
      <c r="K126" s="2">
        <f>_xlfn.XLOOKUP($A126,[1]morph_04R500.dat!$A:$A,[1]morph_04R500.dat!P:P,"-",0)</f>
        <v>-64.84</v>
      </c>
      <c r="L126" s="2">
        <f>_xlfn.XLOOKUP($A126,[1]morph_04R500.dat!$A:$A,[1]morph_04R500.dat!R:R,"-",0)</f>
        <v>1.3620000000000001</v>
      </c>
      <c r="M126" s="2">
        <f>_xlfn.XLOOKUP($A126,[1]Table7_badETA!$A:$A,[1]Table7_badETA!T:T,"-",0)</f>
        <v>0.58196830470102545</v>
      </c>
      <c r="N126" s="2">
        <f>_xlfn.XLOOKUP($A126,[1]Table7_badETA!$A:$A,[1]Table7_badETA!U:U,"-",0)</f>
        <v>8.5247308537512341E-3</v>
      </c>
      <c r="O126" s="7">
        <f>_xlfn.XLOOKUP($A126,[1]Table7_badETA!$A:$A,[1]Table7_badETA!S:S,"-",0)</f>
        <v>429.84688999999997</v>
      </c>
    </row>
    <row r="127" spans="1:15" x14ac:dyDescent="0.2">
      <c r="A127" s="8" t="s">
        <v>138</v>
      </c>
      <c r="B127" s="8" cm="1">
        <f t="array" aca="1" ref="B127" ca="1">_xlfn.XLOOKUP(A127,[1]Table2_V5_w3C28!A:A,[1]Table2_V5_w3C28!B:B,nan(),0)</f>
        <v>2.7E-2</v>
      </c>
      <c r="C127" s="8" cm="1">
        <f t="array" aca="1" ref="C127" ca="1">_xlfn.XLOOKUP(A127,[1]Table2_V5_w3C28!A:A,[1]Table2_V5_w3C28!D:D,nan(),0)</f>
        <v>143.35730000000001</v>
      </c>
      <c r="D127" s="8" cm="1">
        <f t="array" aca="1" ref="D127" ca="1">_xlfn.XLOOKUP(A127,[1]Table2_V5_w3C28!A:A,[1]Table2_V5_w3C28!E:E,nan(),0)</f>
        <v>34.048099999999998</v>
      </c>
      <c r="E127" s="1">
        <f>_xlfn.XLOOKUP($A127,[1]Table7_badETA!$A:$A,[1]Table7_badETA!C:C,"-",0)</f>
        <v>2.2179999999999998E-2</v>
      </c>
      <c r="F127" s="1">
        <f>_xlfn.XLOOKUP($A127,[1]Table7_badETA!$A:$A,[1]Table7_badETA!E:E,"-",0)</f>
        <v>3.1740000000000002E-3</v>
      </c>
      <c r="G127" s="5">
        <f>_xlfn.XLOOKUP($A127,[1]Table7_badETA!$A:$A,[1]Table7_badETA!F:F,"-",0)</f>
        <v>2.4999999999999999E-7</v>
      </c>
      <c r="H127" s="6">
        <f>_xlfn.XLOOKUP($A127,[1]Table7_badETA!$A:$A,[1]Table7_badETA!H:H,"-",0)</f>
        <v>9.9099999999999994E-8</v>
      </c>
      <c r="I127" s="2">
        <f>_xlfn.XLOOKUP($A127,[1]Table7_badETA!$A:$A,[1]Table7_badETA!M:M,"-",0)</f>
        <v>0.95040000000000002</v>
      </c>
      <c r="J127" s="2">
        <f>_xlfn.XLOOKUP($A127,[1]Table7_badETA!$A:$A,[1]Table7_badETA!O:O,"-",0)</f>
        <v>7.6759999999999997E-3</v>
      </c>
      <c r="K127" s="2">
        <f>_xlfn.XLOOKUP($A127,[1]morph_04R500.dat!$A:$A,[1]morph_04R500.dat!P:P,"-",0)</f>
        <v>-48.74</v>
      </c>
      <c r="L127" s="2">
        <f>_xlfn.XLOOKUP($A127,[1]morph_04R500.dat!$A:$A,[1]morph_04R500.dat!R:R,"-",0)</f>
        <v>5.4359999999999999</v>
      </c>
      <c r="M127" s="2">
        <f>_xlfn.XLOOKUP($A127,[1]Table7_badETA!$A:$A,[1]Table7_badETA!T:T,"-",0)</f>
        <v>0.63086139227432347</v>
      </c>
      <c r="N127" s="2">
        <f>_xlfn.XLOOKUP($A127,[1]Table7_badETA!$A:$A,[1]Table7_badETA!U:U,"-",0)</f>
        <v>5.5390757615565028E-2</v>
      </c>
      <c r="O127" s="7">
        <f>_xlfn.XLOOKUP($A127,[1]Table7_badETA!$A:$A,[1]Table7_badETA!S:S,"-",0)</f>
        <v>171.06727000000001</v>
      </c>
    </row>
    <row r="128" spans="1:15" x14ac:dyDescent="0.2">
      <c r="A128" s="8" t="s">
        <v>139</v>
      </c>
      <c r="B128" s="8" cm="1">
        <f t="array" aca="1" ref="B128" ca="1">_xlfn.XLOOKUP(A128,[1]Table2_V5_w3C28!A:A,[1]Table2_V5_w3C28!B:B,nan(),0)</f>
        <v>0.36</v>
      </c>
      <c r="C128" s="8" cm="1">
        <f t="array" aca="1" ref="C128" ca="1">_xlfn.XLOOKUP(A128,[1]Table2_V5_w3C28!A:A,[1]Table2_V5_w3C28!D:D,nan(),0)</f>
        <v>144.5847</v>
      </c>
      <c r="D128" s="8" cm="1">
        <f t="array" aca="1" ref="D128" ca="1">_xlfn.XLOOKUP(A128,[1]Table2_V5_w3C28!A:A,[1]Table2_V5_w3C28!E:E,nan(),0)</f>
        <v>52.048400000000001</v>
      </c>
      <c r="E128" s="1">
        <f>_xlfn.XLOOKUP($A128,[1]Table7_badETA!$A:$A,[1]Table7_badETA!C:C,"-",0)</f>
        <v>9.2780000000000001E-2</v>
      </c>
      <c r="F128" s="1">
        <f>_xlfn.XLOOKUP($A128,[1]Table7_badETA!$A:$A,[1]Table7_badETA!E:E,"-",0)</f>
        <v>4.6410000000000002E-3</v>
      </c>
      <c r="G128" s="5">
        <f>_xlfn.XLOOKUP($A128,[1]Table7_badETA!$A:$A,[1]Table7_badETA!F:F,"-",0)</f>
        <v>2.9200000000000002E-7</v>
      </c>
      <c r="H128" s="6">
        <f>_xlfn.XLOOKUP($A128,[1]Table7_badETA!$A:$A,[1]Table7_badETA!H:H,"-",0)</f>
        <v>1.23E-7</v>
      </c>
      <c r="I128" s="2">
        <f>_xlfn.XLOOKUP($A128,[1]Table7_badETA!$A:$A,[1]Table7_badETA!M:M,"-",0)</f>
        <v>0.85970000000000002</v>
      </c>
      <c r="J128" s="2">
        <f>_xlfn.XLOOKUP($A128,[1]Table7_badETA!$A:$A,[1]Table7_badETA!O:O,"-",0)</f>
        <v>9.4109999999999992E-3</v>
      </c>
      <c r="K128" s="2">
        <f>_xlfn.XLOOKUP($A128,[1]morph_04R500.dat!$A:$A,[1]morph_04R500.dat!P:P,"-",0)</f>
        <v>-52.63</v>
      </c>
      <c r="L128" s="2">
        <f>_xlfn.XLOOKUP($A128,[1]morph_04R500.dat!$A:$A,[1]morph_04R500.dat!R:R,"-",0)</f>
        <v>2.2360000000000002</v>
      </c>
      <c r="M128" s="2">
        <f>_xlfn.XLOOKUP($A128,[1]Table7_badETA!$A:$A,[1]Table7_badETA!T:T,"-",0)</f>
        <v>0.45334731166691628</v>
      </c>
      <c r="N128" s="2">
        <f>_xlfn.XLOOKUP($A128,[1]Table7_badETA!$A:$A,[1]Table7_badETA!U:U,"-",0)</f>
        <v>1.6185879685979739E-2</v>
      </c>
      <c r="O128" s="7">
        <f>_xlfn.XLOOKUP($A128,[1]Table7_badETA!$A:$A,[1]Table7_badETA!S:S,"-",0)</f>
        <v>427.14949000000001</v>
      </c>
    </row>
    <row r="129" spans="1:15" x14ac:dyDescent="0.2">
      <c r="A129" s="8" t="s">
        <v>140</v>
      </c>
      <c r="B129" s="8" cm="1">
        <f t="array" aca="1" ref="B129" ca="1">_xlfn.XLOOKUP(A129,[1]Table2_V5_w3C28!A:A,[1]Table2_V5_w3C28!B:B,nan(),0)</f>
        <v>0.214</v>
      </c>
      <c r="C129" s="8" cm="1">
        <f t="array" aca="1" ref="C129" ca="1">_xlfn.XLOOKUP(A129,[1]Table2_V5_w3C28!A:A,[1]Table2_V5_w3C28!D:D,nan(),0)</f>
        <v>148.2056</v>
      </c>
      <c r="D129" s="8" cm="1">
        <f t="array" aca="1" ref="D129" ca="1">_xlfn.XLOOKUP(A129,[1]Table2_V5_w3C28!A:A,[1]Table2_V5_w3C28!E:E,nan(),0)</f>
        <v>51.8842</v>
      </c>
      <c r="E129" s="1">
        <f>_xlfn.XLOOKUP($A129,[1]Table7_badETA!$A:$A,[1]Table7_badETA!C:C,"-",0)</f>
        <v>2.8299999999999999E-2</v>
      </c>
      <c r="F129" s="1">
        <f>_xlfn.XLOOKUP($A129,[1]Table7_badETA!$A:$A,[1]Table7_badETA!E:E,"-",0)</f>
        <v>6.2049999999999996E-4</v>
      </c>
      <c r="G129" s="5">
        <f>_xlfn.XLOOKUP($A129,[1]Table7_badETA!$A:$A,[1]Table7_badETA!F:F,"-",0)</f>
        <v>2.0399999999999999E-10</v>
      </c>
      <c r="H129" s="6">
        <f>_xlfn.XLOOKUP($A129,[1]Table7_badETA!$A:$A,[1]Table7_badETA!H:H,"-",0)</f>
        <v>1.6999999999999999E-9</v>
      </c>
      <c r="I129" s="2">
        <f>_xlfn.XLOOKUP($A129,[1]Table7_badETA!$A:$A,[1]Table7_badETA!M:M,"-",0)</f>
        <v>0.89139999999999997</v>
      </c>
      <c r="J129" s="2">
        <f>_xlfn.XLOOKUP($A129,[1]Table7_badETA!$A:$A,[1]Table7_badETA!O:O,"-",0)</f>
        <v>3.7260000000000001E-3</v>
      </c>
      <c r="K129" s="2">
        <f>_xlfn.XLOOKUP($A129,[1]morph_04R500.dat!$A:$A,[1]morph_04R500.dat!P:P,"-",0)</f>
        <v>-28.93</v>
      </c>
      <c r="L129" s="2">
        <f>_xlfn.XLOOKUP($A129,[1]morph_04R500.dat!$A:$A,[1]morph_04R500.dat!R:R,"-",0)</f>
        <v>1</v>
      </c>
      <c r="M129" s="2">
        <f>_xlfn.XLOOKUP($A129,[1]Table7_badETA!$A:$A,[1]Table7_badETA!T:T,"-",0)</f>
        <v>0.69406890536415178</v>
      </c>
      <c r="N129" s="2">
        <f>_xlfn.XLOOKUP($A129,[1]Table7_badETA!$A:$A,[1]Table7_badETA!U:U,"-",0)</f>
        <v>5.5920456967761311E-3</v>
      </c>
      <c r="O129" s="7">
        <f>_xlfn.XLOOKUP($A129,[1]Table7_badETA!$A:$A,[1]Table7_badETA!S:S,"-",0)</f>
        <v>441.43662999999998</v>
      </c>
    </row>
    <row r="130" spans="1:15" x14ac:dyDescent="0.2">
      <c r="A130" s="8" t="s">
        <v>141</v>
      </c>
      <c r="B130" s="8" cm="1">
        <f t="array" aca="1" ref="B130" ca="1">_xlfn.XLOOKUP(A130,[1]Table2_V5_w3C28!A:A,[1]Table2_V5_w3C28!B:B,nan(),0)</f>
        <v>0.82799999999999996</v>
      </c>
      <c r="C130" s="8" cm="1">
        <f t="array" aca="1" ref="C130" ca="1">_xlfn.XLOOKUP(A130,[1]Table2_V5_w3C28!A:A,[1]Table2_V5_w3C28!D:D,nan(),0)</f>
        <v>148.57069999999999</v>
      </c>
      <c r="D130" s="8" cm="1">
        <f t="array" aca="1" ref="D130" ca="1">_xlfn.XLOOKUP(A130,[1]Table2_V5_w3C28!A:A,[1]Table2_V5_w3C28!E:E,nan(),0)</f>
        <v>17.634899999999998</v>
      </c>
      <c r="E130" s="1">
        <f>_xlfn.XLOOKUP($A130,[1]Table7_badETA!$A:$A,[1]Table7_badETA!C:C,"-",0)</f>
        <v>1.6539999999999999E-2</v>
      </c>
      <c r="F130" s="1">
        <f>_xlfn.XLOOKUP($A130,[1]Table7_badETA!$A:$A,[1]Table7_badETA!E:E,"-",0)</f>
        <v>6.7669999999999996E-3</v>
      </c>
      <c r="G130" s="5">
        <f>_xlfn.XLOOKUP($A130,[1]Table7_badETA!$A:$A,[1]Table7_badETA!F:F,"-",0)</f>
        <v>3.2000000000000001E-7</v>
      </c>
      <c r="H130" s="6">
        <f>_xlfn.XLOOKUP($A130,[1]Table7_badETA!$A:$A,[1]Table7_badETA!H:H,"-",0)</f>
        <v>5.7000000000000005E-7</v>
      </c>
      <c r="I130" s="2">
        <f>_xlfn.XLOOKUP($A130,[1]Table7_badETA!$A:$A,[1]Table7_badETA!M:M,"-",0)</f>
        <v>0.93910000000000005</v>
      </c>
      <c r="J130" s="2">
        <f>_xlfn.XLOOKUP($A130,[1]Table7_badETA!$A:$A,[1]Table7_badETA!O:O,"-",0)</f>
        <v>2.734E-2</v>
      </c>
      <c r="K130" s="2">
        <f>_xlfn.XLOOKUP($A130,[1]morph_04R500.dat!$A:$A,[1]morph_04R500.dat!P:P,"-",0)</f>
        <v>71.150000000000006</v>
      </c>
      <c r="L130" s="2">
        <f>_xlfn.XLOOKUP($A130,[1]morph_04R500.dat!$A:$A,[1]morph_04R500.dat!R:R,"-",0)</f>
        <v>10.81</v>
      </c>
      <c r="M130" s="2" t="str">
        <f>_xlfn.XLOOKUP($A130,[1]Table7_badETA!$A:$A,[1]Table7_badETA!T:T,"-",0)</f>
        <v>-</v>
      </c>
      <c r="N130" s="2" t="str">
        <f>_xlfn.XLOOKUP($A130,[1]Table7_badETA!$A:$A,[1]Table7_badETA!U:U,"-",0)</f>
        <v>-</v>
      </c>
      <c r="O130" s="7">
        <f>_xlfn.XLOOKUP($A130,[1]Table7_badETA!$A:$A,[1]Table7_badETA!S:S,"-",0)</f>
        <v>293.18311999999997</v>
      </c>
    </row>
    <row r="131" spans="1:15" x14ac:dyDescent="0.2">
      <c r="A131" s="8" t="s">
        <v>142</v>
      </c>
      <c r="B131" s="8" cm="1">
        <f t="array" aca="1" ref="B131" ca="1">_xlfn.XLOOKUP(A131,[1]Table2_V5_w3C28!A:A,[1]Table2_V5_w3C28!B:B,nan(),0)</f>
        <v>0.58699999999999997</v>
      </c>
      <c r="C131" s="8" cm="1">
        <f t="array" aca="1" ref="C131" ca="1">_xlfn.XLOOKUP(A131,[1]Table2_V5_w3C28!A:A,[1]Table2_V5_w3C28!D:D,nan(),0)</f>
        <v>149.01140000000001</v>
      </c>
      <c r="D131" s="8" cm="1">
        <f t="array" aca="1" ref="D131" ca="1">_xlfn.XLOOKUP(A131,[1]Table2_V5_w3C28!A:A,[1]Table2_V5_w3C28!E:E,nan(),0)</f>
        <v>41.122599999999998</v>
      </c>
      <c r="E131" s="1">
        <f>_xlfn.XLOOKUP($A131,[1]Table7_badETA!$A:$A,[1]Table7_badETA!C:C,"-",0)</f>
        <v>5.8450000000000002E-2</v>
      </c>
      <c r="F131" s="1">
        <f>_xlfn.XLOOKUP($A131,[1]Table7_badETA!$A:$A,[1]Table7_badETA!E:E,"-",0)</f>
        <v>1.4080000000000001E-2</v>
      </c>
      <c r="G131" s="5">
        <f>_xlfn.XLOOKUP($A131,[1]Table7_badETA!$A:$A,[1]Table7_badETA!F:F,"-",0)</f>
        <v>7.0500000000000003E-8</v>
      </c>
      <c r="H131" s="6">
        <f>_xlfn.XLOOKUP($A131,[1]Table7_badETA!$A:$A,[1]Table7_badETA!H:H,"-",0)</f>
        <v>3.4900000000000001E-7</v>
      </c>
      <c r="I131" s="2">
        <f>_xlfn.XLOOKUP($A131,[1]Table7_badETA!$A:$A,[1]Table7_badETA!M:M,"-",0)</f>
        <v>0.8196</v>
      </c>
      <c r="J131" s="2">
        <f>_xlfn.XLOOKUP($A131,[1]Table7_badETA!$A:$A,[1]Table7_badETA!O:O,"-",0)</f>
        <v>1.9E-2</v>
      </c>
      <c r="K131" s="2">
        <f>_xlfn.XLOOKUP($A131,[1]morph_04R500.dat!$A:$A,[1]morph_04R500.dat!P:P,"-",0)</f>
        <v>-30.65</v>
      </c>
      <c r="L131" s="2">
        <f>_xlfn.XLOOKUP($A131,[1]morph_04R500.dat!$A:$A,[1]morph_04R500.dat!R:R,"-",0)</f>
        <v>3.1139999999999999</v>
      </c>
      <c r="M131" s="2" t="str">
        <f>_xlfn.XLOOKUP($A131,[1]Table7_badETA!$A:$A,[1]Table7_badETA!T:T,"-",0)</f>
        <v>-</v>
      </c>
      <c r="N131" s="2" t="str">
        <f>_xlfn.XLOOKUP($A131,[1]Table7_badETA!$A:$A,[1]Table7_badETA!U:U,"-",0)</f>
        <v>-</v>
      </c>
      <c r="O131" s="7">
        <f>_xlfn.XLOOKUP($A131,[1]Table7_badETA!$A:$A,[1]Table7_badETA!S:S,"-",0)</f>
        <v>305.34282000000002</v>
      </c>
    </row>
    <row r="132" spans="1:15" x14ac:dyDescent="0.2">
      <c r="A132" s="8" t="s">
        <v>143</v>
      </c>
      <c r="B132" s="8" cm="1">
        <f t="array" aca="1" ref="B132" ca="1">_xlfn.XLOOKUP(A132,[1]Table2_V5_w3C28!A:A,[1]Table2_V5_w3C28!B:B,nan(),0)</f>
        <v>0.153</v>
      </c>
      <c r="C132" s="8" cm="1">
        <f t="array" aca="1" ref="C132" ca="1">_xlfn.XLOOKUP(A132,[1]Table2_V5_w3C28!A:A,[1]Table2_V5_w3C28!D:D,nan(),0)</f>
        <v>149.5917</v>
      </c>
      <c r="D132" s="8" cm="1">
        <f t="array" aca="1" ref="D132" ca="1">_xlfn.XLOOKUP(A132,[1]Table2_V5_w3C28!A:A,[1]Table2_V5_w3C28!E:E,nan(),0)</f>
        <v>-11.064</v>
      </c>
      <c r="E132" s="1">
        <f>_xlfn.XLOOKUP($A132,[1]Table7_badETA!$A:$A,[1]Table7_badETA!C:C,"-",0)</f>
        <v>2.077E-2</v>
      </c>
      <c r="F132" s="1">
        <f>_xlfn.XLOOKUP($A132,[1]Table7_badETA!$A:$A,[1]Table7_badETA!E:E,"-",0)</f>
        <v>9.4620000000000001E-4</v>
      </c>
      <c r="G132" s="5">
        <f>_xlfn.XLOOKUP($A132,[1]Table7_badETA!$A:$A,[1]Table7_badETA!F:F,"-",0)</f>
        <v>8.0800000000000002E-9</v>
      </c>
      <c r="H132" s="6">
        <f>_xlfn.XLOOKUP($A132,[1]Table7_badETA!$A:$A,[1]Table7_badETA!H:H,"-",0)</f>
        <v>4.0400000000000001E-9</v>
      </c>
      <c r="I132" s="2">
        <f>_xlfn.XLOOKUP($A132,[1]Table7_badETA!$A:$A,[1]Table7_badETA!M:M,"-",0)</f>
        <v>0.83679999999999999</v>
      </c>
      <c r="J132" s="2">
        <f>_xlfn.XLOOKUP($A132,[1]Table7_badETA!$A:$A,[1]Table7_badETA!O:O,"-",0)</f>
        <v>2.9250000000000001E-3</v>
      </c>
      <c r="K132" s="2">
        <f>_xlfn.XLOOKUP($A132,[1]morph_04R500.dat!$A:$A,[1]morph_04R500.dat!P:P,"-",0)</f>
        <v>-21.21</v>
      </c>
      <c r="L132" s="2">
        <f>_xlfn.XLOOKUP($A132,[1]morph_04R500.dat!$A:$A,[1]morph_04R500.dat!R:R,"-",0)</f>
        <v>0.53839999999999999</v>
      </c>
      <c r="M132" s="2">
        <f>_xlfn.XLOOKUP($A132,[1]Table7_badETA!$A:$A,[1]Table7_badETA!T:T,"-",0)</f>
        <v>0.67134731603270525</v>
      </c>
      <c r="N132" s="2">
        <f>_xlfn.XLOOKUP($A132,[1]Table7_badETA!$A:$A,[1]Table7_badETA!U:U,"-",0)</f>
        <v>5.757216456448601E-3</v>
      </c>
      <c r="O132" s="7">
        <f>_xlfn.XLOOKUP($A132,[1]Table7_badETA!$A:$A,[1]Table7_badETA!S:S,"-",0)</f>
        <v>460.06475</v>
      </c>
    </row>
    <row r="133" spans="1:15" x14ac:dyDescent="0.2">
      <c r="A133" s="8" t="s">
        <v>144</v>
      </c>
      <c r="B133" s="8" cm="1">
        <f t="array" aca="1" ref="B133" ca="1">_xlfn.XLOOKUP(A133,[1]Table2_V5_w3C28!A:A,[1]Table2_V5_w3C28!B:B,nan(),0)</f>
        <v>0.24</v>
      </c>
      <c r="C133" s="8" cm="1">
        <f t="array" aca="1" ref="C133" ca="1">_xlfn.XLOOKUP(A133,[1]Table2_V5_w3C28!A:A,[1]Table2_V5_w3C28!D:D,nan(),0)</f>
        <v>150.0067</v>
      </c>
      <c r="D133" s="8" cm="1">
        <f t="array" aca="1" ref="D133" ca="1">_xlfn.XLOOKUP(A133,[1]Table2_V5_w3C28!A:A,[1]Table2_V5_w3C28!E:E,nan(),0)</f>
        <v>-30.277200000000001</v>
      </c>
      <c r="E133" s="1">
        <f>_xlfn.XLOOKUP($A133,[1]Table7_badETA!$A:$A,[1]Table7_badETA!C:C,"-",0)</f>
        <v>9.7070000000000004E-3</v>
      </c>
      <c r="F133" s="1">
        <f>_xlfn.XLOOKUP($A133,[1]Table7_badETA!$A:$A,[1]Table7_badETA!E:E,"-",0)</f>
        <v>2.346E-3</v>
      </c>
      <c r="G133" s="5">
        <f>_xlfn.XLOOKUP($A133,[1]Table7_badETA!$A:$A,[1]Table7_badETA!F:F,"-",0)</f>
        <v>8.2800000000000004E-9</v>
      </c>
      <c r="H133" s="6">
        <f>_xlfn.XLOOKUP($A133,[1]Table7_badETA!$A:$A,[1]Table7_badETA!H:H,"-",0)</f>
        <v>2.6300000000000001E-8</v>
      </c>
      <c r="I133" s="2">
        <f>_xlfn.XLOOKUP($A133,[1]Table7_badETA!$A:$A,[1]Table7_badETA!M:M,"-",0)</f>
        <v>0.85719999999999996</v>
      </c>
      <c r="J133" s="2">
        <f>_xlfn.XLOOKUP($A133,[1]Table7_badETA!$A:$A,[1]Table7_badETA!O:O,"-",0)</f>
        <v>8.4309999999999993E-3</v>
      </c>
      <c r="K133" s="2">
        <f>_xlfn.XLOOKUP($A133,[1]morph_04R500.dat!$A:$A,[1]morph_04R500.dat!P:P,"-",0)</f>
        <v>-54.21</v>
      </c>
      <c r="L133" s="2">
        <f>_xlfn.XLOOKUP($A133,[1]morph_04R500.dat!$A:$A,[1]morph_04R500.dat!R:R,"-",0)</f>
        <v>1.8169999999999999</v>
      </c>
      <c r="M133" s="2">
        <f>_xlfn.XLOOKUP($A133,[1]Table7_badETA!$A:$A,[1]Table7_badETA!T:T,"-",0)</f>
        <v>0.4258684863523573</v>
      </c>
      <c r="N133" s="2">
        <f>_xlfn.XLOOKUP($A133,[1]Table7_badETA!$A:$A,[1]Table7_badETA!U:U,"-",0)</f>
        <v>1.4108218071850868E-2</v>
      </c>
      <c r="O133" s="7">
        <f>_xlfn.XLOOKUP($A133,[1]Table7_badETA!$A:$A,[1]Table7_badETA!S:S,"-",0)</f>
        <v>496.33685000000003</v>
      </c>
    </row>
    <row r="134" spans="1:15" x14ac:dyDescent="0.2">
      <c r="A134" s="8" t="s">
        <v>145</v>
      </c>
      <c r="B134" s="8" cm="1">
        <f t="array" aca="1" ref="B134" ca="1">_xlfn.XLOOKUP(A134,[1]Table2_V5_w3C28!A:A,[1]Table2_V5_w3C28!B:B,nan(),0)</f>
        <v>0.154</v>
      </c>
      <c r="C134" s="8" cm="1">
        <f t="array" aca="1" ref="C134" ca="1">_xlfn.XLOOKUP(A134,[1]Table2_V5_w3C28!A:A,[1]Table2_V5_w3C28!D:D,nan(),0)</f>
        <v>150.13069999999999</v>
      </c>
      <c r="D134" s="8" cm="1">
        <f t="array" aca="1" ref="D134" ca="1">_xlfn.XLOOKUP(A134,[1]Table2_V5_w3C28!A:A,[1]Table2_V5_w3C28!E:E,nan(),0)</f>
        <v>44.145800000000001</v>
      </c>
      <c r="E134" s="1">
        <f>_xlfn.XLOOKUP($A134,[1]Table7_badETA!$A:$A,[1]Table7_badETA!C:C,"-",0)</f>
        <v>6.8879999999999997E-2</v>
      </c>
      <c r="F134" s="1">
        <f>_xlfn.XLOOKUP($A134,[1]Table7_badETA!$A:$A,[1]Table7_badETA!E:E,"-",0)</f>
        <v>3.725E-3</v>
      </c>
      <c r="G134" s="5">
        <f>_xlfn.XLOOKUP($A134,[1]Table7_badETA!$A:$A,[1]Table7_badETA!F:F,"-",0)</f>
        <v>7.1699999999999997E-7</v>
      </c>
      <c r="H134" s="6">
        <f>_xlfn.XLOOKUP($A134,[1]Table7_badETA!$A:$A,[1]Table7_badETA!H:H,"-",0)</f>
        <v>1.7499999999999999E-7</v>
      </c>
      <c r="I134" s="2">
        <f>_xlfn.XLOOKUP($A134,[1]Table7_badETA!$A:$A,[1]Table7_badETA!M:M,"-",0)</f>
        <v>0.80449999999999999</v>
      </c>
      <c r="J134" s="2">
        <f>_xlfn.XLOOKUP($A134,[1]Table7_badETA!$A:$A,[1]Table7_badETA!O:O,"-",0)</f>
        <v>1.112E-2</v>
      </c>
      <c r="K134" s="2">
        <f>_xlfn.XLOOKUP($A134,[1]morph_04R500.dat!$A:$A,[1]morph_04R500.dat!P:P,"-",0)</f>
        <v>-77.44</v>
      </c>
      <c r="L134" s="2">
        <f>_xlfn.XLOOKUP($A134,[1]morph_04R500.dat!$A:$A,[1]morph_04R500.dat!R:R,"-",0)</f>
        <v>1.6259999999999999</v>
      </c>
      <c r="M134" s="2">
        <f>_xlfn.XLOOKUP($A134,[1]Table7_badETA!$A:$A,[1]Table7_badETA!T:T,"-",0)</f>
        <v>0.55109961190168177</v>
      </c>
      <c r="N134" s="2">
        <f>_xlfn.XLOOKUP($A134,[1]Table7_badETA!$A:$A,[1]Table7_badETA!U:U,"-",0)</f>
        <v>2.1846630546852399E-2</v>
      </c>
      <c r="O134" s="7">
        <f>_xlfn.XLOOKUP($A134,[1]Table7_badETA!$A:$A,[1]Table7_badETA!S:S,"-",0)</f>
        <v>339.90388999999999</v>
      </c>
    </row>
    <row r="135" spans="1:15" x14ac:dyDescent="0.2">
      <c r="A135" s="8" t="s">
        <v>146</v>
      </c>
      <c r="B135" s="8" cm="1">
        <f t="array" aca="1" ref="B135" ca="1">_xlfn.XLOOKUP(A135,[1]Table2_V5_w3C28!A:A,[1]Table2_V5_w3C28!B:B,nan(),0)</f>
        <v>0.35899999999999999</v>
      </c>
      <c r="C135" s="8" cm="1">
        <f t="array" aca="1" ref="C135" ca="1">_xlfn.XLOOKUP(A135,[1]Table2_V5_w3C28!A:A,[1]Table2_V5_w3C28!D:D,nan(),0)</f>
        <v>151.72800000000001</v>
      </c>
      <c r="D135" s="8" cm="1">
        <f t="array" aca="1" ref="D135" ca="1">_xlfn.XLOOKUP(A135,[1]Table2_V5_w3C28!A:A,[1]Table2_V5_w3C28!E:E,nan(),0)</f>
        <v>32.028599999999997</v>
      </c>
      <c r="E135" s="1">
        <f>_xlfn.XLOOKUP($A135,[1]Table7_badETA!$A:$A,[1]Table7_badETA!C:C,"-",0)</f>
        <v>7.5630000000000003E-2</v>
      </c>
      <c r="F135" s="1">
        <f>_xlfn.XLOOKUP($A135,[1]Table7_badETA!$A:$A,[1]Table7_badETA!E:E,"-",0)</f>
        <v>8.2059999999999998E-3</v>
      </c>
      <c r="G135" s="5">
        <f>_xlfn.XLOOKUP($A135,[1]Table7_badETA!$A:$A,[1]Table7_badETA!F:F,"-",0)</f>
        <v>4.4900000000000001E-7</v>
      </c>
      <c r="H135" s="6">
        <f>_xlfn.XLOOKUP($A135,[1]Table7_badETA!$A:$A,[1]Table7_badETA!H:H,"-",0)</f>
        <v>3.2599999999999998E-7</v>
      </c>
      <c r="I135" s="2">
        <f>_xlfn.XLOOKUP($A135,[1]Table7_badETA!$A:$A,[1]Table7_badETA!M:M,"-",0)</f>
        <v>0.80300000000000005</v>
      </c>
      <c r="J135" s="2">
        <f>_xlfn.XLOOKUP($A135,[1]Table7_badETA!$A:$A,[1]Table7_badETA!O:O,"-",0)</f>
        <v>6.0240000000000002E-2</v>
      </c>
      <c r="K135" s="2">
        <f>_xlfn.XLOOKUP($A135,[1]morph_04R500.dat!$A:$A,[1]morph_04R500.dat!P:P,"-",0)</f>
        <v>4.2699999999999996</v>
      </c>
      <c r="L135" s="2">
        <f>_xlfn.XLOOKUP($A135,[1]morph_04R500.dat!$A:$A,[1]morph_04R500.dat!R:R,"-",0)</f>
        <v>2.653</v>
      </c>
      <c r="M135" s="2" t="str">
        <f>_xlfn.XLOOKUP($A135,[1]Table7_badETA!$A:$A,[1]Table7_badETA!T:T,"-",0)</f>
        <v>-</v>
      </c>
      <c r="N135" s="2" t="str">
        <f>_xlfn.XLOOKUP($A135,[1]Table7_badETA!$A:$A,[1]Table7_badETA!U:U,"-",0)</f>
        <v>-</v>
      </c>
      <c r="O135" s="7">
        <f>_xlfn.XLOOKUP($A135,[1]Table7_badETA!$A:$A,[1]Table7_badETA!S:S,"-",0)</f>
        <v>559.72861999999998</v>
      </c>
    </row>
    <row r="136" spans="1:15" x14ac:dyDescent="0.2">
      <c r="A136" s="8" t="s">
        <v>147</v>
      </c>
      <c r="B136" s="8" cm="1">
        <f t="array" aca="1" ref="B136" ca="1">_xlfn.XLOOKUP(A136,[1]Table2_V5_w3C28!A:A,[1]Table2_V5_w3C28!B:B,nan(),0)</f>
        <v>0.221</v>
      </c>
      <c r="C136" s="8" cm="1">
        <f t="array" aca="1" ref="C136" ca="1">_xlfn.XLOOKUP(A136,[1]Table2_V5_w3C28!A:A,[1]Table2_V5_w3C28!D:D,nan(),0)</f>
        <v>152.19810000000001</v>
      </c>
      <c r="D136" s="8" cm="1">
        <f t="array" aca="1" ref="D136" ca="1">_xlfn.XLOOKUP(A136,[1]Table2_V5_w3C28!A:A,[1]Table2_V5_w3C28!E:E,nan(),0)</f>
        <v>11.790800000000001</v>
      </c>
      <c r="E136" s="1">
        <f>_xlfn.XLOOKUP($A136,[1]Table7_badETA!$A:$A,[1]Table7_badETA!C:C,"-",0)</f>
        <v>5.4579999999999997E-2</v>
      </c>
      <c r="F136" s="1">
        <f>_xlfn.XLOOKUP($A136,[1]Table7_badETA!$A:$A,[1]Table7_badETA!E:E,"-",0)</f>
        <v>5.6779999999999999E-3</v>
      </c>
      <c r="G136" s="5">
        <f>_xlfn.XLOOKUP($A136,[1]Table7_badETA!$A:$A,[1]Table7_badETA!F:F,"-",0)</f>
        <v>2.91E-7</v>
      </c>
      <c r="H136" s="6">
        <f>_xlfn.XLOOKUP($A136,[1]Table7_badETA!$A:$A,[1]Table7_badETA!H:H,"-",0)</f>
        <v>6.5699999999999999E-8</v>
      </c>
      <c r="I136" s="2">
        <f>_xlfn.XLOOKUP($A136,[1]Table7_badETA!$A:$A,[1]Table7_badETA!M:M,"-",0)</f>
        <v>0.91390000000000005</v>
      </c>
      <c r="J136" s="2">
        <f>_xlfn.XLOOKUP($A136,[1]Table7_badETA!$A:$A,[1]Table7_badETA!O:O,"-",0)</f>
        <v>6.1890000000000001E-3</v>
      </c>
      <c r="K136" s="2">
        <f>_xlfn.XLOOKUP($A136,[1]morph_04R500.dat!$A:$A,[1]morph_04R500.dat!P:P,"-",0)</f>
        <v>-7.11</v>
      </c>
      <c r="L136" s="2">
        <f>_xlfn.XLOOKUP($A136,[1]morph_04R500.dat!$A:$A,[1]morph_04R500.dat!R:R,"-",0)</f>
        <v>2.278</v>
      </c>
      <c r="M136" s="2">
        <f>_xlfn.XLOOKUP($A136,[1]Table7_badETA!$A:$A,[1]Table7_badETA!T:T,"-",0)</f>
        <v>0.42287055667337359</v>
      </c>
      <c r="N136" s="2">
        <f>_xlfn.XLOOKUP($A136,[1]Table7_badETA!$A:$A,[1]Table7_badETA!U:U,"-",0)</f>
        <v>9.9572161458461438E-3</v>
      </c>
      <c r="O136" s="7">
        <f>_xlfn.XLOOKUP($A136,[1]Table7_badETA!$A:$A,[1]Table7_badETA!S:S,"-",0)</f>
        <v>445.40996999999999</v>
      </c>
    </row>
    <row r="137" spans="1:15" x14ac:dyDescent="0.2">
      <c r="A137" s="8" t="s">
        <v>148</v>
      </c>
      <c r="B137" s="8" cm="1">
        <f t="array" aca="1" ref="B137" ca="1">_xlfn.XLOOKUP(A137,[1]Table2_V5_w3C28!A:A,[1]Table2_V5_w3C28!B:B,nan(),0)</f>
        <v>0.30099999999999999</v>
      </c>
      <c r="C137" s="8" cm="1">
        <f t="array" aca="1" ref="C137" ca="1">_xlfn.XLOOKUP(A137,[1]Table2_V5_w3C28!A:A,[1]Table2_V5_w3C28!D:D,nan(),0)</f>
        <v>152.63550000000001</v>
      </c>
      <c r="D137" s="8" cm="1">
        <f t="array" aca="1" ref="D137" ca="1">_xlfn.XLOOKUP(A137,[1]Table2_V5_w3C28!A:A,[1]Table2_V5_w3C28!E:E,nan(),0)</f>
        <v>-12.6633</v>
      </c>
      <c r="E137" s="1">
        <f>_xlfn.XLOOKUP($A137,[1]Table7_badETA!$A:$A,[1]Table7_badETA!C:C,"-",0)</f>
        <v>9.4909999999999994E-2</v>
      </c>
      <c r="F137" s="1">
        <f>_xlfn.XLOOKUP($A137,[1]Table7_badETA!$A:$A,[1]Table7_badETA!E:E,"-",0)</f>
        <v>4.0039999999999997E-3</v>
      </c>
      <c r="G137" s="5">
        <f>_xlfn.XLOOKUP($A137,[1]Table7_badETA!$A:$A,[1]Table7_badETA!F:F,"-",0)</f>
        <v>5.5299999999999999E-8</v>
      </c>
      <c r="H137" s="6">
        <f>_xlfn.XLOOKUP($A137,[1]Table7_badETA!$A:$A,[1]Table7_badETA!H:H,"-",0)</f>
        <v>4.8699999999999999E-8</v>
      </c>
      <c r="I137" s="2">
        <f>_xlfn.XLOOKUP($A137,[1]Table7_badETA!$A:$A,[1]Table7_badETA!M:M,"-",0)</f>
        <v>0.91290000000000004</v>
      </c>
      <c r="J137" s="2">
        <f>_xlfn.XLOOKUP($A137,[1]Table7_badETA!$A:$A,[1]Table7_badETA!O:O,"-",0)</f>
        <v>1.4290000000000001E-2</v>
      </c>
      <c r="K137" s="2">
        <f>_xlfn.XLOOKUP($A137,[1]morph_04R500.dat!$A:$A,[1]morph_04R500.dat!P:P,"-",0)</f>
        <v>-6.1980000000000004</v>
      </c>
      <c r="L137" s="2">
        <f>_xlfn.XLOOKUP($A137,[1]morph_04R500.dat!$A:$A,[1]morph_04R500.dat!R:R,"-",0)</f>
        <v>2.7050000000000001</v>
      </c>
      <c r="M137" s="2">
        <f>_xlfn.XLOOKUP($A137,[1]Table7_badETA!$A:$A,[1]Table7_badETA!T:T,"-",0)</f>
        <v>0.42377176106236214</v>
      </c>
      <c r="N137" s="2">
        <f>_xlfn.XLOOKUP($A137,[1]Table7_badETA!$A:$A,[1]Table7_badETA!U:U,"-",0)</f>
        <v>9.1852561801879055E-3</v>
      </c>
      <c r="O137" s="7">
        <f>_xlfn.XLOOKUP($A137,[1]Table7_badETA!$A:$A,[1]Table7_badETA!S:S,"-",0)</f>
        <v>451.26177000000001</v>
      </c>
    </row>
    <row r="138" spans="1:15" x14ac:dyDescent="0.2">
      <c r="A138" s="8" t="s">
        <v>149</v>
      </c>
      <c r="B138" s="8" cm="1">
        <f t="array" aca="1" ref="B138" ca="1">_xlfn.XLOOKUP(A138,[1]Table2_V5_w3C28!A:A,[1]Table2_V5_w3C28!B:B,nan(),0)</f>
        <v>0.20599999999999999</v>
      </c>
      <c r="C138" s="8" cm="1">
        <f t="array" aca="1" ref="C138" ca="1">_xlfn.XLOOKUP(A138,[1]Table2_V5_w3C28!A:A,[1]Table2_V5_w3C28!D:D,nan(),0)</f>
        <v>154.26519999999999</v>
      </c>
      <c r="D138" s="8" cm="1">
        <f t="array" aca="1" ref="D138" ca="1">_xlfn.XLOOKUP(A138,[1]Table2_V5_w3C28!A:A,[1]Table2_V5_w3C28!E:E,nan(),0)</f>
        <v>39.0471</v>
      </c>
      <c r="E138" s="1">
        <f>_xlfn.XLOOKUP($A138,[1]Table7_badETA!$A:$A,[1]Table7_badETA!C:C,"-",0)</f>
        <v>2.027E-2</v>
      </c>
      <c r="F138" s="1">
        <f>_xlfn.XLOOKUP($A138,[1]Table7_badETA!$A:$A,[1]Table7_badETA!E:E,"-",0)</f>
        <v>1.134E-3</v>
      </c>
      <c r="G138" s="5">
        <f>_xlfn.XLOOKUP($A138,[1]Table7_badETA!$A:$A,[1]Table7_badETA!F:F,"-",0)</f>
        <v>2.33E-8</v>
      </c>
      <c r="H138" s="6">
        <f>_xlfn.XLOOKUP($A138,[1]Table7_badETA!$A:$A,[1]Table7_badETA!H:H,"-",0)</f>
        <v>1.24E-8</v>
      </c>
      <c r="I138" s="2">
        <f>_xlfn.XLOOKUP($A138,[1]Table7_badETA!$A:$A,[1]Table7_badETA!M:M,"-",0)</f>
        <v>0.93979999999999997</v>
      </c>
      <c r="J138" s="2">
        <f>_xlfn.XLOOKUP($A138,[1]Table7_badETA!$A:$A,[1]Table7_badETA!O:O,"-",0)</f>
        <v>2.5559999999999999E-2</v>
      </c>
      <c r="K138" s="2">
        <f>_xlfn.XLOOKUP($A138,[1]morph_04R500.dat!$A:$A,[1]morph_04R500.dat!P:P,"-",0)</f>
        <v>3.145</v>
      </c>
      <c r="L138" s="2">
        <f>_xlfn.XLOOKUP($A138,[1]morph_04R500.dat!$A:$A,[1]morph_04R500.dat!R:R,"-",0)</f>
        <v>2.452</v>
      </c>
      <c r="M138" s="2">
        <f>_xlfn.XLOOKUP($A138,[1]Table7_badETA!$A:$A,[1]Table7_badETA!T:T,"-",0)</f>
        <v>0.57871835443037978</v>
      </c>
      <c r="N138" s="2">
        <f>_xlfn.XLOOKUP($A138,[1]Table7_badETA!$A:$A,[1]Table7_badETA!U:U,"-",0)</f>
        <v>5.7416796892477357E-3</v>
      </c>
      <c r="O138" s="7">
        <f>_xlfn.XLOOKUP($A138,[1]Table7_badETA!$A:$A,[1]Table7_badETA!S:S,"-",0)</f>
        <v>479.32053000000002</v>
      </c>
    </row>
    <row r="139" spans="1:15" x14ac:dyDescent="0.2">
      <c r="A139" s="8" t="s">
        <v>150</v>
      </c>
      <c r="B139" s="8" cm="1">
        <f t="array" aca="1" ref="B139" ca="1">_xlfn.XLOOKUP(A139,[1]Table2_V5_w3C28!A:A,[1]Table2_V5_w3C28!B:B,nan(),0)</f>
        <v>0.253</v>
      </c>
      <c r="C139" s="8" cm="1">
        <f t="array" aca="1" ref="C139" ca="1">_xlfn.XLOOKUP(A139,[1]Table2_V5_w3C28!A:A,[1]Table2_V5_w3C28!D:D,nan(),0)</f>
        <v>155.95920000000001</v>
      </c>
      <c r="D139" s="8" cm="1">
        <f t="array" aca="1" ref="D139" ca="1">_xlfn.XLOOKUP(A139,[1]Table2_V5_w3C28!A:A,[1]Table2_V5_w3C28!E:E,nan(),0)</f>
        <v>-27.256399999999999</v>
      </c>
      <c r="E139" s="1">
        <f>_xlfn.XLOOKUP($A139,[1]Table7_badETA!$A:$A,[1]Table7_badETA!C:C,"-",0)</f>
        <v>4.3889999999999998E-2</v>
      </c>
      <c r="F139" s="1">
        <f>_xlfn.XLOOKUP($A139,[1]Table7_badETA!$A:$A,[1]Table7_badETA!E:E,"-",0)</f>
        <v>1.8680000000000001E-3</v>
      </c>
      <c r="G139" s="5">
        <f>_xlfn.XLOOKUP($A139,[1]Table7_badETA!$A:$A,[1]Table7_badETA!F:F,"-",0)</f>
        <v>3.99E-8</v>
      </c>
      <c r="H139" s="6">
        <f>_xlfn.XLOOKUP($A139,[1]Table7_badETA!$A:$A,[1]Table7_badETA!H:H,"-",0)</f>
        <v>1.89E-8</v>
      </c>
      <c r="I139" s="2">
        <f>_xlfn.XLOOKUP($A139,[1]Table7_badETA!$A:$A,[1]Table7_badETA!M:M,"-",0)</f>
        <v>0.84519999999999995</v>
      </c>
      <c r="J139" s="2">
        <f>_xlfn.XLOOKUP($A139,[1]Table7_badETA!$A:$A,[1]Table7_badETA!O:O,"-",0)</f>
        <v>4.7720000000000002E-3</v>
      </c>
      <c r="K139" s="2">
        <f>_xlfn.XLOOKUP($A139,[1]morph_04R500.dat!$A:$A,[1]morph_04R500.dat!P:P,"-",0)</f>
        <v>-21.75</v>
      </c>
      <c r="L139" s="2">
        <f>_xlfn.XLOOKUP($A139,[1]morph_04R500.dat!$A:$A,[1]morph_04R500.dat!R:R,"-",0)</f>
        <v>0.91439999999999999</v>
      </c>
      <c r="M139" s="2">
        <f>_xlfn.XLOOKUP($A139,[1]Table7_badETA!$A:$A,[1]Table7_badETA!T:T,"-",0)</f>
        <v>0.67810331534309942</v>
      </c>
      <c r="N139" s="2">
        <f>_xlfn.XLOOKUP($A139,[1]Table7_badETA!$A:$A,[1]Table7_badETA!U:U,"-",0)</f>
        <v>4.8688730006693935E-3</v>
      </c>
      <c r="O139" s="7">
        <f>_xlfn.XLOOKUP($A139,[1]Table7_badETA!$A:$A,[1]Table7_badETA!S:S,"-",0)</f>
        <v>495.66392999999999</v>
      </c>
    </row>
    <row r="140" spans="1:15" x14ac:dyDescent="0.2">
      <c r="A140" s="8" t="s">
        <v>151</v>
      </c>
      <c r="B140" s="8" cm="1">
        <f t="array" aca="1" ref="B140" ca="1">_xlfn.XLOOKUP(A140,[1]Table2_V5_w3C28!A:A,[1]Table2_V5_w3C28!B:B,nan(),0)</f>
        <v>0.126</v>
      </c>
      <c r="C140" s="8" cm="1">
        <f t="array" aca="1" ref="C140" ca="1">_xlfn.XLOOKUP(A140,[1]Table2_V5_w3C28!A:A,[1]Table2_V5_w3C28!D:D,nan(),0)</f>
        <v>157.93629999999999</v>
      </c>
      <c r="D140" s="8" cm="1">
        <f t="array" aca="1" ref="D140" ca="1">_xlfn.XLOOKUP(A140,[1]Table2_V5_w3C28!A:A,[1]Table2_V5_w3C28!E:E,nan(),0)</f>
        <v>35.040700000000001</v>
      </c>
      <c r="E140" s="1">
        <f>_xlfn.XLOOKUP($A140,[1]Table7_badETA!$A:$A,[1]Table7_badETA!C:C,"-",0)</f>
        <v>4.199E-2</v>
      </c>
      <c r="F140" s="1">
        <f>_xlfn.XLOOKUP($A140,[1]Table7_badETA!$A:$A,[1]Table7_badETA!E:E,"-",0)</f>
        <v>1.341E-3</v>
      </c>
      <c r="G140" s="5">
        <f>_xlfn.XLOOKUP($A140,[1]Table7_badETA!$A:$A,[1]Table7_badETA!F:F,"-",0)</f>
        <v>1.43E-7</v>
      </c>
      <c r="H140" s="6">
        <f>_xlfn.XLOOKUP($A140,[1]Table7_badETA!$A:$A,[1]Table7_badETA!H:H,"-",0)</f>
        <v>2.9700000000000001E-8</v>
      </c>
      <c r="I140" s="2">
        <f>_xlfn.XLOOKUP($A140,[1]Table7_badETA!$A:$A,[1]Table7_badETA!M:M,"-",0)</f>
        <v>0.92849999999999999</v>
      </c>
      <c r="J140" s="2">
        <f>_xlfn.XLOOKUP($A140,[1]Table7_badETA!$A:$A,[1]Table7_badETA!O:O,"-",0)</f>
        <v>4.104E-3</v>
      </c>
      <c r="K140" s="2">
        <f>_xlfn.XLOOKUP($A140,[1]morph_04R500.dat!$A:$A,[1]morph_04R500.dat!P:P,"-",0)</f>
        <v>22.85</v>
      </c>
      <c r="L140" s="2">
        <f>_xlfn.XLOOKUP($A140,[1]morph_04R500.dat!$A:$A,[1]morph_04R500.dat!R:R,"-",0)</f>
        <v>1.7549999999999999</v>
      </c>
      <c r="M140" s="2">
        <f>_xlfn.XLOOKUP($A140,[1]Table7_badETA!$A:$A,[1]Table7_badETA!T:T,"-",0)</f>
        <v>0.57536190746522853</v>
      </c>
      <c r="N140" s="2">
        <f>_xlfn.XLOOKUP($A140,[1]Table7_badETA!$A:$A,[1]Table7_badETA!U:U,"-",0)</f>
        <v>6.3224315245497742E-3</v>
      </c>
      <c r="O140" s="7">
        <f>_xlfn.XLOOKUP($A140,[1]Table7_badETA!$A:$A,[1]Table7_badETA!S:S,"-",0)</f>
        <v>454.09719999999999</v>
      </c>
    </row>
    <row r="141" spans="1:15" x14ac:dyDescent="0.2">
      <c r="A141" s="8" t="s">
        <v>152</v>
      </c>
      <c r="B141" s="8" cm="1">
        <f t="array" aca="1" ref="B141" ca="1">_xlfn.XLOOKUP(A141,[1]Table2_V5_w3C28!A:A,[1]Table2_V5_w3C28!B:B,nan(),0)</f>
        <v>0.42599999999999999</v>
      </c>
      <c r="C141" s="8" cm="1">
        <f t="array" aca="1" ref="C141" ca="1">_xlfn.XLOOKUP(A141,[1]Table2_V5_w3C28!A:A,[1]Table2_V5_w3C28!D:D,nan(),0)</f>
        <v>159.67859999999999</v>
      </c>
      <c r="D141" s="8" cm="1">
        <f t="array" aca="1" ref="D141" ca="1">_xlfn.XLOOKUP(A141,[1]Table2_V5_w3C28!A:A,[1]Table2_V5_w3C28!E:E,nan(),0)</f>
        <v>48.822400000000002</v>
      </c>
      <c r="E141" s="1">
        <f>_xlfn.XLOOKUP($A141,[1]Table7_badETA!$A:$A,[1]Table7_badETA!C:C,"-",0)</f>
        <v>1.1679999999999999E-2</v>
      </c>
      <c r="F141" s="1">
        <f>_xlfn.XLOOKUP($A141,[1]Table7_badETA!$A:$A,[1]Table7_badETA!E:E,"-",0)</f>
        <v>3.3500000000000001E-3</v>
      </c>
      <c r="G141" s="5">
        <f>_xlfn.XLOOKUP($A141,[1]Table7_badETA!$A:$A,[1]Table7_badETA!F:F,"-",0)</f>
        <v>9.4300000000000004E-8</v>
      </c>
      <c r="H141" s="6">
        <f>_xlfn.XLOOKUP($A141,[1]Table7_badETA!$A:$A,[1]Table7_badETA!H:H,"-",0)</f>
        <v>1.17E-7</v>
      </c>
      <c r="I141" s="2">
        <f>_xlfn.XLOOKUP($A141,[1]Table7_badETA!$A:$A,[1]Table7_badETA!M:M,"-",0)</f>
        <v>0.96650000000000003</v>
      </c>
      <c r="J141" s="2">
        <f>_xlfn.XLOOKUP($A141,[1]Table7_badETA!$A:$A,[1]Table7_badETA!O:O,"-",0)</f>
        <v>2.1999999999999999E-2</v>
      </c>
      <c r="K141" s="2">
        <f>_xlfn.XLOOKUP($A141,[1]morph_04R500.dat!$A:$A,[1]morph_04R500.dat!P:P,"-",0)</f>
        <v>73.97</v>
      </c>
      <c r="L141" s="2">
        <f>_xlfn.XLOOKUP($A141,[1]morph_04R500.dat!$A:$A,[1]morph_04R500.dat!R:R,"-",0)</f>
        <v>16.489999999999998</v>
      </c>
      <c r="M141" s="2" t="str">
        <f>_xlfn.XLOOKUP($A141,[1]Table7_badETA!$A:$A,[1]Table7_badETA!T:T,"-",0)</f>
        <v>-</v>
      </c>
      <c r="N141" s="2" t="str">
        <f>_xlfn.XLOOKUP($A141,[1]Table7_badETA!$A:$A,[1]Table7_badETA!U:U,"-",0)</f>
        <v>-</v>
      </c>
      <c r="O141" s="7">
        <f>_xlfn.XLOOKUP($A141,[1]Table7_badETA!$A:$A,[1]Table7_badETA!S:S,"-",0)</f>
        <v>442.70296000000002</v>
      </c>
    </row>
    <row r="142" spans="1:15" x14ac:dyDescent="0.2">
      <c r="A142" s="8" t="s">
        <v>153</v>
      </c>
      <c r="B142" s="8" cm="1">
        <f t="array" aca="1" ref="B142" ca="1">_xlfn.XLOOKUP(A142,[1]Table2_V5_w3C28!A:A,[1]Table2_V5_w3C28!B:B,nan(),0)</f>
        <v>0.13800000000000001</v>
      </c>
      <c r="C142" s="8" cm="1">
        <f t="array" aca="1" ref="C142" ca="1">_xlfn.XLOOKUP(A142,[1]Table2_V5_w3C28!A:A,[1]Table2_V5_w3C28!D:D,nan(),0)</f>
        <v>160.18549999999999</v>
      </c>
      <c r="D142" s="8" cm="1">
        <f t="array" aca="1" ref="D142" ca="1">_xlfn.XLOOKUP(A142,[1]Table2_V5_w3C28!A:A,[1]Table2_V5_w3C28!E:E,nan(),0)</f>
        <v>39.953400000000002</v>
      </c>
      <c r="E142" s="1">
        <f>_xlfn.XLOOKUP($A142,[1]Table7_badETA!$A:$A,[1]Table7_badETA!C:C,"-",0)</f>
        <v>2.911E-2</v>
      </c>
      <c r="F142" s="1">
        <f>_xlfn.XLOOKUP($A142,[1]Table7_badETA!$A:$A,[1]Table7_badETA!E:E,"-",0)</f>
        <v>8.832E-4</v>
      </c>
      <c r="G142" s="5">
        <f>_xlfn.XLOOKUP($A142,[1]Table7_badETA!$A:$A,[1]Table7_badETA!F:F,"-",0)</f>
        <v>1.4E-8</v>
      </c>
      <c r="H142" s="6">
        <f>_xlfn.XLOOKUP($A142,[1]Table7_badETA!$A:$A,[1]Table7_badETA!H:H,"-",0)</f>
        <v>7.3399999999999999E-9</v>
      </c>
      <c r="I142" s="2">
        <f>_xlfn.XLOOKUP($A142,[1]Table7_badETA!$A:$A,[1]Table7_badETA!M:M,"-",0)</f>
        <v>0.84899999999999998</v>
      </c>
      <c r="J142" s="2">
        <f>_xlfn.XLOOKUP($A142,[1]Table7_badETA!$A:$A,[1]Table7_badETA!O:O,"-",0)</f>
        <v>4.9870000000000001E-3</v>
      </c>
      <c r="K142" s="2">
        <f>_xlfn.XLOOKUP($A142,[1]morph_04R500.dat!$A:$A,[1]morph_04R500.dat!P:P,"-",0)</f>
        <v>-45.91</v>
      </c>
      <c r="L142" s="2">
        <f>_xlfn.XLOOKUP($A142,[1]morph_04R500.dat!$A:$A,[1]morph_04R500.dat!R:R,"-",0)</f>
        <v>0.89200000000000002</v>
      </c>
      <c r="M142" s="2">
        <f>_xlfn.XLOOKUP($A142,[1]Table7_badETA!$A:$A,[1]Table7_badETA!T:T,"-",0)</f>
        <v>0.73387372013651886</v>
      </c>
      <c r="N142" s="2">
        <f>_xlfn.XLOOKUP($A142,[1]Table7_badETA!$A:$A,[1]Table7_badETA!U:U,"-",0)</f>
        <v>5.7052517002147557E-3</v>
      </c>
      <c r="O142" s="7">
        <f>_xlfn.XLOOKUP($A142,[1]Table7_badETA!$A:$A,[1]Table7_badETA!S:S,"-",0)</f>
        <v>424.66631999999998</v>
      </c>
    </row>
    <row r="143" spans="1:15" x14ac:dyDescent="0.2">
      <c r="A143" s="8" t="s">
        <v>154</v>
      </c>
      <c r="B143" s="8" cm="1">
        <f t="array" aca="1" ref="B143" ca="1">_xlfn.XLOOKUP(A143,[1]Table2_V5_w3C28!A:A,[1]Table2_V5_w3C28!B:B,nan(),0)</f>
        <v>0.82299999999999995</v>
      </c>
      <c r="C143" s="8" cm="1">
        <f t="array" aca="1" ref="C143" ca="1">_xlfn.XLOOKUP(A143,[1]Table2_V5_w3C28!A:A,[1]Table2_V5_w3C28!D:D,nan(),0)</f>
        <v>164.23269999999999</v>
      </c>
      <c r="D143" s="8" cm="1">
        <f t="array" aca="1" ref="D143" ca="1">_xlfn.XLOOKUP(A143,[1]Table2_V5_w3C28!A:A,[1]Table2_V5_w3C28!E:E,nan(),0)</f>
        <v>-3.6272000000000002</v>
      </c>
      <c r="E143" s="1">
        <f>_xlfn.XLOOKUP($A143,[1]Table7_badETA!$A:$A,[1]Table7_badETA!C:C,"-",0)</f>
        <v>0.2853</v>
      </c>
      <c r="F143" s="1">
        <f>_xlfn.XLOOKUP($A143,[1]Table7_badETA!$A:$A,[1]Table7_badETA!E:E,"-",0)</f>
        <v>1.119E-2</v>
      </c>
      <c r="G143" s="5">
        <f>_xlfn.XLOOKUP($A143,[1]Table7_badETA!$A:$A,[1]Table7_badETA!F:F,"-",0)</f>
        <v>2.2500000000000001E-6</v>
      </c>
      <c r="H143" s="6">
        <f>_xlfn.XLOOKUP($A143,[1]Table7_badETA!$A:$A,[1]Table7_badETA!H:H,"-",0)</f>
        <v>5.9699999999999996E-7</v>
      </c>
      <c r="I143" s="2">
        <f>_xlfn.XLOOKUP($A143,[1]Table7_badETA!$A:$A,[1]Table7_badETA!M:M,"-",0)</f>
        <v>0.82179999999999997</v>
      </c>
      <c r="J143" s="2">
        <f>_xlfn.XLOOKUP($A143,[1]Table7_badETA!$A:$A,[1]Table7_badETA!O:O,"-",0)</f>
        <v>0.1072</v>
      </c>
      <c r="K143" s="2">
        <f>_xlfn.XLOOKUP($A143,[1]morph_04R500.dat!$A:$A,[1]morph_04R500.dat!P:P,"-",0)</f>
        <v>89.14</v>
      </c>
      <c r="L143" s="2">
        <f>_xlfn.XLOOKUP($A143,[1]morph_04R500.dat!$A:$A,[1]morph_04R500.dat!R:R,"-",0)</f>
        <v>1.6060000000000001</v>
      </c>
      <c r="M143" s="2">
        <f>_xlfn.XLOOKUP($A143,[1]Table7_badETA!$A:$A,[1]Table7_badETA!T:T,"-",0)</f>
        <v>0.31766231107775234</v>
      </c>
      <c r="N143" s="2">
        <f>_xlfn.XLOOKUP($A143,[1]Table7_badETA!$A:$A,[1]Table7_badETA!U:U,"-",0)</f>
        <v>1.7332335419365418E-2</v>
      </c>
      <c r="O143" s="7">
        <f>_xlfn.XLOOKUP($A143,[1]Table7_badETA!$A:$A,[1]Table7_badETA!S:S,"-",0)</f>
        <v>359.96478000000002</v>
      </c>
    </row>
    <row r="144" spans="1:15" x14ac:dyDescent="0.2">
      <c r="A144" s="8" t="s">
        <v>155</v>
      </c>
      <c r="B144" s="8" cm="1">
        <f t="array" aca="1" ref="B144" ca="1">_xlfn.XLOOKUP(A144,[1]Table2_V5_w3C28!A:A,[1]Table2_V5_w3C28!B:B,nan(),0)</f>
        <v>0.46600000000000003</v>
      </c>
      <c r="C144" s="8" cm="1">
        <f t="array" aca="1" ref="C144" ca="1">_xlfn.XLOOKUP(A144,[1]Table2_V5_w3C28!A:A,[1]Table2_V5_w3C28!D:D,nan(),0)</f>
        <v>166.4435</v>
      </c>
      <c r="D144" s="8" cm="1">
        <f t="array" aca="1" ref="D144" ca="1">_xlfn.XLOOKUP(A144,[1]Table2_V5_w3C28!A:A,[1]Table2_V5_w3C28!E:E,nan(),0)</f>
        <v>-10.2438</v>
      </c>
      <c r="E144" s="1">
        <f>_xlfn.XLOOKUP($A144,[1]Table7_badETA!$A:$A,[1]Table7_badETA!C:C,"-",0)</f>
        <v>2.7789999999999999E-2</v>
      </c>
      <c r="F144" s="1">
        <f>_xlfn.XLOOKUP($A144,[1]Table7_badETA!$A:$A,[1]Table7_badETA!E:E,"-",0)</f>
        <v>5.3610000000000003E-3</v>
      </c>
      <c r="G144" s="5">
        <f>_xlfn.XLOOKUP($A144,[1]Table7_badETA!$A:$A,[1]Table7_badETA!F:F,"-",0)</f>
        <v>7.7400000000000002E-9</v>
      </c>
      <c r="H144" s="6">
        <f>_xlfn.XLOOKUP($A144,[1]Table7_badETA!$A:$A,[1]Table7_badETA!H:H,"-",0)</f>
        <v>1.17E-7</v>
      </c>
      <c r="I144" s="2">
        <f>_xlfn.XLOOKUP($A144,[1]Table7_badETA!$A:$A,[1]Table7_badETA!M:M,"-",0)</f>
        <v>0.94030000000000002</v>
      </c>
      <c r="J144" s="2">
        <f>_xlfn.XLOOKUP($A144,[1]Table7_badETA!$A:$A,[1]Table7_badETA!O:O,"-",0)</f>
        <v>3.2809999999999999E-2</v>
      </c>
      <c r="K144" s="2">
        <f>_xlfn.XLOOKUP($A144,[1]morph_04R500.dat!$A:$A,[1]morph_04R500.dat!P:P,"-",0)</f>
        <v>-12.71</v>
      </c>
      <c r="L144" s="2">
        <f>_xlfn.XLOOKUP($A144,[1]morph_04R500.dat!$A:$A,[1]morph_04R500.dat!R:R,"-",0)</f>
        <v>10.68</v>
      </c>
      <c r="M144" s="2" t="str">
        <f>_xlfn.XLOOKUP($A144,[1]Table7_badETA!$A:$A,[1]Table7_badETA!T:T,"-",0)</f>
        <v>-</v>
      </c>
      <c r="N144" s="2" t="str">
        <f>_xlfn.XLOOKUP($A144,[1]Table7_badETA!$A:$A,[1]Table7_badETA!U:U,"-",0)</f>
        <v>-</v>
      </c>
      <c r="O144" s="7">
        <f>_xlfn.XLOOKUP($A144,[1]Table7_badETA!$A:$A,[1]Table7_badETA!S:S,"-",0)</f>
        <v>530.70844999999997</v>
      </c>
    </row>
    <row r="145" spans="1:15" x14ac:dyDescent="0.2">
      <c r="A145" s="8" t="s">
        <v>156</v>
      </c>
      <c r="B145" s="8" cm="1">
        <f t="array" aca="1" ref="B145" ca="1">_xlfn.XLOOKUP(A145,[1]Table2_V5_w3C28!A:A,[1]Table2_V5_w3C28!B:B,nan(),0)</f>
        <v>0.44900000000000001</v>
      </c>
      <c r="C145" s="8" cm="1">
        <f t="array" aca="1" ref="C145" ca="1">_xlfn.XLOOKUP(A145,[1]Table2_V5_w3C28!A:A,[1]Table2_V5_w3C28!D:D,nan(),0)</f>
        <v>167.2304</v>
      </c>
      <c r="D145" s="8" cm="1">
        <f t="array" aca="1" ref="D145" ca="1">_xlfn.XLOOKUP(A145,[1]Table2_V5_w3C28!A:A,[1]Table2_V5_w3C28!E:E,nan(),0)</f>
        <v>9.0989000000000004</v>
      </c>
      <c r="E145" s="1">
        <f>_xlfn.XLOOKUP($A145,[1]Table7_badETA!$A:$A,[1]Table7_badETA!C:C,"-",0)</f>
        <v>4.1779999999999998E-2</v>
      </c>
      <c r="F145" s="1">
        <f>_xlfn.XLOOKUP($A145,[1]Table7_badETA!$A:$A,[1]Table7_badETA!E:E,"-",0)</f>
        <v>6.1720000000000004E-3</v>
      </c>
      <c r="G145" s="5">
        <f>_xlfn.XLOOKUP($A145,[1]Table7_badETA!$A:$A,[1]Table7_badETA!F:F,"-",0)</f>
        <v>1.13E-8</v>
      </c>
      <c r="H145" s="6">
        <f>_xlfn.XLOOKUP($A145,[1]Table7_badETA!$A:$A,[1]Table7_badETA!H:H,"-",0)</f>
        <v>7.2300000000000006E-8</v>
      </c>
      <c r="I145" s="2">
        <f>_xlfn.XLOOKUP($A145,[1]Table7_badETA!$A:$A,[1]Table7_badETA!M:M,"-",0)</f>
        <v>0.91269999999999996</v>
      </c>
      <c r="J145" s="2">
        <f>_xlfn.XLOOKUP($A145,[1]Table7_badETA!$A:$A,[1]Table7_badETA!O:O,"-",0)</f>
        <v>1.248E-2</v>
      </c>
      <c r="K145" s="2">
        <f>_xlfn.XLOOKUP($A145,[1]morph_04R500.dat!$A:$A,[1]morph_04R500.dat!P:P,"-",0)</f>
        <v>17.27</v>
      </c>
      <c r="L145" s="2">
        <f>_xlfn.XLOOKUP($A145,[1]morph_04R500.dat!$A:$A,[1]morph_04R500.dat!R:R,"-",0)</f>
        <v>4.4669999999999996</v>
      </c>
      <c r="M145" s="2">
        <f>_xlfn.XLOOKUP($A145,[1]Table7_badETA!$A:$A,[1]Table7_badETA!T:T,"-",0)</f>
        <v>0.42505081300813008</v>
      </c>
      <c r="N145" s="2">
        <f>_xlfn.XLOOKUP($A145,[1]Table7_badETA!$A:$A,[1]Table7_badETA!U:U,"-",0)</f>
        <v>1.8256353385938388E-2</v>
      </c>
      <c r="O145" s="7">
        <f>_xlfn.XLOOKUP($A145,[1]Table7_badETA!$A:$A,[1]Table7_badETA!S:S,"-",0)</f>
        <v>412.03404999999998</v>
      </c>
    </row>
    <row r="146" spans="1:15" x14ac:dyDescent="0.2">
      <c r="A146" s="8" t="s">
        <v>157</v>
      </c>
      <c r="B146" s="8" cm="1">
        <f t="array" aca="1" ref="B146" ca="1">_xlfn.XLOOKUP(A146,[1]Table2_V5_w3C28!A:A,[1]Table2_V5_w3C28!B:B,nan(),0)</f>
        <v>3.2000000000000001E-2</v>
      </c>
      <c r="C146" s="8" cm="1">
        <f t="array" aca="1" ref="C146" ca="1">_xlfn.XLOOKUP(A146,[1]Table2_V5_w3C28!A:A,[1]Table2_V5_w3C28!D:D,nan(),0)</f>
        <v>167.43520000000001</v>
      </c>
      <c r="D146" s="8" cm="1">
        <f t="array" aca="1" ref="D146" ca="1">_xlfn.XLOOKUP(A146,[1]Table2_V5_w3C28!A:A,[1]Table2_V5_w3C28!E:E,nan(),0)</f>
        <v>21.7591</v>
      </c>
      <c r="E146" s="1">
        <f>_xlfn.XLOOKUP($A146,[1]Table7_badETA!$A:$A,[1]Table7_badETA!C:C,"-",0)</f>
        <v>0.30830000000000002</v>
      </c>
      <c r="F146" s="1">
        <f>_xlfn.XLOOKUP($A146,[1]Table7_badETA!$A:$A,[1]Table7_badETA!E:E,"-",0)</f>
        <v>3.0130000000000001E-3</v>
      </c>
      <c r="G146" s="5">
        <f>_xlfn.XLOOKUP($A146,[1]Table7_badETA!$A:$A,[1]Table7_badETA!F:F,"-",0)</f>
        <v>8.5600000000000002E-9</v>
      </c>
      <c r="H146" s="6">
        <f>_xlfn.XLOOKUP($A146,[1]Table7_badETA!$A:$A,[1]Table7_badETA!H:H,"-",0)</f>
        <v>4.1599999999999997E-9</v>
      </c>
      <c r="I146" s="2">
        <f>_xlfn.XLOOKUP($A146,[1]Table7_badETA!$A:$A,[1]Table7_badETA!M:M,"-",0)</f>
        <v>0.93869999999999998</v>
      </c>
      <c r="J146" s="2">
        <f>_xlfn.XLOOKUP($A146,[1]Table7_badETA!$A:$A,[1]Table7_badETA!O:O,"-",0)</f>
        <v>4.3540000000000002E-3</v>
      </c>
      <c r="K146" s="2">
        <f>_xlfn.XLOOKUP($A146,[1]morph_04R500.dat!$A:$A,[1]morph_04R500.dat!P:P,"-",0)</f>
        <v>32.61</v>
      </c>
      <c r="L146" s="2">
        <f>_xlfn.XLOOKUP($A146,[1]morph_04R500.dat!$A:$A,[1]morph_04R500.dat!R:R,"-",0)</f>
        <v>2.6459999999999999</v>
      </c>
      <c r="M146" s="2">
        <f>_xlfn.XLOOKUP($A146,[1]Table7_badETA!$A:$A,[1]Table7_badETA!T:T,"-",0)</f>
        <v>0.63046010483401282</v>
      </c>
      <c r="N146" s="2">
        <f>_xlfn.XLOOKUP($A146,[1]Table7_badETA!$A:$A,[1]Table7_badETA!U:U,"-",0)</f>
        <v>2.2476733850681427E-2</v>
      </c>
      <c r="O146" s="7">
        <f>_xlfn.XLOOKUP($A146,[1]Table7_badETA!$A:$A,[1]Table7_badETA!S:S,"-",0)</f>
        <v>252.50754000000001</v>
      </c>
    </row>
    <row r="147" spans="1:15" x14ac:dyDescent="0.2">
      <c r="A147" s="8" t="s">
        <v>158</v>
      </c>
      <c r="B147" s="8" cm="1">
        <f t="array" aca="1" ref="B147" ca="1">_xlfn.XLOOKUP(A147,[1]Table2_V5_w3C28!A:A,[1]Table2_V5_w3C28!B:B,nan(),0)</f>
        <v>0.16900000000000001</v>
      </c>
      <c r="C147" s="8" cm="1">
        <f t="array" aca="1" ref="C147" ca="1">_xlfn.XLOOKUP(A147,[1]Table2_V5_w3C28!A:A,[1]Table2_V5_w3C28!D:D,nan(),0)</f>
        <v>168.2278</v>
      </c>
      <c r="D147" s="8" cm="1">
        <f t="array" aca="1" ref="D147" ca="1">_xlfn.XLOOKUP(A147,[1]Table2_V5_w3C28!A:A,[1]Table2_V5_w3C28!E:E,nan(),0)</f>
        <v>13.4339</v>
      </c>
      <c r="E147" s="1">
        <f>_xlfn.XLOOKUP($A147,[1]Table7_badETA!$A:$A,[1]Table7_badETA!C:C,"-",0)</f>
        <v>3.6299999999999999E-2</v>
      </c>
      <c r="F147" s="1">
        <f>_xlfn.XLOOKUP($A147,[1]Table7_badETA!$A:$A,[1]Table7_badETA!E:E,"-",0)</f>
        <v>2.1949999999999999E-3</v>
      </c>
      <c r="G147" s="5">
        <f>_xlfn.XLOOKUP($A147,[1]Table7_badETA!$A:$A,[1]Table7_badETA!F:F,"-",0)</f>
        <v>4.0999999999999999E-7</v>
      </c>
      <c r="H147" s="6">
        <f>_xlfn.XLOOKUP($A147,[1]Table7_badETA!$A:$A,[1]Table7_badETA!H:H,"-",0)</f>
        <v>7.3500000000000003E-8</v>
      </c>
      <c r="I147" s="2">
        <f>_xlfn.XLOOKUP($A147,[1]Table7_badETA!$A:$A,[1]Table7_badETA!M:M,"-",0)</f>
        <v>0.79200000000000004</v>
      </c>
      <c r="J147" s="2">
        <f>_xlfn.XLOOKUP($A147,[1]Table7_badETA!$A:$A,[1]Table7_badETA!O:O,"-",0)</f>
        <v>4.4209999999999996E-3</v>
      </c>
      <c r="K147" s="2">
        <f>_xlfn.XLOOKUP($A147,[1]morph_04R500.dat!$A:$A,[1]morph_04R500.dat!P:P,"-",0)</f>
        <v>-24.1</v>
      </c>
      <c r="L147" s="2">
        <f>_xlfn.XLOOKUP($A147,[1]morph_04R500.dat!$A:$A,[1]morph_04R500.dat!R:R,"-",0)</f>
        <v>0.67049999999999998</v>
      </c>
      <c r="M147" s="2">
        <f>_xlfn.XLOOKUP($A147,[1]Table7_badETA!$A:$A,[1]Table7_badETA!T:T,"-",0)</f>
        <v>0.42405884898312418</v>
      </c>
      <c r="N147" s="2">
        <f>_xlfn.XLOOKUP($A147,[1]Table7_badETA!$A:$A,[1]Table7_badETA!U:U,"-",0)</f>
        <v>8.2938615311162374E-3</v>
      </c>
      <c r="O147" s="7">
        <f>_xlfn.XLOOKUP($A147,[1]Table7_badETA!$A:$A,[1]Table7_badETA!S:S,"-",0)</f>
        <v>449.81184999999999</v>
      </c>
    </row>
    <row r="148" spans="1:15" x14ac:dyDescent="0.2">
      <c r="A148" s="8" t="s">
        <v>159</v>
      </c>
      <c r="B148" s="8" cm="1">
        <f t="array" aca="1" ref="B148" ca="1">_xlfn.XLOOKUP(A148,[1]Table2_V5_w3C28!A:A,[1]Table2_V5_w3C28!B:B,nan(),0)</f>
        <v>0.72499999999999998</v>
      </c>
      <c r="C148" s="8" cm="1">
        <f t="array" aca="1" ref="C148" ca="1">_xlfn.XLOOKUP(A148,[1]Table2_V5_w3C28!A:A,[1]Table2_V5_w3C28!D:D,nan(),0)</f>
        <v>168.27170000000001</v>
      </c>
      <c r="D148" s="8" cm="1">
        <f t="array" aca="1" ref="D148" ca="1">_xlfn.XLOOKUP(A148,[1]Table2_V5_w3C28!A:A,[1]Table2_V5_w3C28!E:E,nan(),0)</f>
        <v>-26.260999999999999</v>
      </c>
      <c r="E148" s="1">
        <f>_xlfn.XLOOKUP($A148,[1]Table7_badETA!$A:$A,[1]Table7_badETA!C:C,"-",0)</f>
        <v>5.7140000000000003E-2</v>
      </c>
      <c r="F148" s="1">
        <f>_xlfn.XLOOKUP($A148,[1]Table7_badETA!$A:$A,[1]Table7_badETA!E:E,"-",0)</f>
        <v>1.299E-2</v>
      </c>
      <c r="G148" s="5">
        <f>_xlfn.XLOOKUP($A148,[1]Table7_badETA!$A:$A,[1]Table7_badETA!F:F,"-",0)</f>
        <v>7.54E-7</v>
      </c>
      <c r="H148" s="6">
        <f>_xlfn.XLOOKUP($A148,[1]Table7_badETA!$A:$A,[1]Table7_badETA!H:H,"-",0)</f>
        <v>6.1500000000000004E-7</v>
      </c>
      <c r="I148" s="2">
        <f>_xlfn.XLOOKUP($A148,[1]Table7_badETA!$A:$A,[1]Table7_badETA!M:M,"-",0)</f>
        <v>0.94969999999999999</v>
      </c>
      <c r="J148" s="2">
        <f>_xlfn.XLOOKUP($A148,[1]Table7_badETA!$A:$A,[1]Table7_badETA!O:O,"-",0)</f>
        <v>3.6749999999999998E-2</v>
      </c>
      <c r="K148" s="2">
        <f>_xlfn.XLOOKUP($A148,[1]morph_04R500.dat!$A:$A,[1]morph_04R500.dat!P:P,"-",0)</f>
        <v>-79.2</v>
      </c>
      <c r="L148" s="2">
        <f>_xlfn.XLOOKUP($A148,[1]morph_04R500.dat!$A:$A,[1]morph_04R500.dat!R:R,"-",0)</f>
        <v>16.7</v>
      </c>
      <c r="M148" s="2" t="str">
        <f>_xlfn.XLOOKUP($A148,[1]Table7_badETA!$A:$A,[1]Table7_badETA!T:T,"-",0)</f>
        <v>-</v>
      </c>
      <c r="N148" s="2" t="str">
        <f>_xlfn.XLOOKUP($A148,[1]Table7_badETA!$A:$A,[1]Table7_badETA!U:U,"-",0)</f>
        <v>-</v>
      </c>
      <c r="O148" s="7">
        <f>_xlfn.XLOOKUP($A148,[1]Table7_badETA!$A:$A,[1]Table7_badETA!S:S,"-",0)</f>
        <v>265.83677</v>
      </c>
    </row>
    <row r="149" spans="1:15" x14ac:dyDescent="0.2">
      <c r="A149" s="8" t="s">
        <v>160</v>
      </c>
      <c r="B149" s="8" cm="1">
        <f t="array" aca="1" ref="B149" ca="1">_xlfn.XLOOKUP(A149,[1]Table2_V5_w3C28!A:A,[1]Table2_V5_w3C28!B:B,nan(),0)</f>
        <v>0.17100000000000001</v>
      </c>
      <c r="C149" s="8" cm="1">
        <f t="array" aca="1" ref="C149" ca="1">_xlfn.XLOOKUP(A149,[1]Table2_V5_w3C28!A:A,[1]Table2_V5_w3C28!D:D,nan(),0)</f>
        <v>168.33510000000001</v>
      </c>
      <c r="D149" s="8" cm="1">
        <f t="array" aca="1" ref="D149" ca="1">_xlfn.XLOOKUP(A149,[1]Table2_V5_w3C28!A:A,[1]Table2_V5_w3C28!E:E,nan(),0)</f>
        <v>17.5944</v>
      </c>
      <c r="E149" s="1">
        <f>_xlfn.XLOOKUP($A149,[1]Table7_badETA!$A:$A,[1]Table7_badETA!C:C,"-",0)</f>
        <v>3.9890000000000002E-2</v>
      </c>
      <c r="F149" s="1">
        <f>_xlfn.XLOOKUP($A149,[1]Table7_badETA!$A:$A,[1]Table7_badETA!E:E,"-",0)</f>
        <v>4.1450000000000002E-3</v>
      </c>
      <c r="G149" s="5">
        <f>_xlfn.XLOOKUP($A149,[1]Table7_badETA!$A:$A,[1]Table7_badETA!F:F,"-",0)</f>
        <v>5.3699999999999998E-8</v>
      </c>
      <c r="H149" s="6">
        <f>_xlfn.XLOOKUP($A149,[1]Table7_badETA!$A:$A,[1]Table7_badETA!H:H,"-",0)</f>
        <v>2.3800000000000001E-8</v>
      </c>
      <c r="I149" s="2">
        <f>_xlfn.XLOOKUP($A149,[1]Table7_badETA!$A:$A,[1]Table7_badETA!M:M,"-",0)</f>
        <v>0.93289999999999995</v>
      </c>
      <c r="J149" s="2">
        <f>_xlfn.XLOOKUP($A149,[1]Table7_badETA!$A:$A,[1]Table7_badETA!O:O,"-",0)</f>
        <v>1.0189999999999999E-2</v>
      </c>
      <c r="K149" s="2">
        <f>_xlfn.XLOOKUP($A149,[1]morph_04R500.dat!$A:$A,[1]morph_04R500.dat!P:P,"-",0)</f>
        <v>43.82</v>
      </c>
      <c r="L149" s="2">
        <f>_xlfn.XLOOKUP($A149,[1]morph_04R500.dat!$A:$A,[1]morph_04R500.dat!R:R,"-",0)</f>
        <v>4.0819999999999999</v>
      </c>
      <c r="M149" s="2">
        <f>_xlfn.XLOOKUP($A149,[1]Table7_badETA!$A:$A,[1]Table7_badETA!T:T,"-",0)</f>
        <v>0.80317422147408912</v>
      </c>
      <c r="N149" s="2">
        <f>_xlfn.XLOOKUP($A149,[1]Table7_badETA!$A:$A,[1]Table7_badETA!U:U,"-",0)</f>
        <v>8.0049249089688222E-3</v>
      </c>
      <c r="O149" s="7">
        <f>_xlfn.XLOOKUP($A149,[1]Table7_badETA!$A:$A,[1]Table7_badETA!S:S,"-",0)</f>
        <v>387.02659999999997</v>
      </c>
    </row>
    <row r="150" spans="1:15" x14ac:dyDescent="0.2">
      <c r="A150" s="8" t="s">
        <v>161</v>
      </c>
      <c r="B150" s="8" cm="1">
        <f t="array" aca="1" ref="B150" ca="1">_xlfn.XLOOKUP(A150,[1]Table2_V5_w3C28!A:A,[1]Table2_V5_w3C28!B:B,nan(),0)</f>
        <v>0.46600000000000003</v>
      </c>
      <c r="C150" s="8" cm="1">
        <f t="array" aca="1" ref="C150" ca="1">_xlfn.XLOOKUP(A150,[1]Table2_V5_w3C28!A:A,[1]Table2_V5_w3C28!D:D,nan(),0)</f>
        <v>168.8116</v>
      </c>
      <c r="D150" s="8" cm="1">
        <f t="array" aca="1" ref="D150" ca="1">_xlfn.XLOOKUP(A150,[1]Table2_V5_w3C28!A:A,[1]Table2_V5_w3C28!E:E,nan(),0)</f>
        <v>53.333300000000001</v>
      </c>
      <c r="E150" s="1">
        <f>_xlfn.XLOOKUP($A150,[1]Table7_badETA!$A:$A,[1]Table7_badETA!C:C,"-",0)</f>
        <v>3.6769999999999997E-2</v>
      </c>
      <c r="F150" s="1">
        <f>_xlfn.XLOOKUP($A150,[1]Table7_badETA!$A:$A,[1]Table7_badETA!E:E,"-",0)</f>
        <v>4.4939999999999997E-3</v>
      </c>
      <c r="G150" s="5">
        <f>_xlfn.XLOOKUP($A150,[1]Table7_badETA!$A:$A,[1]Table7_badETA!F:F,"-",0)</f>
        <v>1.79E-7</v>
      </c>
      <c r="H150" s="6">
        <f>_xlfn.XLOOKUP($A150,[1]Table7_badETA!$A:$A,[1]Table7_badETA!H:H,"-",0)</f>
        <v>1.5599999999999999E-7</v>
      </c>
      <c r="I150" s="2">
        <f>_xlfn.XLOOKUP($A150,[1]Table7_badETA!$A:$A,[1]Table7_badETA!M:M,"-",0)</f>
        <v>0.94669999999999999</v>
      </c>
      <c r="J150" s="2">
        <f>_xlfn.XLOOKUP($A150,[1]Table7_badETA!$A:$A,[1]Table7_badETA!O:O,"-",0)</f>
        <v>1.6830000000000001E-2</v>
      </c>
      <c r="K150" s="2">
        <f>_xlfn.XLOOKUP($A150,[1]morph_04R500.dat!$A:$A,[1]morph_04R500.dat!P:P,"-",0)</f>
        <v>-41.07</v>
      </c>
      <c r="L150" s="2">
        <f>_xlfn.XLOOKUP($A150,[1]morph_04R500.dat!$A:$A,[1]morph_04R500.dat!R:R,"-",0)</f>
        <v>9.875</v>
      </c>
      <c r="M150" s="2" t="str">
        <f>_xlfn.XLOOKUP($A150,[1]Table7_badETA!$A:$A,[1]Table7_badETA!T:T,"-",0)</f>
        <v>-</v>
      </c>
      <c r="N150" s="2" t="str">
        <f>_xlfn.XLOOKUP($A150,[1]Table7_badETA!$A:$A,[1]Table7_badETA!U:U,"-",0)</f>
        <v>-</v>
      </c>
      <c r="O150" s="7">
        <f>_xlfn.XLOOKUP($A150,[1]Table7_badETA!$A:$A,[1]Table7_badETA!S:S,"-",0)</f>
        <v>524.60265000000004</v>
      </c>
    </row>
    <row r="151" spans="1:15" x14ac:dyDescent="0.2">
      <c r="A151" s="8" t="s">
        <v>162</v>
      </c>
      <c r="B151" s="8" cm="1">
        <f t="array" aca="1" ref="B151" ca="1">_xlfn.XLOOKUP(A151,[1]Table2_V5_w3C28!A:A,[1]Table2_V5_w3C28!B:B,nan(),0)</f>
        <v>0.35199999999999998</v>
      </c>
      <c r="C151" s="8" cm="1">
        <f t="array" aca="1" ref="C151" ca="1">_xlfn.XLOOKUP(A151,[1]Table2_V5_w3C28!A:A,[1]Table2_V5_w3C28!D:D,nan(),0)</f>
        <v>168.96610000000001</v>
      </c>
      <c r="D151" s="8" cm="1">
        <f t="array" aca="1" ref="D151" ca="1">_xlfn.XLOOKUP(A151,[1]Table2_V5_w3C28!A:A,[1]Table2_V5_w3C28!E:E,nan(),0)</f>
        <v>1.4990000000000001</v>
      </c>
      <c r="E151" s="1">
        <f>_xlfn.XLOOKUP($A151,[1]Table7_badETA!$A:$A,[1]Table7_badETA!C:C,"-",0)</f>
        <v>2.5729999999999999E-2</v>
      </c>
      <c r="F151" s="1">
        <f>_xlfn.XLOOKUP($A151,[1]Table7_badETA!$A:$A,[1]Table7_badETA!E:E,"-",0)</f>
        <v>2.6099999999999999E-3</v>
      </c>
      <c r="G151" s="5">
        <f>_xlfn.XLOOKUP($A151,[1]Table7_badETA!$A:$A,[1]Table7_badETA!F:F,"-",0)</f>
        <v>8.5299999999999993E-9</v>
      </c>
      <c r="H151" s="6">
        <f>_xlfn.XLOOKUP($A151,[1]Table7_badETA!$A:$A,[1]Table7_badETA!H:H,"-",0)</f>
        <v>9.2500000000000001E-9</v>
      </c>
      <c r="I151" s="2">
        <f>_xlfn.XLOOKUP($A151,[1]Table7_badETA!$A:$A,[1]Table7_badETA!M:M,"-",0)</f>
        <v>0.86080000000000001</v>
      </c>
      <c r="J151" s="2">
        <f>_xlfn.XLOOKUP($A151,[1]Table7_badETA!$A:$A,[1]Table7_badETA!O:O,"-",0)</f>
        <v>6.2300000000000003E-3</v>
      </c>
      <c r="K151" s="2">
        <f>_xlfn.XLOOKUP($A151,[1]morph_04R500.dat!$A:$A,[1]morph_04R500.dat!P:P,"-",0)</f>
        <v>-31.29</v>
      </c>
      <c r="L151" s="2">
        <f>_xlfn.XLOOKUP($A151,[1]morph_04R500.dat!$A:$A,[1]morph_04R500.dat!R:R,"-",0)</f>
        <v>1.3859999999999999</v>
      </c>
      <c r="M151" s="2">
        <f>_xlfn.XLOOKUP($A151,[1]Table7_badETA!$A:$A,[1]Table7_badETA!T:T,"-",0)</f>
        <v>0.69980609906575009</v>
      </c>
      <c r="N151" s="2">
        <f>_xlfn.XLOOKUP($A151,[1]Table7_badETA!$A:$A,[1]Table7_badETA!U:U,"-",0)</f>
        <v>7.6299474098380365E-3</v>
      </c>
      <c r="O151" s="7">
        <f>_xlfn.XLOOKUP($A151,[1]Table7_badETA!$A:$A,[1]Table7_badETA!S:S,"-",0)</f>
        <v>543.14903000000004</v>
      </c>
    </row>
    <row r="152" spans="1:15" x14ac:dyDescent="0.2">
      <c r="A152" s="8" t="s">
        <v>163</v>
      </c>
      <c r="B152" s="8" cm="1">
        <f t="array" aca="1" ref="B152" ca="1">_xlfn.XLOOKUP(A152,[1]Table2_V5_w3C28!A:A,[1]Table2_V5_w3C28!B:B,nan(),0)</f>
        <v>0.56200000000000006</v>
      </c>
      <c r="C152" s="8" cm="1">
        <f t="array" aca="1" ref="C152" ca="1">_xlfn.XLOOKUP(A152,[1]Table2_V5_w3C28!A:A,[1]Table2_V5_w3C28!D:D,nan(),0)</f>
        <v>170.2379</v>
      </c>
      <c r="D152" s="8" cm="1">
        <f t="array" aca="1" ref="D152" ca="1">_xlfn.XLOOKUP(A152,[1]Table2_V5_w3C28!A:A,[1]Table2_V5_w3C28!E:E,nan(),0)</f>
        <v>23.4419</v>
      </c>
      <c r="E152" s="1">
        <f>_xlfn.XLOOKUP($A152,[1]Table7_badETA!$A:$A,[1]Table7_badETA!C:C,"-",0)</f>
        <v>0.1128</v>
      </c>
      <c r="F152" s="1">
        <f>_xlfn.XLOOKUP($A152,[1]Table7_badETA!$A:$A,[1]Table7_badETA!E:E,"-",0)</f>
        <v>1.405E-2</v>
      </c>
      <c r="G152" s="5">
        <f>_xlfn.XLOOKUP($A152,[1]Table7_badETA!$A:$A,[1]Table7_badETA!F:F,"-",0)</f>
        <v>3.6399999999999999E-6</v>
      </c>
      <c r="H152" s="6">
        <f>_xlfn.XLOOKUP($A152,[1]Table7_badETA!$A:$A,[1]Table7_badETA!H:H,"-",0)</f>
        <v>1.17E-6</v>
      </c>
      <c r="I152" s="2">
        <f>_xlfn.XLOOKUP($A152,[1]Table7_badETA!$A:$A,[1]Table7_badETA!M:M,"-",0)</f>
        <v>0.96350000000000002</v>
      </c>
      <c r="J152" s="2">
        <f>_xlfn.XLOOKUP($A152,[1]Table7_badETA!$A:$A,[1]Table7_badETA!O:O,"-",0)</f>
        <v>3.1269999999999999E-2</v>
      </c>
      <c r="K152" s="2">
        <f>_xlfn.XLOOKUP($A152,[1]morph_04R500.dat!$A:$A,[1]morph_04R500.dat!P:P,"-",0)</f>
        <v>-19.38</v>
      </c>
      <c r="L152" s="2">
        <f>_xlfn.XLOOKUP($A152,[1]morph_04R500.dat!$A:$A,[1]morph_04R500.dat!R:R,"-",0)</f>
        <v>29.41</v>
      </c>
      <c r="M152" s="2" t="str">
        <f>_xlfn.XLOOKUP($A152,[1]Table7_badETA!$A:$A,[1]Table7_badETA!T:T,"-",0)</f>
        <v>-</v>
      </c>
      <c r="N152" s="2" t="str">
        <f>_xlfn.XLOOKUP($A152,[1]Table7_badETA!$A:$A,[1]Table7_badETA!U:U,"-",0)</f>
        <v>-</v>
      </c>
      <c r="O152" s="7">
        <f>_xlfn.XLOOKUP($A152,[1]Table7_badETA!$A:$A,[1]Table7_badETA!S:S,"-",0)</f>
        <v>299.15159</v>
      </c>
    </row>
    <row r="153" spans="1:15" x14ac:dyDescent="0.2">
      <c r="A153" s="8" t="s">
        <v>164</v>
      </c>
      <c r="B153" s="8" cm="1">
        <f t="array" aca="1" ref="B153" ca="1">_xlfn.XLOOKUP(A153,[1]Table2_V5_w3C28!A:A,[1]Table2_V5_w3C28!B:B,nan(),0)</f>
        <v>0.06</v>
      </c>
      <c r="C153" s="8" cm="1">
        <f t="array" aca="1" ref="C153" ca="1">_xlfn.XLOOKUP(A153,[1]Table2_V5_w3C28!A:A,[1]Table2_V5_w3C28!D:D,nan(),0)</f>
        <v>172.51310000000001</v>
      </c>
      <c r="D153" s="8" cm="1">
        <f t="array" aca="1" ref="D153" ca="1">_xlfn.XLOOKUP(A153,[1]Table2_V5_w3C28!A:A,[1]Table2_V5_w3C28!E:E,nan(),0)</f>
        <v>36.637</v>
      </c>
      <c r="E153" s="1">
        <f>_xlfn.XLOOKUP($A153,[1]Table7_badETA!$A:$A,[1]Table7_badETA!C:C,"-",0)</f>
        <v>2.5780000000000001E-2</v>
      </c>
      <c r="F153" s="1">
        <f>_xlfn.XLOOKUP($A153,[1]Table7_badETA!$A:$A,[1]Table7_badETA!E:E,"-",0)</f>
        <v>1.91E-3</v>
      </c>
      <c r="G153" s="5">
        <f>_xlfn.XLOOKUP($A153,[1]Table7_badETA!$A:$A,[1]Table7_badETA!F:F,"-",0)</f>
        <v>8.9800000000000002E-7</v>
      </c>
      <c r="H153" s="6">
        <f>_xlfn.XLOOKUP($A153,[1]Table7_badETA!$A:$A,[1]Table7_badETA!H:H,"-",0)</f>
        <v>1.18E-7</v>
      </c>
      <c r="I153" s="2">
        <f>_xlfn.XLOOKUP($A153,[1]Table7_badETA!$A:$A,[1]Table7_badETA!M:M,"-",0)</f>
        <v>0.8569</v>
      </c>
      <c r="J153" s="2">
        <f>_xlfn.XLOOKUP($A153,[1]Table7_badETA!$A:$A,[1]Table7_badETA!O:O,"-",0)</f>
        <v>5.5570000000000003E-3</v>
      </c>
      <c r="K153" s="2">
        <f>_xlfn.XLOOKUP($A153,[1]morph_04R500.dat!$A:$A,[1]morph_04R500.dat!P:P,"-",0)</f>
        <v>76.22</v>
      </c>
      <c r="L153" s="2">
        <f>_xlfn.XLOOKUP($A153,[1]morph_04R500.dat!$A:$A,[1]morph_04R500.dat!R:R,"-",0)</f>
        <v>1.379</v>
      </c>
      <c r="M153" s="2">
        <f>_xlfn.XLOOKUP($A153,[1]Table7_badETA!$A:$A,[1]Table7_badETA!T:T,"-",0)</f>
        <v>0.50832359813084105</v>
      </c>
      <c r="N153" s="2">
        <f>_xlfn.XLOOKUP($A153,[1]Table7_badETA!$A:$A,[1]Table7_badETA!U:U,"-",0)</f>
        <v>2.8230670799295129E-2</v>
      </c>
      <c r="O153" s="7">
        <f>_xlfn.XLOOKUP($A153,[1]Table7_badETA!$A:$A,[1]Table7_badETA!S:S,"-",0)</f>
        <v>266.74234000000001</v>
      </c>
    </row>
    <row r="154" spans="1:15" x14ac:dyDescent="0.2">
      <c r="A154" s="8" t="s">
        <v>165</v>
      </c>
      <c r="B154" s="8" cm="1">
        <f t="array" aca="1" ref="B154" ca="1">_xlfn.XLOOKUP(A154,[1]Table2_V5_w3C28!A:A,[1]Table2_V5_w3C28!B:B,nan(),0)</f>
        <v>0.78200000000000003</v>
      </c>
      <c r="C154" s="8" cm="1">
        <f t="array" aca="1" ref="C154" ca="1">_xlfn.XLOOKUP(A154,[1]Table2_V5_w3C28!A:A,[1]Table2_V5_w3C28!D:D,nan(),0)</f>
        <v>175.09350000000001</v>
      </c>
      <c r="D154" s="8" cm="1">
        <f t="array" aca="1" ref="D154" ca="1">_xlfn.XLOOKUP(A154,[1]Table2_V5_w3C28!A:A,[1]Table2_V5_w3C28!E:E,nan(),0)</f>
        <v>66.137600000000006</v>
      </c>
      <c r="E154" s="1">
        <f>_xlfn.XLOOKUP($A154,[1]Table7_badETA!$A:$A,[1]Table7_badETA!C:C,"-",0)</f>
        <v>7.7619999999999995E-2</v>
      </c>
      <c r="F154" s="1">
        <f>_xlfn.XLOOKUP($A154,[1]Table7_badETA!$A:$A,[1]Table7_badETA!E:E,"-",0)</f>
        <v>9.7210000000000005E-3</v>
      </c>
      <c r="G154" s="5">
        <f>_xlfn.XLOOKUP($A154,[1]Table7_badETA!$A:$A,[1]Table7_badETA!F:F,"-",0)</f>
        <v>2.2700000000000001E-8</v>
      </c>
      <c r="H154" s="6">
        <f>_xlfn.XLOOKUP($A154,[1]Table7_badETA!$A:$A,[1]Table7_badETA!H:H,"-",0)</f>
        <v>9.0800000000000006E-8</v>
      </c>
      <c r="I154" s="2">
        <f>_xlfn.XLOOKUP($A154,[1]Table7_badETA!$A:$A,[1]Table7_badETA!M:M,"-",0)</f>
        <v>0.93659999999999999</v>
      </c>
      <c r="J154" s="2">
        <f>_xlfn.XLOOKUP($A154,[1]Table7_badETA!$A:$A,[1]Table7_badETA!O:O,"-",0)</f>
        <v>1.3650000000000001E-2</v>
      </c>
      <c r="K154" s="2">
        <f>_xlfn.XLOOKUP($A154,[1]morph_04R500.dat!$A:$A,[1]morph_04R500.dat!P:P,"-",0)</f>
        <v>-72.3</v>
      </c>
      <c r="L154" s="2">
        <f>_xlfn.XLOOKUP($A154,[1]morph_04R500.dat!$A:$A,[1]morph_04R500.dat!R:R,"-",0)</f>
        <v>7.6669999999999998</v>
      </c>
      <c r="M154" s="2" t="str">
        <f>_xlfn.XLOOKUP($A154,[1]Table7_badETA!$A:$A,[1]Table7_badETA!T:T,"-",0)</f>
        <v>-</v>
      </c>
      <c r="N154" s="2" t="str">
        <f>_xlfn.XLOOKUP($A154,[1]Table7_badETA!$A:$A,[1]Table7_badETA!U:U,"-",0)</f>
        <v>-</v>
      </c>
      <c r="O154" s="7">
        <f>_xlfn.XLOOKUP($A154,[1]Table7_badETA!$A:$A,[1]Table7_badETA!S:S,"-",0)</f>
        <v>286.39487000000003</v>
      </c>
    </row>
    <row r="155" spans="1:15" x14ac:dyDescent="0.2">
      <c r="A155" s="8" t="s">
        <v>166</v>
      </c>
      <c r="B155" s="8" cm="1">
        <f t="array" aca="1" ref="B155" ca="1">_xlfn.XLOOKUP(A155,[1]Table2_V5_w3C28!A:A,[1]Table2_V5_w3C28!B:B,nan(),0)</f>
        <v>0.311</v>
      </c>
      <c r="C155" s="8" cm="1">
        <f t="array" aca="1" ref="C155" ca="1">_xlfn.XLOOKUP(A155,[1]Table2_V5_w3C28!A:A,[1]Table2_V5_w3C28!D:D,nan(),0)</f>
        <v>175.59800000000001</v>
      </c>
      <c r="D155" s="8" cm="1">
        <f t="array" aca="1" ref="D155" ca="1">_xlfn.XLOOKUP(A155,[1]Table2_V5_w3C28!A:A,[1]Table2_V5_w3C28!E:E,nan(),0)</f>
        <v>58.520299999999999</v>
      </c>
      <c r="E155" s="1">
        <f>_xlfn.XLOOKUP($A155,[1]Table7_badETA!$A:$A,[1]Table7_badETA!C:C,"-",0)</f>
        <v>9.0329999999999994E-2</v>
      </c>
      <c r="F155" s="1">
        <f>_xlfn.XLOOKUP($A155,[1]Table7_badETA!$A:$A,[1]Table7_badETA!E:E,"-",0)</f>
        <v>6.7450000000000001E-3</v>
      </c>
      <c r="G155" s="5">
        <f>_xlfn.XLOOKUP($A155,[1]Table7_badETA!$A:$A,[1]Table7_badETA!F:F,"-",0)</f>
        <v>2.1500000000000001E-7</v>
      </c>
      <c r="H155" s="6">
        <f>_xlfn.XLOOKUP($A155,[1]Table7_badETA!$A:$A,[1]Table7_badETA!H:H,"-",0)</f>
        <v>1.04E-7</v>
      </c>
      <c r="I155" s="2">
        <f>_xlfn.XLOOKUP($A155,[1]Table7_badETA!$A:$A,[1]Table7_badETA!M:M,"-",0)</f>
        <v>0.89959999999999996</v>
      </c>
      <c r="J155" s="2">
        <f>_xlfn.XLOOKUP($A155,[1]Table7_badETA!$A:$A,[1]Table7_badETA!O:O,"-",0)</f>
        <v>6.8999999999999999E-3</v>
      </c>
      <c r="K155" s="2">
        <f>_xlfn.XLOOKUP($A155,[1]morph_04R500.dat!$A:$A,[1]morph_04R500.dat!P:P,"-",0)</f>
        <v>8.6379999999999999</v>
      </c>
      <c r="L155" s="2">
        <f>_xlfn.XLOOKUP($A155,[1]morph_04R500.dat!$A:$A,[1]morph_04R500.dat!R:R,"-",0)</f>
        <v>2.637</v>
      </c>
      <c r="M155" s="2">
        <f>_xlfn.XLOOKUP($A155,[1]Table7_badETA!$A:$A,[1]Table7_badETA!T:T,"-",0)</f>
        <v>0.27324848790322581</v>
      </c>
      <c r="N155" s="2">
        <f>_xlfn.XLOOKUP($A155,[1]Table7_badETA!$A:$A,[1]Table7_badETA!U:U,"-",0)</f>
        <v>9.0167232472322164E-3</v>
      </c>
      <c r="O155" s="7">
        <f>_xlfn.XLOOKUP($A155,[1]Table7_badETA!$A:$A,[1]Table7_badETA!S:S,"-",0)</f>
        <v>538.13972999999999</v>
      </c>
    </row>
    <row r="156" spans="1:15" x14ac:dyDescent="0.2">
      <c r="A156" s="8" t="s">
        <v>167</v>
      </c>
      <c r="B156" s="8" cm="1">
        <f t="array" aca="1" ref="B156" ca="1">_xlfn.XLOOKUP(A156,[1]Table2_V5_w3C28!A:A,[1]Table2_V5_w3C28!B:B,nan(),0)</f>
        <v>0.5444</v>
      </c>
      <c r="C156" s="8" cm="1">
        <f t="array" aca="1" ref="C156" ca="1">_xlfn.XLOOKUP(A156,[1]Table2_V5_w3C28!A:A,[1]Table2_V5_w3C28!D:D,nan(),0)</f>
        <v>177.39940000000001</v>
      </c>
      <c r="D156" s="8" cm="1">
        <f t="array" aca="1" ref="D156" ca="1">_xlfn.XLOOKUP(A156,[1]Table2_V5_w3C28!A:A,[1]Table2_V5_w3C28!E:E,nan(),0)</f>
        <v>22.398599999999998</v>
      </c>
      <c r="E156" s="1">
        <f>_xlfn.XLOOKUP($A156,[1]Table7_badETA!$A:$A,[1]Table7_badETA!C:C,"-",0)</f>
        <v>3.4040000000000001E-2</v>
      </c>
      <c r="F156" s="1">
        <f>_xlfn.XLOOKUP($A156,[1]Table7_badETA!$A:$A,[1]Table7_badETA!E:E,"-",0)</f>
        <v>7.1149999999999998E-3</v>
      </c>
      <c r="G156" s="5">
        <f>_xlfn.XLOOKUP($A156,[1]Table7_badETA!$A:$A,[1]Table7_badETA!F:F,"-",0)</f>
        <v>2.8500000000000002E-7</v>
      </c>
      <c r="H156" s="6">
        <f>_xlfn.XLOOKUP($A156,[1]Table7_badETA!$A:$A,[1]Table7_badETA!H:H,"-",0)</f>
        <v>1.31E-7</v>
      </c>
      <c r="I156" s="2">
        <f>_xlfn.XLOOKUP($A156,[1]Table7_badETA!$A:$A,[1]Table7_badETA!M:M,"-",0)</f>
        <v>0.80900000000000005</v>
      </c>
      <c r="J156" s="2">
        <f>_xlfn.XLOOKUP($A156,[1]Table7_badETA!$A:$A,[1]Table7_badETA!O:O,"-",0)</f>
        <v>9.1610000000000007E-3</v>
      </c>
      <c r="K156" s="2">
        <f>_xlfn.XLOOKUP($A156,[1]morph_04R500.dat!$A:$A,[1]morph_04R500.dat!P:P,"-",0)</f>
        <v>-35.950000000000003</v>
      </c>
      <c r="L156" s="2">
        <f>_xlfn.XLOOKUP($A156,[1]morph_04R500.dat!$A:$A,[1]morph_04R500.dat!R:R,"-",0)</f>
        <v>1.43</v>
      </c>
      <c r="M156" s="2">
        <f>_xlfn.XLOOKUP($A156,[1]Table7_badETA!$A:$A,[1]Table7_badETA!T:T,"-",0)</f>
        <v>0.29694061187762449</v>
      </c>
      <c r="N156" s="2">
        <f>_xlfn.XLOOKUP($A156,[1]Table7_badETA!$A:$A,[1]Table7_badETA!U:U,"-",0)</f>
        <v>1.4239946104857393E-2</v>
      </c>
      <c r="O156" s="7">
        <f>_xlfn.XLOOKUP($A156,[1]Table7_badETA!$A:$A,[1]Table7_badETA!S:S,"-",0)</f>
        <v>446.07765999999998</v>
      </c>
    </row>
    <row r="157" spans="1:15" x14ac:dyDescent="0.2">
      <c r="A157" s="8" t="s">
        <v>168</v>
      </c>
      <c r="B157" s="8" cm="1">
        <f t="array" aca="1" ref="B157" ca="1">_xlfn.XLOOKUP(A157,[1]Table2_V5_w3C28!A:A,[1]Table2_V5_w3C28!B:B,nan(),0)</f>
        <v>0.14299999999999999</v>
      </c>
      <c r="C157" s="8" cm="1">
        <f t="array" aca="1" ref="C157" ca="1">_xlfn.XLOOKUP(A157,[1]Table2_V5_w3C28!A:A,[1]Table2_V5_w3C28!D:D,nan(),0)</f>
        <v>178.82470000000001</v>
      </c>
      <c r="D157" s="8" cm="1">
        <f t="array" aca="1" ref="D157" ca="1">_xlfn.XLOOKUP(A157,[1]Table2_V5_w3C28!A:A,[1]Table2_V5_w3C28!E:E,nan(),0)</f>
        <v>23.4057</v>
      </c>
      <c r="E157" s="1">
        <f>_xlfn.XLOOKUP($A157,[1]Table7_badETA!$A:$A,[1]Table7_badETA!C:C,"-",0)</f>
        <v>2.1270000000000001E-2</v>
      </c>
      <c r="F157" s="1">
        <f>_xlfn.XLOOKUP($A157,[1]Table7_badETA!$A:$A,[1]Table7_badETA!E:E,"-",0)</f>
        <v>5.4799999999999998E-4</v>
      </c>
      <c r="G157" s="5">
        <f>_xlfn.XLOOKUP($A157,[1]Table7_badETA!$A:$A,[1]Table7_badETA!F:F,"-",0)</f>
        <v>6.8200000000000002E-8</v>
      </c>
      <c r="H157" s="6">
        <f>_xlfn.XLOOKUP($A157,[1]Table7_badETA!$A:$A,[1]Table7_badETA!H:H,"-",0)</f>
        <v>8.1400000000000004E-9</v>
      </c>
      <c r="I157" s="2">
        <f>_xlfn.XLOOKUP($A157,[1]Table7_badETA!$A:$A,[1]Table7_badETA!M:M,"-",0)</f>
        <v>0.86909999999999998</v>
      </c>
      <c r="J157" s="2">
        <f>_xlfn.XLOOKUP($A157,[1]Table7_badETA!$A:$A,[1]Table7_badETA!O:O,"-",0)</f>
        <v>2.3440000000000002E-3</v>
      </c>
      <c r="K157" s="2">
        <f>_xlfn.XLOOKUP($A157,[1]morph_04R500.dat!$A:$A,[1]morph_04R500.dat!P:P,"-",0)</f>
        <v>-12.49</v>
      </c>
      <c r="L157" s="2">
        <f>_xlfn.XLOOKUP($A157,[1]morph_04R500.dat!$A:$A,[1]morph_04R500.dat!R:R,"-",0)</f>
        <v>0.50309999999999999</v>
      </c>
      <c r="M157" s="2">
        <f>_xlfn.XLOOKUP($A157,[1]Table7_badETA!$A:$A,[1]Table7_badETA!T:T,"-",0)</f>
        <v>0.62924400181077411</v>
      </c>
      <c r="N157" s="2">
        <f>_xlfn.XLOOKUP($A157,[1]Table7_badETA!$A:$A,[1]Table7_badETA!U:U,"-",0)</f>
        <v>3.3736794110860173E-3</v>
      </c>
      <c r="O157" s="7">
        <f>_xlfn.XLOOKUP($A157,[1]Table7_badETA!$A:$A,[1]Table7_badETA!S:S,"-",0)</f>
        <v>522.65936999999997</v>
      </c>
    </row>
    <row r="158" spans="1:15" x14ac:dyDescent="0.2">
      <c r="A158" s="8" t="s">
        <v>169</v>
      </c>
      <c r="B158" s="8" cm="1">
        <f t="array" aca="1" ref="B158" ca="1">_xlfn.XLOOKUP(A158,[1]Table2_V5_w3C28!A:A,[1]Table2_V5_w3C28!B:B,nan(),0)</f>
        <v>0.21299999999999999</v>
      </c>
      <c r="C158" s="8" cm="1">
        <f t="array" aca="1" ref="C158" ca="1">_xlfn.XLOOKUP(A158,[1]Table2_V5_w3C28!A:A,[1]Table2_V5_w3C28!D:D,nan(),0)</f>
        <v>179.3218</v>
      </c>
      <c r="D158" s="8" cm="1">
        <f t="array" aca="1" ref="D158" ca="1">_xlfn.XLOOKUP(A158,[1]Table2_V5_w3C28!A:A,[1]Table2_V5_w3C28!E:E,nan(),0)</f>
        <v>33.610999999999997</v>
      </c>
      <c r="E158" s="1">
        <f>_xlfn.XLOOKUP($A158,[1]Table7_badETA!$A:$A,[1]Table7_badETA!C:C,"-",0)</f>
        <v>2.1420000000000002E-2</v>
      </c>
      <c r="F158" s="1">
        <f>_xlfn.XLOOKUP($A158,[1]Table7_badETA!$A:$A,[1]Table7_badETA!E:E,"-",0)</f>
        <v>3.9699999999999996E-3</v>
      </c>
      <c r="G158" s="5">
        <f>_xlfn.XLOOKUP($A158,[1]Table7_badETA!$A:$A,[1]Table7_badETA!F:F,"-",0)</f>
        <v>7.06E-9</v>
      </c>
      <c r="H158" s="6">
        <f>_xlfn.XLOOKUP($A158,[1]Table7_badETA!$A:$A,[1]Table7_badETA!H:H,"-",0)</f>
        <v>1.6199999999999999E-8</v>
      </c>
      <c r="I158" s="2">
        <f>_xlfn.XLOOKUP($A158,[1]Table7_badETA!$A:$A,[1]Table7_badETA!M:M,"-",0)</f>
        <v>0.90069999999999995</v>
      </c>
      <c r="J158" s="2">
        <f>_xlfn.XLOOKUP($A158,[1]Table7_badETA!$A:$A,[1]Table7_badETA!O:O,"-",0)</f>
        <v>7.6439999999999998E-3</v>
      </c>
      <c r="K158" s="2">
        <f>_xlfn.XLOOKUP($A158,[1]morph_04R500.dat!$A:$A,[1]morph_04R500.dat!P:P,"-",0)</f>
        <v>56.15</v>
      </c>
      <c r="L158" s="2">
        <f>_xlfn.XLOOKUP($A158,[1]morph_04R500.dat!$A:$A,[1]morph_04R500.dat!R:R,"-",0)</f>
        <v>2.4129999999999998</v>
      </c>
      <c r="M158" s="2">
        <f>_xlfn.XLOOKUP($A158,[1]Table7_badETA!$A:$A,[1]Table7_badETA!T:T,"-",0)</f>
        <v>0.53430353430353428</v>
      </c>
      <c r="N158" s="2">
        <f>_xlfn.XLOOKUP($A158,[1]Table7_badETA!$A:$A,[1]Table7_badETA!U:U,"-",0)</f>
        <v>1.1175970288911331E-2</v>
      </c>
      <c r="O158" s="7">
        <f>_xlfn.XLOOKUP($A158,[1]Table7_badETA!$A:$A,[1]Table7_badETA!S:S,"-",0)</f>
        <v>445.30302999999998</v>
      </c>
    </row>
    <row r="159" spans="1:15" x14ac:dyDescent="0.2">
      <c r="A159" s="8" t="s">
        <v>170</v>
      </c>
      <c r="B159" s="8" cm="1">
        <f t="array" aca="1" ref="B159" ca="1">_xlfn.XLOOKUP(A159,[1]Table2_V5_w3C28!A:A,[1]Table2_V5_w3C28!B:B,nan(),0)</f>
        <v>8.1000000000000003E-2</v>
      </c>
      <c r="C159" s="8" cm="1">
        <f t="array" aca="1" ref="C159" ca="1">_xlfn.XLOOKUP(A159,[1]Table2_V5_w3C28!A:A,[1]Table2_V5_w3C28!D:D,nan(),0)</f>
        <v>179.9675</v>
      </c>
      <c r="D159" s="8" cm="1">
        <f t="array" aca="1" ref="D159" ca="1">_xlfn.XLOOKUP(A159,[1]Table2_V5_w3C28!A:A,[1]Table2_V5_w3C28!E:E,nan(),0)</f>
        <v>55.534799999999997</v>
      </c>
      <c r="E159" s="1">
        <f>_xlfn.XLOOKUP($A159,[1]Table7_badETA!$A:$A,[1]Table7_badETA!C:C,"-",0)</f>
        <v>1.9990000000000001E-2</v>
      </c>
      <c r="F159" s="1">
        <f>_xlfn.XLOOKUP($A159,[1]Table7_badETA!$A:$A,[1]Table7_badETA!E:E,"-",0)</f>
        <v>3.258E-3</v>
      </c>
      <c r="G159" s="5">
        <f>_xlfn.XLOOKUP($A159,[1]Table7_badETA!$A:$A,[1]Table7_badETA!F:F,"-",0)</f>
        <v>1.7E-8</v>
      </c>
      <c r="H159" s="6">
        <f>_xlfn.XLOOKUP($A159,[1]Table7_badETA!$A:$A,[1]Table7_badETA!H:H,"-",0)</f>
        <v>2.36E-8</v>
      </c>
      <c r="I159" s="2">
        <f>_xlfn.XLOOKUP($A159,[1]Table7_badETA!$A:$A,[1]Table7_badETA!M:M,"-",0)</f>
        <v>0.99360000000000004</v>
      </c>
      <c r="J159" s="2">
        <f>_xlfn.XLOOKUP($A159,[1]Table7_badETA!$A:$A,[1]Table7_badETA!O:O,"-",0)</f>
        <v>8.1949999999999992E-3</v>
      </c>
      <c r="K159" s="2">
        <f>_xlfn.XLOOKUP($A159,[1]morph_04R500.dat!$A:$A,[1]morph_04R500.dat!P:P,"-",0)</f>
        <v>50.57</v>
      </c>
      <c r="L159" s="2">
        <f>_xlfn.XLOOKUP($A159,[1]morph_04R500.dat!$A:$A,[1]morph_04R500.dat!R:R,"-",0)</f>
        <v>37.86</v>
      </c>
      <c r="M159" s="2">
        <f>_xlfn.XLOOKUP($A159,[1]Table7_badETA!$A:$A,[1]Table7_badETA!T:T,"-",0)</f>
        <v>0.63527916299990217</v>
      </c>
      <c r="N159" s="2">
        <f>_xlfn.XLOOKUP($A159,[1]Table7_badETA!$A:$A,[1]Table7_badETA!U:U,"-",0)</f>
        <v>2.0707508043493212E-2</v>
      </c>
      <c r="O159" s="7">
        <f>_xlfn.XLOOKUP($A159,[1]Table7_badETA!$A:$A,[1]Table7_badETA!S:S,"-",0)</f>
        <v>242.90001000000001</v>
      </c>
    </row>
    <row r="160" spans="1:15" x14ac:dyDescent="0.2">
      <c r="A160" s="8" t="s">
        <v>171</v>
      </c>
      <c r="B160" s="8" cm="1">
        <f t="array" aca="1" ref="B160" ca="1">_xlfn.XLOOKUP(A160,[1]Table2_V5_w3C28!A:A,[1]Table2_V5_w3C28!B:B,nan(),0)</f>
        <v>0.3</v>
      </c>
      <c r="C160" s="8" cm="1">
        <f t="array" aca="1" ref="C160" ca="1">_xlfn.XLOOKUP(A160,[1]Table2_V5_w3C28!A:A,[1]Table2_V5_w3C28!D:D,nan(),0)</f>
        <v>180.2724</v>
      </c>
      <c r="D160" s="8" cm="1">
        <f t="array" aca="1" ref="D160" ca="1">_xlfn.XLOOKUP(A160,[1]Table2_V5_w3C28!A:A,[1]Table2_V5_w3C28!E:E,nan(),0)</f>
        <v>-39.874499999999998</v>
      </c>
      <c r="E160" s="1">
        <f>_xlfn.XLOOKUP($A160,[1]Table7_badETA!$A:$A,[1]Table7_badETA!C:C,"-",0)</f>
        <v>8.8849999999999998E-2</v>
      </c>
      <c r="F160" s="1">
        <f>_xlfn.XLOOKUP($A160,[1]Table7_badETA!$A:$A,[1]Table7_badETA!E:E,"-",0)</f>
        <v>6.6480000000000003E-3</v>
      </c>
      <c r="G160" s="5">
        <f>_xlfn.XLOOKUP($A160,[1]Table7_badETA!$A:$A,[1]Table7_badETA!F:F,"-",0)</f>
        <v>2.0100000000000001E-7</v>
      </c>
      <c r="H160" s="6">
        <f>_xlfn.XLOOKUP($A160,[1]Table7_badETA!$A:$A,[1]Table7_badETA!H:H,"-",0)</f>
        <v>1.11E-7</v>
      </c>
      <c r="I160" s="2">
        <f>_xlfn.XLOOKUP($A160,[1]Table7_badETA!$A:$A,[1]Table7_badETA!M:M,"-",0)</f>
        <v>0.90129999999999999</v>
      </c>
      <c r="J160" s="2">
        <f>_xlfn.XLOOKUP($A160,[1]Table7_badETA!$A:$A,[1]Table7_badETA!O:O,"-",0)</f>
        <v>2.4500000000000001E-2</v>
      </c>
      <c r="K160" s="2">
        <f>_xlfn.XLOOKUP($A160,[1]morph_04R500.dat!$A:$A,[1]morph_04R500.dat!P:P,"-",0)</f>
        <v>-4.4409999999999998</v>
      </c>
      <c r="L160" s="2">
        <f>_xlfn.XLOOKUP($A160,[1]morph_04R500.dat!$A:$A,[1]morph_04R500.dat!R:R,"-",0)</f>
        <v>2.4889999999999999</v>
      </c>
      <c r="M160" s="2" t="str">
        <f>_xlfn.XLOOKUP($A160,[1]Table7_badETA!$A:$A,[1]Table7_badETA!T:T,"-",0)</f>
        <v>-</v>
      </c>
      <c r="N160" s="2" t="str">
        <f>_xlfn.XLOOKUP($A160,[1]Table7_badETA!$A:$A,[1]Table7_badETA!U:U,"-",0)</f>
        <v>-</v>
      </c>
      <c r="O160" s="7">
        <f>_xlfn.XLOOKUP($A160,[1]Table7_badETA!$A:$A,[1]Table7_badETA!S:S,"-",0)</f>
        <v>544.70381999999995</v>
      </c>
    </row>
    <row r="161" spans="1:15" x14ac:dyDescent="0.2">
      <c r="A161" s="8" t="s">
        <v>172</v>
      </c>
      <c r="B161" s="8" cm="1">
        <f t="array" aca="1" ref="B161" ca="1">_xlfn.XLOOKUP(A161,[1]Table2_V5_w3C28!A:A,[1]Table2_V5_w3C28!B:B,nan(),0)</f>
        <v>0.10299999999999999</v>
      </c>
      <c r="C161" s="8" cm="1">
        <f t="array" aca="1" ref="C161" ca="1">_xlfn.XLOOKUP(A161,[1]Table2_V5_w3C28!A:A,[1]Table2_V5_w3C28!D:D,nan(),0)</f>
        <v>180.51759999999999</v>
      </c>
      <c r="D161" s="8" cm="1">
        <f t="array" aca="1" ref="D161" ca="1">_xlfn.XLOOKUP(A161,[1]Table2_V5_w3C28!A:A,[1]Table2_V5_w3C28!E:E,nan(),0)</f>
        <v>58.033200000000001</v>
      </c>
      <c r="E161" s="1">
        <f>_xlfn.XLOOKUP($A161,[1]Table7_badETA!$A:$A,[1]Table7_badETA!C:C,"-",0)</f>
        <v>4.1579999999999999E-2</v>
      </c>
      <c r="F161" s="1">
        <f>_xlfn.XLOOKUP($A161,[1]Table7_badETA!$A:$A,[1]Table7_badETA!E:E,"-",0)</f>
        <v>5.8459999999999996E-3</v>
      </c>
      <c r="G161" s="5">
        <f>_xlfn.XLOOKUP($A161,[1]Table7_badETA!$A:$A,[1]Table7_badETA!F:F,"-",0)</f>
        <v>1.5599999999999999E-7</v>
      </c>
      <c r="H161" s="6">
        <f>_xlfn.XLOOKUP($A161,[1]Table7_badETA!$A:$A,[1]Table7_badETA!H:H,"-",0)</f>
        <v>3.8600000000000002E-8</v>
      </c>
      <c r="I161" s="2">
        <f>_xlfn.XLOOKUP($A161,[1]Table7_badETA!$A:$A,[1]Table7_badETA!M:M,"-",0)</f>
        <v>0.97660000000000002</v>
      </c>
      <c r="J161" s="2">
        <f>_xlfn.XLOOKUP($A161,[1]Table7_badETA!$A:$A,[1]Table7_badETA!O:O,"-",0)</f>
        <v>4.7210000000000004E-3</v>
      </c>
      <c r="K161" s="2">
        <f>_xlfn.XLOOKUP($A161,[1]morph_04R500.dat!$A:$A,[1]morph_04R500.dat!P:P,"-",0)</f>
        <v>-48.85</v>
      </c>
      <c r="L161" s="2">
        <f>_xlfn.XLOOKUP($A161,[1]morph_04R500.dat!$A:$A,[1]morph_04R500.dat!R:R,"-",0)</f>
        <v>5.2080000000000002</v>
      </c>
      <c r="M161" s="2">
        <f>_xlfn.XLOOKUP($A161,[1]Table7_badETA!$A:$A,[1]Table7_badETA!T:T,"-",0)</f>
        <v>0.35450043693562483</v>
      </c>
      <c r="N161" s="2">
        <f>_xlfn.XLOOKUP($A161,[1]Table7_badETA!$A:$A,[1]Table7_badETA!U:U,"-",0)</f>
        <v>9.4142105705136165E-3</v>
      </c>
      <c r="O161" s="7">
        <f>_xlfn.XLOOKUP($A161,[1]Table7_badETA!$A:$A,[1]Table7_badETA!S:S,"-",0)</f>
        <v>353.09857</v>
      </c>
    </row>
    <row r="162" spans="1:15" x14ac:dyDescent="0.2">
      <c r="A162" s="8" t="s">
        <v>173</v>
      </c>
      <c r="B162" s="8" cm="1">
        <f t="array" aca="1" ref="B162" ca="1">_xlfn.XLOOKUP(A162,[1]Table2_V5_w3C28!A:A,[1]Table2_V5_w3C28!B:B,nan(),0)</f>
        <v>0.67700000000000005</v>
      </c>
      <c r="C162" s="8" cm="1">
        <f t="array" aca="1" ref="C162" ca="1">_xlfn.XLOOKUP(A162,[1]Table2_V5_w3C28!A:A,[1]Table2_V5_w3C28!D:D,nan(),0)</f>
        <v>180.57769999999999</v>
      </c>
      <c r="D162" s="8" cm="1">
        <f t="array" aca="1" ref="D162" ca="1">_xlfn.XLOOKUP(A162,[1]Table2_V5_w3C28!A:A,[1]Table2_V5_w3C28!E:E,nan(),0)</f>
        <v>57.865900000000003</v>
      </c>
      <c r="E162" s="1">
        <f>_xlfn.XLOOKUP($A162,[1]Table7_badETA!$A:$A,[1]Table7_badETA!C:C,"-",0)</f>
        <v>6.0589999999999998E-2</v>
      </c>
      <c r="F162" s="1">
        <f>_xlfn.XLOOKUP($A162,[1]Table7_badETA!$A:$A,[1]Table7_badETA!E:E,"-",0)</f>
        <v>1.456E-2</v>
      </c>
      <c r="G162" s="5">
        <f>_xlfn.XLOOKUP($A162,[1]Table7_badETA!$A:$A,[1]Table7_badETA!F:F,"-",0)</f>
        <v>5.2900000000000004E-7</v>
      </c>
      <c r="H162" s="6">
        <f>_xlfn.XLOOKUP($A162,[1]Table7_badETA!$A:$A,[1]Table7_badETA!H:H,"-",0)</f>
        <v>1.33E-6</v>
      </c>
      <c r="I162" s="2">
        <f>_xlfn.XLOOKUP($A162,[1]Table7_badETA!$A:$A,[1]Table7_badETA!M:M,"-",0)</f>
        <v>0.89670000000000005</v>
      </c>
      <c r="J162" s="2">
        <f>_xlfn.XLOOKUP($A162,[1]Table7_badETA!$A:$A,[1]Table7_badETA!O:O,"-",0)</f>
        <v>6.8110000000000004E-2</v>
      </c>
      <c r="K162" s="2">
        <f>_xlfn.XLOOKUP($A162,[1]morph_04R500.dat!$A:$A,[1]morph_04R500.dat!P:P,"-",0)</f>
        <v>82.38</v>
      </c>
      <c r="L162" s="2">
        <f>_xlfn.XLOOKUP($A162,[1]morph_04R500.dat!$A:$A,[1]morph_04R500.dat!R:R,"-",0)</f>
        <v>15.16</v>
      </c>
      <c r="M162" s="2" t="str">
        <f>_xlfn.XLOOKUP($A162,[1]Table7_badETA!$A:$A,[1]Table7_badETA!T:T,"-",0)</f>
        <v>-</v>
      </c>
      <c r="N162" s="2" t="str">
        <f>_xlfn.XLOOKUP($A162,[1]Table7_badETA!$A:$A,[1]Table7_badETA!U:U,"-",0)</f>
        <v>-</v>
      </c>
      <c r="O162" s="7">
        <f>_xlfn.XLOOKUP($A162,[1]Table7_badETA!$A:$A,[1]Table7_badETA!S:S,"-",0)</f>
        <v>251.48544000000001</v>
      </c>
    </row>
    <row r="163" spans="1:15" x14ac:dyDescent="0.2">
      <c r="A163" s="8" t="s">
        <v>174</v>
      </c>
      <c r="B163" s="8" cm="1">
        <f t="array" aca="1" ref="B163" ca="1">_xlfn.XLOOKUP(A163,[1]Table2_V5_w3C28!A:A,[1]Table2_V5_w3C28!B:B,nan(),0)</f>
        <v>0.44</v>
      </c>
      <c r="C163" s="8" cm="1">
        <f t="array" aca="1" ref="C163" ca="1">_xlfn.XLOOKUP(A163,[1]Table2_V5_w3C28!A:A,[1]Table2_V5_w3C28!D:D,nan(),0)</f>
        <v>181.5504</v>
      </c>
      <c r="D163" s="8" cm="1">
        <f t="array" aca="1" ref="D163" ca="1">_xlfn.XLOOKUP(A163,[1]Table2_V5_w3C28!A:A,[1]Table2_V5_w3C28!E:E,nan(),0)</f>
        <v>-8.8004999999999995</v>
      </c>
      <c r="E163" s="1">
        <f>_xlfn.XLOOKUP($A163,[1]Table7_badETA!$A:$A,[1]Table7_badETA!C:C,"-",0)</f>
        <v>3.9050000000000001E-2</v>
      </c>
      <c r="F163" s="1">
        <f>_xlfn.XLOOKUP($A163,[1]Table7_badETA!$A:$A,[1]Table7_badETA!E:E,"-",0)</f>
        <v>3.3570000000000002E-3</v>
      </c>
      <c r="G163" s="5">
        <f>_xlfn.XLOOKUP($A163,[1]Table7_badETA!$A:$A,[1]Table7_badETA!F:F,"-",0)</f>
        <v>1.48E-7</v>
      </c>
      <c r="H163" s="6">
        <f>_xlfn.XLOOKUP($A163,[1]Table7_badETA!$A:$A,[1]Table7_badETA!H:H,"-",0)</f>
        <v>6.8900000000000002E-8</v>
      </c>
      <c r="I163" s="2">
        <f>_xlfn.XLOOKUP($A163,[1]Table7_badETA!$A:$A,[1]Table7_badETA!M:M,"-",0)</f>
        <v>0.91779999999999995</v>
      </c>
      <c r="J163" s="2">
        <f>_xlfn.XLOOKUP($A163,[1]Table7_badETA!$A:$A,[1]Table7_badETA!O:O,"-",0)</f>
        <v>9.2580000000000006E-3</v>
      </c>
      <c r="K163" s="2">
        <f>_xlfn.XLOOKUP($A163,[1]morph_04R500.dat!$A:$A,[1]morph_04R500.dat!P:P,"-",0)</f>
        <v>-62.56</v>
      </c>
      <c r="L163" s="2">
        <f>_xlfn.XLOOKUP($A163,[1]morph_04R500.dat!$A:$A,[1]morph_04R500.dat!R:R,"-",0)</f>
        <v>3.5019999999999998</v>
      </c>
      <c r="M163" s="2">
        <f>_xlfn.XLOOKUP($A163,[1]Table7_badETA!$A:$A,[1]Table7_badETA!T:T,"-",0)</f>
        <v>0.53053357679042401</v>
      </c>
      <c r="N163" s="2">
        <f>_xlfn.XLOOKUP($A163,[1]Table7_badETA!$A:$A,[1]Table7_badETA!U:U,"-",0)</f>
        <v>1.0505519376058294E-2</v>
      </c>
      <c r="O163" s="7">
        <f>_xlfn.XLOOKUP($A163,[1]Table7_badETA!$A:$A,[1]Table7_badETA!S:S,"-",0)</f>
        <v>537.35945000000004</v>
      </c>
    </row>
    <row r="164" spans="1:15" x14ac:dyDescent="0.2">
      <c r="A164" s="8" t="s">
        <v>175</v>
      </c>
      <c r="B164" s="8" cm="1">
        <f t="array" aca="1" ref="B164" ca="1">_xlfn.XLOOKUP(A164,[1]Table2_V5_w3C28!A:A,[1]Table2_V5_w3C28!B:B,nan(),0)</f>
        <v>6.8000000000000005E-2</v>
      </c>
      <c r="C164" s="8" cm="1">
        <f t="array" aca="1" ref="C164" ca="1">_xlfn.XLOOKUP(A164,[1]Table2_V5_w3C28!A:A,[1]Table2_V5_w3C28!D:D,nan(),0)</f>
        <v>181.63249999999999</v>
      </c>
      <c r="D164" s="8" cm="1">
        <f t="array" aca="1" ref="D164" ca="1">_xlfn.XLOOKUP(A164,[1]Table2_V5_w3C28!A:A,[1]Table2_V5_w3C28!E:E,nan(),0)</f>
        <v>-7.7407000000000004</v>
      </c>
      <c r="E164" s="1">
        <f>_xlfn.XLOOKUP($A164,[1]Table7_badETA!$A:$A,[1]Table7_badETA!C:C,"-",0)</f>
        <v>1.8079999999999999E-2</v>
      </c>
      <c r="F164" s="1">
        <f>_xlfn.XLOOKUP($A164,[1]Table7_badETA!$A:$A,[1]Table7_badETA!E:E,"-",0)</f>
        <v>4.8190000000000004E-3</v>
      </c>
      <c r="G164" s="5">
        <f>_xlfn.XLOOKUP($A164,[1]Table7_badETA!$A:$A,[1]Table7_badETA!F:F,"-",0)</f>
        <v>1.5799999999999999E-8</v>
      </c>
      <c r="H164" s="6">
        <f>_xlfn.XLOOKUP($A164,[1]Table7_badETA!$A:$A,[1]Table7_badETA!H:H,"-",0)</f>
        <v>7.0599999999999997E-8</v>
      </c>
      <c r="I164" s="2">
        <f>_xlfn.XLOOKUP($A164,[1]Table7_badETA!$A:$A,[1]Table7_badETA!M:M,"-",0)</f>
        <v>0.94520000000000004</v>
      </c>
      <c r="J164" s="2">
        <f>_xlfn.XLOOKUP($A164,[1]Table7_badETA!$A:$A,[1]Table7_badETA!O:O,"-",0)</f>
        <v>1.452E-2</v>
      </c>
      <c r="K164" s="2">
        <f>_xlfn.XLOOKUP($A164,[1]morph_04R500.dat!$A:$A,[1]morph_04R500.dat!P:P,"-",0)</f>
        <v>66.47</v>
      </c>
      <c r="L164" s="2">
        <f>_xlfn.XLOOKUP($A164,[1]morph_04R500.dat!$A:$A,[1]morph_04R500.dat!R:R,"-",0)</f>
        <v>8.3279999999999994</v>
      </c>
      <c r="M164" s="2" t="str">
        <f>_xlfn.XLOOKUP($A164,[1]Table7_badETA!$A:$A,[1]Table7_badETA!T:T,"-",0)</f>
        <v>-</v>
      </c>
      <c r="N164" s="2" t="str">
        <f>_xlfn.XLOOKUP($A164,[1]Table7_badETA!$A:$A,[1]Table7_badETA!U:U,"-",0)</f>
        <v>-</v>
      </c>
      <c r="O164" s="7">
        <f>_xlfn.XLOOKUP($A164,[1]Table7_badETA!$A:$A,[1]Table7_badETA!S:S,"-",0)</f>
        <v>303.60791</v>
      </c>
    </row>
    <row r="165" spans="1:15" x14ac:dyDescent="0.2">
      <c r="A165" s="8" t="s">
        <v>176</v>
      </c>
      <c r="B165" s="8" cm="1">
        <f t="array" aca="1" ref="B165" ca="1">_xlfn.XLOOKUP(A165,[1]Table2_V5_w3C28!A:A,[1]Table2_V5_w3C28!B:B,nan(),0)</f>
        <v>0.11899999999999999</v>
      </c>
      <c r="C165" s="8" cm="1">
        <f t="array" aca="1" ref="C165" ca="1">_xlfn.XLOOKUP(A165,[1]Table2_V5_w3C28!A:A,[1]Table2_V5_w3C28!D:D,nan(),0)</f>
        <v>183.85300000000001</v>
      </c>
      <c r="D165" s="8" cm="1">
        <f t="array" aca="1" ref="D165" ca="1">_xlfn.XLOOKUP(A165,[1]Table2_V5_w3C28!A:A,[1]Table2_V5_w3C28!E:E,nan(),0)</f>
        <v>-39.035499999999999</v>
      </c>
      <c r="E165" s="1">
        <f>_xlfn.XLOOKUP($A165,[1]Table7_badETA!$A:$A,[1]Table7_badETA!C:C,"-",0)</f>
        <v>2.794E-2</v>
      </c>
      <c r="F165" s="1">
        <f>_xlfn.XLOOKUP($A165,[1]Table7_badETA!$A:$A,[1]Table7_badETA!E:E,"-",0)</f>
        <v>5.6699999999999997E-3</v>
      </c>
      <c r="G165" s="5">
        <f>_xlfn.XLOOKUP($A165,[1]Table7_badETA!$A:$A,[1]Table7_badETA!F:F,"-",0)</f>
        <v>2.1899999999999999E-7</v>
      </c>
      <c r="H165" s="6">
        <f>_xlfn.XLOOKUP($A165,[1]Table7_badETA!$A:$A,[1]Table7_badETA!H:H,"-",0)</f>
        <v>1.17E-7</v>
      </c>
      <c r="I165" s="2">
        <f>_xlfn.XLOOKUP($A165,[1]Table7_badETA!$A:$A,[1]Table7_badETA!M:M,"-",0)</f>
        <v>0.94620000000000004</v>
      </c>
      <c r="J165" s="2">
        <f>_xlfn.XLOOKUP($A165,[1]Table7_badETA!$A:$A,[1]Table7_badETA!O:O,"-",0)</f>
        <v>9.0600000000000003E-3</v>
      </c>
      <c r="K165" s="2">
        <f>_xlfn.XLOOKUP($A165,[1]morph_04R500.dat!$A:$A,[1]morph_04R500.dat!P:P,"-",0)</f>
        <v>59.96</v>
      </c>
      <c r="L165" s="2">
        <f>_xlfn.XLOOKUP($A165,[1]morph_04R500.dat!$A:$A,[1]morph_04R500.dat!R:R,"-",0)</f>
        <v>6.4059999999999997</v>
      </c>
      <c r="M165" s="2">
        <f>_xlfn.XLOOKUP($A165,[1]Table7_badETA!$A:$A,[1]Table7_badETA!T:T,"-",0)</f>
        <v>0.28218111002921126</v>
      </c>
      <c r="N165" s="2">
        <f>_xlfn.XLOOKUP($A165,[1]Table7_badETA!$A:$A,[1]Table7_badETA!U:U,"-",0)</f>
        <v>1.6275563396811101E-2</v>
      </c>
      <c r="O165" s="7">
        <f>_xlfn.XLOOKUP($A165,[1]Table7_badETA!$A:$A,[1]Table7_badETA!S:S,"-",0)</f>
        <v>451.45717999999999</v>
      </c>
    </row>
    <row r="166" spans="1:15" x14ac:dyDescent="0.2">
      <c r="A166" s="8" t="s">
        <v>177</v>
      </c>
      <c r="B166" s="8" cm="1">
        <f t="array" aca="1" ref="B166" ca="1">_xlfn.XLOOKUP(A166,[1]Table2_V5_w3C28!A:A,[1]Table2_V5_w3C28!B:B,nan(),0)</f>
        <v>0.32</v>
      </c>
      <c r="C166" s="8" cm="1">
        <f t="array" aca="1" ref="C166" ca="1">_xlfn.XLOOKUP(A166,[1]Table2_V5_w3C28!A:A,[1]Table2_V5_w3C28!D:D,nan(),0)</f>
        <v>184.62020000000001</v>
      </c>
      <c r="D166" s="8" cm="1">
        <f t="array" aca="1" ref="D166" ca="1">_xlfn.XLOOKUP(A166,[1]Table2_V5_w3C28!A:A,[1]Table2_V5_w3C28!E:E,nan(),0)</f>
        <v>40.207500000000003</v>
      </c>
      <c r="E166" s="1">
        <f>_xlfn.XLOOKUP($A166,[1]Table7_badETA!$A:$A,[1]Table7_badETA!C:C,"-",0)</f>
        <v>5.876E-2</v>
      </c>
      <c r="F166" s="1">
        <f>_xlfn.XLOOKUP($A166,[1]Table7_badETA!$A:$A,[1]Table7_badETA!E:E,"-",0)</f>
        <v>6.4479999999999997E-3</v>
      </c>
      <c r="G166" s="5">
        <f>_xlfn.XLOOKUP($A166,[1]Table7_badETA!$A:$A,[1]Table7_badETA!F:F,"-",0)</f>
        <v>8.3799999999999996E-8</v>
      </c>
      <c r="H166" s="6">
        <f>_xlfn.XLOOKUP($A166,[1]Table7_badETA!$A:$A,[1]Table7_badETA!H:H,"-",0)</f>
        <v>9.2900000000000005E-8</v>
      </c>
      <c r="I166" s="2">
        <f>_xlfn.XLOOKUP($A166,[1]Table7_badETA!$A:$A,[1]Table7_badETA!M:M,"-",0)</f>
        <v>0.91859999999999997</v>
      </c>
      <c r="J166" s="2">
        <f>_xlfn.XLOOKUP($A166,[1]Table7_badETA!$A:$A,[1]Table7_badETA!O:O,"-",0)</f>
        <v>1.389E-2</v>
      </c>
      <c r="K166" s="2">
        <f>_xlfn.XLOOKUP($A166,[1]morph_04R500.dat!$A:$A,[1]morph_04R500.dat!P:P,"-",0)</f>
        <v>-41.49</v>
      </c>
      <c r="L166" s="2">
        <f>_xlfn.XLOOKUP($A166,[1]morph_04R500.dat!$A:$A,[1]morph_04R500.dat!R:R,"-",0)</f>
        <v>5.9560000000000004</v>
      </c>
      <c r="M166" s="2" t="str">
        <f>_xlfn.XLOOKUP($A166,[1]Table7_badETA!$A:$A,[1]Table7_badETA!T:T,"-",0)</f>
        <v>-</v>
      </c>
      <c r="N166" s="2" t="str">
        <f>_xlfn.XLOOKUP($A166,[1]Table7_badETA!$A:$A,[1]Table7_badETA!U:U,"-",0)</f>
        <v>-</v>
      </c>
      <c r="O166" s="7">
        <f>_xlfn.XLOOKUP($A166,[1]Table7_badETA!$A:$A,[1]Table7_badETA!S:S,"-",0)</f>
        <v>427.34158000000002</v>
      </c>
    </row>
    <row r="167" spans="1:15" x14ac:dyDescent="0.2">
      <c r="A167" s="8" t="s">
        <v>178</v>
      </c>
      <c r="B167" s="8" cm="1">
        <f t="array" aca="1" ref="B167" ca="1">_xlfn.XLOOKUP(A167,[1]Table2_V5_w3C28!A:A,[1]Table2_V5_w3C28!B:B,nan(),0)</f>
        <v>0.37</v>
      </c>
      <c r="C167" s="8" cm="1">
        <f t="array" aca="1" ref="C167" ca="1">_xlfn.XLOOKUP(A167,[1]Table2_V5_w3C28!A:A,[1]Table2_V5_w3C28!D:D,nan(),0)</f>
        <v>186.7123</v>
      </c>
      <c r="D167" s="8" cm="1">
        <f t="array" aca="1" ref="D167" ca="1">_xlfn.XLOOKUP(A167,[1]Table2_V5_w3C28!A:A,[1]Table2_V5_w3C28!E:E,nan(),0)</f>
        <v>21.8323</v>
      </c>
      <c r="E167" s="1">
        <f>_xlfn.XLOOKUP($A167,[1]Table7_badETA!$A:$A,[1]Table7_badETA!C:C,"-",0)</f>
        <v>0.29970000000000002</v>
      </c>
      <c r="F167" s="1">
        <f>_xlfn.XLOOKUP($A167,[1]Table7_badETA!$A:$A,[1]Table7_badETA!E:E,"-",0)</f>
        <v>7.0749999999999997E-3</v>
      </c>
      <c r="G167" s="5">
        <f>_xlfn.XLOOKUP($A167,[1]Table7_badETA!$A:$A,[1]Table7_badETA!F:F,"-",0)</f>
        <v>8.7700000000000003E-7</v>
      </c>
      <c r="H167" s="6">
        <f>_xlfn.XLOOKUP($A167,[1]Table7_badETA!$A:$A,[1]Table7_badETA!H:H,"-",0)</f>
        <v>3.7099999999999997E-7</v>
      </c>
      <c r="I167" s="2">
        <f>_xlfn.XLOOKUP($A167,[1]Table7_badETA!$A:$A,[1]Table7_badETA!M:M,"-",0)</f>
        <v>0.90880000000000005</v>
      </c>
      <c r="J167" s="2">
        <f>_xlfn.XLOOKUP($A167,[1]Table7_badETA!$A:$A,[1]Table7_badETA!O:O,"-",0)</f>
        <v>1.319E-2</v>
      </c>
      <c r="K167" s="2">
        <f>_xlfn.XLOOKUP($A167,[1]morph_04R500.dat!$A:$A,[1]morph_04R500.dat!P:P,"-",0)</f>
        <v>54.39</v>
      </c>
      <c r="L167" s="2">
        <f>_xlfn.XLOOKUP($A167,[1]morph_04R500.dat!$A:$A,[1]morph_04R500.dat!R:R,"-",0)</f>
        <v>4.4660000000000002</v>
      </c>
      <c r="M167" s="2">
        <f>_xlfn.XLOOKUP($A167,[1]Table7_badETA!$A:$A,[1]Table7_badETA!T:T,"-",0)</f>
        <v>0.53463134375997445</v>
      </c>
      <c r="N167" s="2">
        <f>_xlfn.XLOOKUP($A167,[1]Table7_badETA!$A:$A,[1]Table7_badETA!U:U,"-",0)</f>
        <v>1.4435923696283371E-2</v>
      </c>
      <c r="O167" s="7">
        <f>_xlfn.XLOOKUP($A167,[1]Table7_badETA!$A:$A,[1]Table7_badETA!S:S,"-",0)</f>
        <v>345.16305</v>
      </c>
    </row>
    <row r="168" spans="1:15" x14ac:dyDescent="0.2">
      <c r="A168" s="8" t="s">
        <v>179</v>
      </c>
      <c r="B168" s="8" cm="1">
        <f t="array" aca="1" ref="B168" ca="1">_xlfn.XLOOKUP(A168,[1]Table2_V5_w3C28!A:A,[1]Table2_V5_w3C28!B:B,nan(),0)</f>
        <v>0.97499999999999998</v>
      </c>
      <c r="C168" s="8" cm="1">
        <f t="array" aca="1" ref="C168" ca="1">_xlfn.XLOOKUP(A168,[1]Table2_V5_w3C28!A:A,[1]Table2_V5_w3C28!D:D,nan(),0)</f>
        <v>187.5711</v>
      </c>
      <c r="D168" s="8" cm="1">
        <f t="array" aca="1" ref="D168" ca="1">_xlfn.XLOOKUP(A168,[1]Table2_V5_w3C28!A:A,[1]Table2_V5_w3C28!E:E,nan(),0)</f>
        <v>13.651899999999999</v>
      </c>
      <c r="E168" s="1">
        <f>_xlfn.XLOOKUP($A168,[1]Table7_badETA!$A:$A,[1]Table7_badETA!C:C,"-",0)</f>
        <v>5.7320000000000003E-2</v>
      </c>
      <c r="F168" s="1">
        <f>_xlfn.XLOOKUP($A168,[1]Table7_badETA!$A:$A,[1]Table7_badETA!E:E,"-",0)</f>
        <v>1.2710000000000001E-2</v>
      </c>
      <c r="G168" s="5">
        <f>_xlfn.XLOOKUP($A168,[1]Table7_badETA!$A:$A,[1]Table7_badETA!F:F,"-",0)</f>
        <v>6.87E-8</v>
      </c>
      <c r="H168" s="6">
        <f>_xlfn.XLOOKUP($A168,[1]Table7_badETA!$A:$A,[1]Table7_badETA!H:H,"-",0)</f>
        <v>2.4999999999999999E-7</v>
      </c>
      <c r="I168" s="2">
        <f>_xlfn.XLOOKUP($A168,[1]Table7_badETA!$A:$A,[1]Table7_badETA!M:M,"-",0)</f>
        <v>0.94679999999999997</v>
      </c>
      <c r="J168" s="2">
        <f>_xlfn.XLOOKUP($A168,[1]Table7_badETA!$A:$A,[1]Table7_badETA!O:O,"-",0)</f>
        <v>2.845E-2</v>
      </c>
      <c r="K168" s="2">
        <f>_xlfn.XLOOKUP($A168,[1]morph_04R500.dat!$A:$A,[1]morph_04R500.dat!P:P,"-",0)</f>
        <v>-14.95</v>
      </c>
      <c r="L168" s="2">
        <f>_xlfn.XLOOKUP($A168,[1]morph_04R500.dat!$A:$A,[1]morph_04R500.dat!R:R,"-",0)</f>
        <v>12.81</v>
      </c>
      <c r="M168" s="2" t="str">
        <f>_xlfn.XLOOKUP($A168,[1]Table7_badETA!$A:$A,[1]Table7_badETA!T:T,"-",0)</f>
        <v>-</v>
      </c>
      <c r="N168" s="2" t="str">
        <f>_xlfn.XLOOKUP($A168,[1]Table7_badETA!$A:$A,[1]Table7_badETA!U:U,"-",0)</f>
        <v>-</v>
      </c>
      <c r="O168" s="7">
        <f>_xlfn.XLOOKUP($A168,[1]Table7_badETA!$A:$A,[1]Table7_badETA!S:S,"-",0)</f>
        <v>281.79424999999998</v>
      </c>
    </row>
    <row r="169" spans="1:15" x14ac:dyDescent="0.2">
      <c r="A169" s="8" t="s">
        <v>180</v>
      </c>
      <c r="B169" s="8" cm="1">
        <f t="array" aca="1" ref="B169" ca="1">_xlfn.XLOOKUP(A169,[1]Table2_V5_w3C28!A:A,[1]Table2_V5_w3C28!B:B,nan(),0)</f>
        <v>0.22900000000000001</v>
      </c>
      <c r="C169" s="8" cm="1">
        <f t="array" aca="1" ref="C169" ca="1">_xlfn.XLOOKUP(A169,[1]Table2_V5_w3C28!A:A,[1]Table2_V5_w3C28!D:D,nan(),0)</f>
        <v>188.60079999999999</v>
      </c>
      <c r="D169" s="8" cm="1">
        <f t="array" aca="1" ref="D169" ca="1">_xlfn.XLOOKUP(A169,[1]Table2_V5_w3C28!A:A,[1]Table2_V5_w3C28!E:E,nan(),0)</f>
        <v>9.7875999999999994</v>
      </c>
      <c r="E169" s="1">
        <f>_xlfn.XLOOKUP($A169,[1]Table7_badETA!$A:$A,[1]Table7_badETA!C:C,"-",0)</f>
        <v>9.3590000000000007E-2</v>
      </c>
      <c r="F169" s="1">
        <f>_xlfn.XLOOKUP($A169,[1]Table7_badETA!$A:$A,[1]Table7_badETA!E:E,"-",0)</f>
        <v>3.0710000000000001E-2</v>
      </c>
      <c r="G169" s="5">
        <f>_xlfn.XLOOKUP($A169,[1]Table7_badETA!$A:$A,[1]Table7_badETA!F:F,"-",0)</f>
        <v>7.8299999999999996E-7</v>
      </c>
      <c r="H169" s="6">
        <f>_xlfn.XLOOKUP($A169,[1]Table7_badETA!$A:$A,[1]Table7_badETA!H:H,"-",0)</f>
        <v>4.63E-7</v>
      </c>
      <c r="I169" s="2">
        <f>_xlfn.XLOOKUP($A169,[1]Table7_badETA!$A:$A,[1]Table7_badETA!M:M,"-",0)</f>
        <v>0.80720000000000003</v>
      </c>
      <c r="J169" s="2">
        <f>_xlfn.XLOOKUP($A169,[1]Table7_badETA!$A:$A,[1]Table7_badETA!O:O,"-",0)</f>
        <v>1.272E-2</v>
      </c>
      <c r="K169" s="2">
        <f>_xlfn.XLOOKUP($A169,[1]morph_04R500.dat!$A:$A,[1]morph_04R500.dat!P:P,"-",0)</f>
        <v>51.54</v>
      </c>
      <c r="L169" s="2">
        <f>_xlfn.XLOOKUP($A169,[1]morph_04R500.dat!$A:$A,[1]morph_04R500.dat!R:R,"-",0)</f>
        <v>3.1640000000000001</v>
      </c>
      <c r="M169" s="2">
        <f>_xlfn.XLOOKUP($A169,[1]Table7_badETA!$A:$A,[1]Table7_badETA!T:T,"-",0)</f>
        <v>0.22288628575982153</v>
      </c>
      <c r="N169" s="2">
        <f>_xlfn.XLOOKUP($A169,[1]Table7_badETA!$A:$A,[1]Table7_badETA!U:U,"-",0)</f>
        <v>1.606047818358523E-2</v>
      </c>
      <c r="O169" s="7">
        <f>_xlfn.XLOOKUP($A169,[1]Table7_badETA!$A:$A,[1]Table7_badETA!S:S,"-",0)</f>
        <v>394.40676999999999</v>
      </c>
    </row>
    <row r="170" spans="1:15" x14ac:dyDescent="0.2">
      <c r="A170" s="8" t="s">
        <v>181</v>
      </c>
      <c r="B170" s="8" cm="1">
        <f t="array" aca="1" ref="B170" ca="1">_xlfn.XLOOKUP(A170,[1]Table2_V5_w3C28!A:A,[1]Table2_V5_w3C28!B:B,nan(),0)</f>
        <v>7.2999999999999995E-2</v>
      </c>
      <c r="C170" s="8" cm="1">
        <f t="array" aca="1" ref="C170" ca="1">_xlfn.XLOOKUP(A170,[1]Table2_V5_w3C28!A:A,[1]Table2_V5_w3C28!D:D,nan(),0)</f>
        <v>189.1027</v>
      </c>
      <c r="D170" s="8" cm="1">
        <f t="array" aca="1" ref="D170" ca="1">_xlfn.XLOOKUP(A170,[1]Table2_V5_w3C28!A:A,[1]Table2_V5_w3C28!E:E,nan(),0)</f>
        <v>16.5398</v>
      </c>
      <c r="E170" s="1">
        <f>_xlfn.XLOOKUP($A170,[1]Table7_badETA!$A:$A,[1]Table7_badETA!C:C,"-",0)</f>
        <v>2.0160000000000001E-2</v>
      </c>
      <c r="F170" s="1">
        <f>_xlfn.XLOOKUP($A170,[1]Table7_badETA!$A:$A,[1]Table7_badETA!E:E,"-",0)</f>
        <v>4.4289999999999998E-3</v>
      </c>
      <c r="G170" s="5">
        <f>_xlfn.XLOOKUP($A170,[1]Table7_badETA!$A:$A,[1]Table7_badETA!F:F,"-",0)</f>
        <v>4.2100000000000002E-7</v>
      </c>
      <c r="H170" s="6">
        <f>_xlfn.XLOOKUP($A170,[1]Table7_badETA!$A:$A,[1]Table7_badETA!H:H,"-",0)</f>
        <v>1.17E-7</v>
      </c>
      <c r="I170" s="2">
        <f>_xlfn.XLOOKUP($A170,[1]Table7_badETA!$A:$A,[1]Table7_badETA!M:M,"-",0)</f>
        <v>0.9597</v>
      </c>
      <c r="J170" s="2">
        <f>_xlfn.XLOOKUP($A170,[1]Table7_badETA!$A:$A,[1]Table7_badETA!O:O,"-",0)</f>
        <v>1.738E-2</v>
      </c>
      <c r="K170" s="2">
        <f>_xlfn.XLOOKUP($A170,[1]morph_04R500.dat!$A:$A,[1]morph_04R500.dat!P:P,"-",0)</f>
        <v>-82.05</v>
      </c>
      <c r="L170" s="2">
        <f>_xlfn.XLOOKUP($A170,[1]morph_04R500.dat!$A:$A,[1]morph_04R500.dat!R:R,"-",0)</f>
        <v>6.548</v>
      </c>
      <c r="M170" s="2">
        <f>_xlfn.XLOOKUP($A170,[1]Table7_badETA!$A:$A,[1]Table7_badETA!T:T,"-",0)</f>
        <v>0.34064155980745114</v>
      </c>
      <c r="N170" s="2">
        <f>_xlfn.XLOOKUP($A170,[1]Table7_badETA!$A:$A,[1]Table7_badETA!U:U,"-",0)</f>
        <v>2.0568077124228829E-2</v>
      </c>
      <c r="O170" s="7">
        <f>_xlfn.XLOOKUP($A170,[1]Table7_badETA!$A:$A,[1]Table7_badETA!S:S,"-",0)</f>
        <v>281.42043000000001</v>
      </c>
    </row>
    <row r="171" spans="1:15" x14ac:dyDescent="0.2">
      <c r="A171" s="8" t="s">
        <v>182</v>
      </c>
      <c r="B171" s="8" cm="1">
        <f t="array" aca="1" ref="B171" ca="1">_xlfn.XLOOKUP(A171,[1]Table2_V5_w3C28!A:A,[1]Table2_V5_w3C28!B:B,nan(),0)</f>
        <v>5.2999999999999999E-2</v>
      </c>
      <c r="C171" s="8" cm="1">
        <f t="array" aca="1" ref="C171" ca="1">_xlfn.XLOOKUP(A171,[1]Table2_V5_w3C28!A:A,[1]Table2_V5_w3C28!D:D,nan(),0)</f>
        <v>193.5924</v>
      </c>
      <c r="D171" s="8" cm="1">
        <f t="array" aca="1" ref="D171" ca="1">_xlfn.XLOOKUP(A171,[1]Table2_V5_w3C28!A:A,[1]Table2_V5_w3C28!E:E,nan(),0)</f>
        <v>-29.013000000000002</v>
      </c>
      <c r="E171" s="1">
        <f>_xlfn.XLOOKUP($A171,[1]Table7_badETA!$A:$A,[1]Table7_badETA!C:C,"-",0)</f>
        <v>1.9120000000000002E-2</v>
      </c>
      <c r="F171" s="1">
        <f>_xlfn.XLOOKUP($A171,[1]Table7_badETA!$A:$A,[1]Table7_badETA!E:E,"-",0)</f>
        <v>1.519E-3</v>
      </c>
      <c r="G171" s="5">
        <f>_xlfn.XLOOKUP($A171,[1]Table7_badETA!$A:$A,[1]Table7_badETA!F:F,"-",0)</f>
        <v>4.4400000000000001E-7</v>
      </c>
      <c r="H171" s="6">
        <f>_xlfn.XLOOKUP($A171,[1]Table7_badETA!$A:$A,[1]Table7_badETA!H:H,"-",0)</f>
        <v>8.3599999999999994E-8</v>
      </c>
      <c r="I171" s="2">
        <f>_xlfn.XLOOKUP($A171,[1]Table7_badETA!$A:$A,[1]Table7_badETA!M:M,"-",0)</f>
        <v>0.9456</v>
      </c>
      <c r="J171" s="2">
        <f>_xlfn.XLOOKUP($A171,[1]Table7_badETA!$A:$A,[1]Table7_badETA!O:O,"-",0)</f>
        <v>1.3679999999999999E-2</v>
      </c>
      <c r="K171" s="2">
        <f>_xlfn.XLOOKUP($A171,[1]morph_04R500.dat!$A:$A,[1]morph_04R500.dat!P:P,"-",0)</f>
        <v>-8.8729999999999993</v>
      </c>
      <c r="L171" s="2">
        <f>_xlfn.XLOOKUP($A171,[1]morph_04R500.dat!$A:$A,[1]morph_04R500.dat!R:R,"-",0)</f>
        <v>4.5149999999999997</v>
      </c>
      <c r="M171" s="2">
        <f>_xlfn.XLOOKUP($A171,[1]Table7_badETA!$A:$A,[1]Table7_badETA!T:T,"-",0)</f>
        <v>0.53902075307568031</v>
      </c>
      <c r="N171" s="2">
        <f>_xlfn.XLOOKUP($A171,[1]Table7_badETA!$A:$A,[1]Table7_badETA!U:U,"-",0)</f>
        <v>1.4440027098108025E-2</v>
      </c>
      <c r="O171" s="7">
        <f>_xlfn.XLOOKUP($A171,[1]Table7_badETA!$A:$A,[1]Table7_badETA!S:S,"-",0)</f>
        <v>484.822</v>
      </c>
    </row>
    <row r="172" spans="1:15" x14ac:dyDescent="0.2">
      <c r="A172" s="8" t="s">
        <v>183</v>
      </c>
      <c r="B172" s="8" cm="1">
        <f t="array" aca="1" ref="B172" ca="1">_xlfn.XLOOKUP(A172,[1]Table2_V5_w3C28!A:A,[1]Table2_V5_w3C28!B:B,nan(),0)</f>
        <v>5.5E-2</v>
      </c>
      <c r="C172" s="8" cm="1">
        <f t="array" aca="1" ref="C172" ca="1">_xlfn.XLOOKUP(A172,[1]Table2_V5_w3C28!A:A,[1]Table2_V5_w3C28!D:D,nan(),0)</f>
        <v>194.34180000000001</v>
      </c>
      <c r="D172" s="8" cm="1">
        <f t="array" aca="1" ref="D172" ca="1">_xlfn.XLOOKUP(A172,[1]Table2_V5_w3C28!A:A,[1]Table2_V5_w3C28!E:E,nan(),0)</f>
        <v>-30.363399999999999</v>
      </c>
      <c r="E172" s="1">
        <f>_xlfn.XLOOKUP($A172,[1]Table7_badETA!$A:$A,[1]Table7_badETA!C:C,"-",0)</f>
        <v>2.8389999999999999E-2</v>
      </c>
      <c r="F172" s="1">
        <f>_xlfn.XLOOKUP($A172,[1]Table7_badETA!$A:$A,[1]Table7_badETA!E:E,"-",0)</f>
        <v>3.5820000000000001E-3</v>
      </c>
      <c r="G172" s="5">
        <f>_xlfn.XLOOKUP($A172,[1]Table7_badETA!$A:$A,[1]Table7_badETA!F:F,"-",0)</f>
        <v>4.0900000000000002E-7</v>
      </c>
      <c r="H172" s="6">
        <f>_xlfn.XLOOKUP($A172,[1]Table7_badETA!$A:$A,[1]Table7_badETA!H:H,"-",0)</f>
        <v>8.2899999999999995E-8</v>
      </c>
      <c r="I172" s="2">
        <f>_xlfn.XLOOKUP($A172,[1]Table7_badETA!$A:$A,[1]Table7_badETA!M:M,"-",0)</f>
        <v>0.94530000000000003</v>
      </c>
      <c r="J172" s="2">
        <f>_xlfn.XLOOKUP($A172,[1]Table7_badETA!$A:$A,[1]Table7_badETA!O:O,"-",0)</f>
        <v>6.5550000000000001E-3</v>
      </c>
      <c r="K172" s="2">
        <f>_xlfn.XLOOKUP($A172,[1]morph_04R500.dat!$A:$A,[1]morph_04R500.dat!P:P,"-",0)</f>
        <v>31.9</v>
      </c>
      <c r="L172" s="2">
        <f>_xlfn.XLOOKUP($A172,[1]morph_04R500.dat!$A:$A,[1]morph_04R500.dat!R:R,"-",0)</f>
        <v>3.8490000000000002</v>
      </c>
      <c r="M172" s="2">
        <f>_xlfn.XLOOKUP($A172,[1]Table7_badETA!$A:$A,[1]Table7_badETA!T:T,"-",0)</f>
        <v>0.3873461208130547</v>
      </c>
      <c r="N172" s="2">
        <f>_xlfn.XLOOKUP($A172,[1]Table7_badETA!$A:$A,[1]Table7_badETA!U:U,"-",0)</f>
        <v>1.2741397531317063E-2</v>
      </c>
      <c r="O172" s="7">
        <f>_xlfn.XLOOKUP($A172,[1]Table7_badETA!$A:$A,[1]Table7_badETA!S:S,"-",0)</f>
        <v>444.94394</v>
      </c>
    </row>
    <row r="173" spans="1:15" x14ac:dyDescent="0.2">
      <c r="A173" s="8" t="s">
        <v>184</v>
      </c>
      <c r="B173" s="8" cm="1">
        <f t="array" aca="1" ref="B173" ca="1">_xlfn.XLOOKUP(A173,[1]Table2_V5_w3C28!A:A,[1]Table2_V5_w3C28!B:B,nan(),0)</f>
        <v>8.4000000000000005E-2</v>
      </c>
      <c r="C173" s="8" cm="1">
        <f t="array" aca="1" ref="C173" ca="1">_xlfn.XLOOKUP(A173,[1]Table2_V5_w3C28!A:A,[1]Table2_V5_w3C28!D:D,nan(),0)</f>
        <v>194.6728</v>
      </c>
      <c r="D173" s="8" cm="1">
        <f t="array" aca="1" ref="D173" ca="1">_xlfn.XLOOKUP(A173,[1]Table2_V5_w3C28!A:A,[1]Table2_V5_w3C28!E:E,nan(),0)</f>
        <v>-1.762</v>
      </c>
      <c r="E173" s="1">
        <f>_xlfn.XLOOKUP($A173,[1]Table7_badETA!$A:$A,[1]Table7_badETA!C:C,"-",0)</f>
        <v>1.687E-2</v>
      </c>
      <c r="F173" s="1">
        <f>_xlfn.XLOOKUP($A173,[1]Table7_badETA!$A:$A,[1]Table7_badETA!E:E,"-",0)</f>
        <v>2.8370000000000001E-4</v>
      </c>
      <c r="G173" s="5">
        <f>_xlfn.XLOOKUP($A173,[1]Table7_badETA!$A:$A,[1]Table7_badETA!F:F,"-",0)</f>
        <v>7.0100000000000004E-9</v>
      </c>
      <c r="H173" s="6">
        <f>_xlfn.XLOOKUP($A173,[1]Table7_badETA!$A:$A,[1]Table7_badETA!H:H,"-",0)</f>
        <v>1.4200000000000001E-9</v>
      </c>
      <c r="I173" s="2">
        <f>_xlfn.XLOOKUP($A173,[1]Table7_badETA!$A:$A,[1]Table7_badETA!M:M,"-",0)</f>
        <v>0.89080000000000004</v>
      </c>
      <c r="J173" s="2">
        <f>_xlfn.XLOOKUP($A173,[1]Table7_badETA!$A:$A,[1]Table7_badETA!O:O,"-",0)</f>
        <v>1.5039999999999999E-3</v>
      </c>
      <c r="K173" s="2">
        <f>_xlfn.XLOOKUP($A173,[1]morph_04R500.dat!$A:$A,[1]morph_04R500.dat!P:P,"-",0)</f>
        <v>-21.59</v>
      </c>
      <c r="L173" s="2">
        <f>_xlfn.XLOOKUP($A173,[1]morph_04R500.dat!$A:$A,[1]morph_04R500.dat!R:R,"-",0)</f>
        <v>0.39050000000000001</v>
      </c>
      <c r="M173" s="2">
        <f>_xlfn.XLOOKUP($A173,[1]Table7_badETA!$A:$A,[1]Table7_badETA!T:T,"-",0)</f>
        <v>0.61231510147918811</v>
      </c>
      <c r="N173" s="2">
        <f>_xlfn.XLOOKUP($A173,[1]Table7_badETA!$A:$A,[1]Table7_badETA!U:U,"-",0)</f>
        <v>2.4494887648763676E-3</v>
      </c>
      <c r="O173" s="7">
        <f>_xlfn.XLOOKUP($A173,[1]Table7_badETA!$A:$A,[1]Table7_badETA!S:S,"-",0)</f>
        <v>468.25898999999998</v>
      </c>
    </row>
    <row r="174" spans="1:15" x14ac:dyDescent="0.2">
      <c r="A174" s="8" t="s">
        <v>185</v>
      </c>
      <c r="B174" s="8" cm="1">
        <f t="array" aca="1" ref="B174" ca="1">_xlfn.XLOOKUP(A174,[1]Table2_V5_w3C28!A:A,[1]Table2_V5_w3C28!B:B,nan(),0)</f>
        <v>8.5000000000000006E-2</v>
      </c>
      <c r="C174" s="8" cm="1">
        <f t="array" aca="1" ref="C174" ca="1">_xlfn.XLOOKUP(A174,[1]Table2_V5_w3C28!A:A,[1]Table2_V5_w3C28!D:D,nan(),0)</f>
        <v>194.84270000000001</v>
      </c>
      <c r="D174" s="8" cm="1">
        <f t="array" aca="1" ref="D174" ca="1">_xlfn.XLOOKUP(A174,[1]Table2_V5_w3C28!A:A,[1]Table2_V5_w3C28!E:E,nan(),0)</f>
        <v>-4.1966000000000001</v>
      </c>
      <c r="E174" s="1">
        <f>_xlfn.XLOOKUP($A174,[1]Table7_badETA!$A:$A,[1]Table7_badETA!C:C,"-",0)</f>
        <v>1.5910000000000001E-2</v>
      </c>
      <c r="F174" s="1">
        <f>_xlfn.XLOOKUP($A174,[1]Table7_badETA!$A:$A,[1]Table7_badETA!E:E,"-",0)</f>
        <v>1.1249999999999999E-3</v>
      </c>
      <c r="G174" s="5">
        <f>_xlfn.XLOOKUP($A174,[1]Table7_badETA!$A:$A,[1]Table7_badETA!F:F,"-",0)</f>
        <v>5.0099999999999999E-9</v>
      </c>
      <c r="H174" s="6">
        <f>_xlfn.XLOOKUP($A174,[1]Table7_badETA!$A:$A,[1]Table7_badETA!H:H,"-",0)</f>
        <v>6.7700000000000004E-9</v>
      </c>
      <c r="I174" s="2">
        <f>_xlfn.XLOOKUP($A174,[1]Table7_badETA!$A:$A,[1]Table7_badETA!M:M,"-",0)</f>
        <v>0.92349999999999999</v>
      </c>
      <c r="J174" s="2">
        <f>_xlfn.XLOOKUP($A174,[1]Table7_badETA!$A:$A,[1]Table7_badETA!O:O,"-",0)</f>
        <v>6.1739999999999998E-3</v>
      </c>
      <c r="K174" s="2">
        <f>_xlfn.XLOOKUP($A174,[1]morph_04R500.dat!$A:$A,[1]morph_04R500.dat!P:P,"-",0)</f>
        <v>82.23</v>
      </c>
      <c r="L174" s="2">
        <f>_xlfn.XLOOKUP($A174,[1]morph_04R500.dat!$A:$A,[1]morph_04R500.dat!R:R,"-",0)</f>
        <v>2.1640000000000001</v>
      </c>
      <c r="M174" s="2">
        <f>_xlfn.XLOOKUP($A174,[1]Table7_badETA!$A:$A,[1]Table7_badETA!T:T,"-",0)</f>
        <v>0.53428863868986698</v>
      </c>
      <c r="N174" s="2">
        <f>_xlfn.XLOOKUP($A174,[1]Table7_badETA!$A:$A,[1]Table7_badETA!U:U,"-",0)</f>
        <v>7.6509611970369956E-3</v>
      </c>
      <c r="O174" s="7">
        <f>_xlfn.XLOOKUP($A174,[1]Table7_badETA!$A:$A,[1]Table7_badETA!S:S,"-",0)</f>
        <v>511.37756000000002</v>
      </c>
    </row>
    <row r="175" spans="1:15" x14ac:dyDescent="0.2">
      <c r="A175" s="8" t="s">
        <v>186</v>
      </c>
      <c r="B175" s="8" cm="1">
        <f t="array" aca="1" ref="B175" ca="1">_xlfn.XLOOKUP(A175,[1]Table2_V5_w3C28!A:A,[1]Table2_V5_w3C28!B:B,nan(),0)</f>
        <v>0.33</v>
      </c>
      <c r="C175" s="8" cm="1">
        <f t="array" aca="1" ref="C175" ca="1">_xlfn.XLOOKUP(A175,[1]Table2_V5_w3C28!A:A,[1]Table2_V5_w3C28!D:D,nan(),0)</f>
        <v>194.8877</v>
      </c>
      <c r="D175" s="8" cm="1">
        <f t="array" aca="1" ref="D175" ca="1">_xlfn.XLOOKUP(A175,[1]Table2_V5_w3C28!A:A,[1]Table2_V5_w3C28!E:E,nan(),0)</f>
        <v>60.070599999999999</v>
      </c>
      <c r="E175" s="1">
        <f>_xlfn.XLOOKUP($A175,[1]Table7_badETA!$A:$A,[1]Table7_badETA!C:C,"-",0)</f>
        <v>9.6740000000000007E-2</v>
      </c>
      <c r="F175" s="1">
        <f>_xlfn.XLOOKUP($A175,[1]Table7_badETA!$A:$A,[1]Table7_badETA!E:E,"-",0)</f>
        <v>8.0789999999999994E-3</v>
      </c>
      <c r="G175" s="5">
        <f>_xlfn.XLOOKUP($A175,[1]Table7_badETA!$A:$A,[1]Table7_badETA!F:F,"-",0)</f>
        <v>2.7000000000000001E-7</v>
      </c>
      <c r="H175" s="6">
        <f>_xlfn.XLOOKUP($A175,[1]Table7_badETA!$A:$A,[1]Table7_badETA!H:H,"-",0)</f>
        <v>1.6299999999999999E-7</v>
      </c>
      <c r="I175" s="2">
        <f>_xlfn.XLOOKUP($A175,[1]Table7_badETA!$A:$A,[1]Table7_badETA!M:M,"-",0)</f>
        <v>0.88690000000000002</v>
      </c>
      <c r="J175" s="2">
        <f>_xlfn.XLOOKUP($A175,[1]Table7_badETA!$A:$A,[1]Table7_badETA!O:O,"-",0)</f>
        <v>8.567E-3</v>
      </c>
      <c r="K175" s="2">
        <f>_xlfn.XLOOKUP($A175,[1]morph_04R500.dat!$A:$A,[1]morph_04R500.dat!P:P,"-",0)</f>
        <v>-26.02</v>
      </c>
      <c r="L175" s="2">
        <f>_xlfn.XLOOKUP($A175,[1]morph_04R500.dat!$A:$A,[1]morph_04R500.dat!R:R,"-",0)</f>
        <v>2.3879999999999999</v>
      </c>
      <c r="M175" s="2">
        <f>_xlfn.XLOOKUP($A175,[1]Table7_badETA!$A:$A,[1]Table7_badETA!T:T,"-",0)</f>
        <v>0.19986546708147651</v>
      </c>
      <c r="N175" s="2">
        <f>_xlfn.XLOOKUP($A175,[1]Table7_badETA!$A:$A,[1]Table7_badETA!U:U,"-",0)</f>
        <v>1.348269084844831E-2</v>
      </c>
      <c r="O175" s="7">
        <f>_xlfn.XLOOKUP($A175,[1]Table7_badETA!$A:$A,[1]Table7_badETA!S:S,"-",0)</f>
        <v>450.51468999999997</v>
      </c>
    </row>
    <row r="176" spans="1:15" x14ac:dyDescent="0.2">
      <c r="A176" s="8" t="s">
        <v>187</v>
      </c>
      <c r="B176" s="8" cm="1">
        <f t="array" aca="1" ref="B176" ca="1">_xlfn.XLOOKUP(A176,[1]Table2_V5_w3C28!A:A,[1]Table2_V5_w3C28!B:B,nan(),0)</f>
        <v>5.8999999999999997E-2</v>
      </c>
      <c r="C176" s="8" cm="1">
        <f t="array" aca="1" ref="C176" ca="1">_xlfn.XLOOKUP(A176,[1]Table2_V5_w3C28!A:A,[1]Table2_V5_w3C28!D:D,nan(),0)</f>
        <v>194.9665</v>
      </c>
      <c r="D176" s="8" cm="1">
        <f t="array" aca="1" ref="D176" ca="1">_xlfn.XLOOKUP(A176,[1]Table2_V5_w3C28!A:A,[1]Table2_V5_w3C28!E:E,nan(),0)</f>
        <v>31.352</v>
      </c>
      <c r="E176" s="1">
        <f>_xlfn.XLOOKUP($A176,[1]Table7_badETA!$A:$A,[1]Table7_badETA!C:C,"-",0)</f>
        <v>3.7960000000000001E-2</v>
      </c>
      <c r="F176" s="1">
        <f>_xlfn.XLOOKUP($A176,[1]Table7_badETA!$A:$A,[1]Table7_badETA!E:E,"-",0)</f>
        <v>8.1069999999999996E-3</v>
      </c>
      <c r="G176" s="5">
        <f>_xlfn.XLOOKUP($A176,[1]Table7_badETA!$A:$A,[1]Table7_badETA!F:F,"-",0)</f>
        <v>1.08E-6</v>
      </c>
      <c r="H176" s="6">
        <f>_xlfn.XLOOKUP($A176,[1]Table7_badETA!$A:$A,[1]Table7_badETA!H:H,"-",0)</f>
        <v>6.8500000000000001E-7</v>
      </c>
      <c r="I176" s="2">
        <f>_xlfn.XLOOKUP($A176,[1]Table7_badETA!$A:$A,[1]Table7_badETA!M:M,"-",0)</f>
        <v>0.96330000000000005</v>
      </c>
      <c r="J176" s="2">
        <f>_xlfn.XLOOKUP($A176,[1]Table7_badETA!$A:$A,[1]Table7_badETA!O:O,"-",0)</f>
        <v>3.492E-2</v>
      </c>
      <c r="K176" s="2">
        <f>_xlfn.XLOOKUP($A176,[1]morph_04R500.dat!$A:$A,[1]morph_04R500.dat!P:P,"-",0)</f>
        <v>-85.86</v>
      </c>
      <c r="L176" s="2">
        <f>_xlfn.XLOOKUP($A176,[1]morph_04R500.dat!$A:$A,[1]morph_04R500.dat!R:R,"-",0)</f>
        <v>21.51</v>
      </c>
      <c r="M176" s="2" t="str">
        <f>_xlfn.XLOOKUP($A176,[1]Table7_badETA!$A:$A,[1]Table7_badETA!T:T,"-",0)</f>
        <v>-</v>
      </c>
      <c r="N176" s="2" t="str">
        <f>_xlfn.XLOOKUP($A176,[1]Table7_badETA!$A:$A,[1]Table7_badETA!U:U,"-",0)</f>
        <v>-</v>
      </c>
      <c r="O176" s="7">
        <f>_xlfn.XLOOKUP($A176,[1]Table7_badETA!$A:$A,[1]Table7_badETA!S:S,"-",0)</f>
        <v>177.07393999999999</v>
      </c>
    </row>
    <row r="177" spans="1:15" x14ac:dyDescent="0.2">
      <c r="A177" s="8" t="s">
        <v>188</v>
      </c>
      <c r="B177" s="8" cm="1">
        <f t="array" aca="1" ref="B177" ca="1">_xlfn.XLOOKUP(A177,[1]Table2_V5_w3C28!A:A,[1]Table2_V5_w3C28!B:B,nan(),0)</f>
        <v>0.128</v>
      </c>
      <c r="C177" s="8" cm="1">
        <f t="array" aca="1" ref="C177" ca="1">_xlfn.XLOOKUP(A177,[1]Table2_V5_w3C28!A:A,[1]Table2_V5_w3C28!D:D,nan(),0)</f>
        <v>195.9271</v>
      </c>
      <c r="D177" s="8" cm="1">
        <f t="array" aca="1" ref="D177" ca="1">_xlfn.XLOOKUP(A177,[1]Table2_V5_w3C28!A:A,[1]Table2_V5_w3C28!E:E,nan(),0)</f>
        <v>-24.245200000000001</v>
      </c>
      <c r="E177" s="1">
        <f>_xlfn.XLOOKUP($A177,[1]Table7_badETA!$A:$A,[1]Table7_badETA!C:C,"-",0)</f>
        <v>2.23E-2</v>
      </c>
      <c r="F177" s="1">
        <f>_xlfn.XLOOKUP($A177,[1]Table7_badETA!$A:$A,[1]Table7_badETA!E:E,"-",0)</f>
        <v>8.7799999999999998E-4</v>
      </c>
      <c r="G177" s="5">
        <f>_xlfn.XLOOKUP($A177,[1]Table7_badETA!$A:$A,[1]Table7_badETA!F:F,"-",0)</f>
        <v>6.5499999999999998E-8</v>
      </c>
      <c r="H177" s="6">
        <f>_xlfn.XLOOKUP($A177,[1]Table7_badETA!$A:$A,[1]Table7_badETA!H:H,"-",0)</f>
        <v>1.6400000000000001E-8</v>
      </c>
      <c r="I177" s="2">
        <f>_xlfn.XLOOKUP($A177,[1]Table7_badETA!$A:$A,[1]Table7_badETA!M:M,"-",0)</f>
        <v>0.92259999999999998</v>
      </c>
      <c r="J177" s="2">
        <f>_xlfn.XLOOKUP($A177,[1]Table7_badETA!$A:$A,[1]Table7_badETA!O:O,"-",0)</f>
        <v>3.6120000000000002E-3</v>
      </c>
      <c r="K177" s="2">
        <f>_xlfn.XLOOKUP($A177,[1]morph_04R500.dat!$A:$A,[1]morph_04R500.dat!P:P,"-",0)</f>
        <v>32.869999999999997</v>
      </c>
      <c r="L177" s="2">
        <f>_xlfn.XLOOKUP($A177,[1]morph_04R500.dat!$A:$A,[1]morph_04R500.dat!R:R,"-",0)</f>
        <v>1.411</v>
      </c>
      <c r="M177" s="2">
        <f>_xlfn.XLOOKUP($A177,[1]Table7_badETA!$A:$A,[1]Table7_badETA!T:T,"-",0)</f>
        <v>0.64575163398692803</v>
      </c>
      <c r="N177" s="2">
        <f>_xlfn.XLOOKUP($A177,[1]Table7_badETA!$A:$A,[1]Table7_badETA!U:U,"-",0)</f>
        <v>6.6571744124099309E-3</v>
      </c>
      <c r="O177" s="7">
        <f>_xlfn.XLOOKUP($A177,[1]Table7_badETA!$A:$A,[1]Table7_badETA!S:S,"-",0)</f>
        <v>427.36342999999999</v>
      </c>
    </row>
    <row r="178" spans="1:15" x14ac:dyDescent="0.2">
      <c r="A178" s="8" t="s">
        <v>189</v>
      </c>
      <c r="B178" s="8" cm="1">
        <f t="array" aca="1" ref="B178" ca="1">_xlfn.XLOOKUP(A178,[1]Table2_V5_w3C28!A:A,[1]Table2_V5_w3C28!B:B,nan(),0)</f>
        <v>0.30499999999999999</v>
      </c>
      <c r="C178" s="8" cm="1">
        <f t="array" aca="1" ref="C178" ca="1">_xlfn.XLOOKUP(A178,[1]Table2_V5_w3C28!A:A,[1]Table2_V5_w3C28!D:D,nan(),0)</f>
        <v>196.4983</v>
      </c>
      <c r="D178" s="8" cm="1">
        <f t="array" aca="1" ref="D178" ca="1">_xlfn.XLOOKUP(A178,[1]Table2_V5_w3C28!A:A,[1]Table2_V5_w3C28!E:E,nan(),0)</f>
        <v>26.515699999999999</v>
      </c>
      <c r="E178" s="1">
        <f>_xlfn.XLOOKUP($A178,[1]Table7_badETA!$A:$A,[1]Table7_badETA!C:C,"-",0)</f>
        <v>4.2220000000000001E-2</v>
      </c>
      <c r="F178" s="1">
        <f>_xlfn.XLOOKUP($A178,[1]Table7_badETA!$A:$A,[1]Table7_badETA!E:E,"-",0)</f>
        <v>6.2690000000000003E-3</v>
      </c>
      <c r="G178" s="5">
        <f>_xlfn.XLOOKUP($A178,[1]Table7_badETA!$A:$A,[1]Table7_badETA!F:F,"-",0)</f>
        <v>4.3900000000000003E-8</v>
      </c>
      <c r="H178" s="6">
        <f>_xlfn.XLOOKUP($A178,[1]Table7_badETA!$A:$A,[1]Table7_badETA!H:H,"-",0)</f>
        <v>8.2500000000000004E-8</v>
      </c>
      <c r="I178" s="2">
        <f>_xlfn.XLOOKUP($A178,[1]Table7_badETA!$A:$A,[1]Table7_badETA!M:M,"-",0)</f>
        <v>0.82830000000000004</v>
      </c>
      <c r="J178" s="2">
        <f>_xlfn.XLOOKUP($A178,[1]Table7_badETA!$A:$A,[1]Table7_badETA!O:O,"-",0)</f>
        <v>1.009E-2</v>
      </c>
      <c r="K178" s="2">
        <f>_xlfn.XLOOKUP($A178,[1]morph_04R500.dat!$A:$A,[1]morph_04R500.dat!P:P,"-",0)</f>
        <v>85.27</v>
      </c>
      <c r="L178" s="2">
        <f>_xlfn.XLOOKUP($A178,[1]morph_04R500.dat!$A:$A,[1]morph_04R500.dat!R:R,"-",0)</f>
        <v>2.1110000000000002</v>
      </c>
      <c r="M178" s="2" t="str">
        <f>_xlfn.XLOOKUP($A178,[1]Table7_badETA!$A:$A,[1]Table7_badETA!T:T,"-",0)</f>
        <v>-</v>
      </c>
      <c r="N178" s="2" t="str">
        <f>_xlfn.XLOOKUP($A178,[1]Table7_badETA!$A:$A,[1]Table7_badETA!U:U,"-",0)</f>
        <v>-</v>
      </c>
      <c r="O178" s="7">
        <f>_xlfn.XLOOKUP($A178,[1]Table7_badETA!$A:$A,[1]Table7_badETA!S:S,"-",0)</f>
        <v>469.61318</v>
      </c>
    </row>
    <row r="179" spans="1:15" x14ac:dyDescent="0.2">
      <c r="A179" s="8" t="s">
        <v>190</v>
      </c>
      <c r="B179" s="8" cm="1">
        <f t="array" aca="1" ref="B179" ca="1">_xlfn.XLOOKUP(A179,[1]Table2_V5_w3C28!A:A,[1]Table2_V5_w3C28!B:B,nan(),0)</f>
        <v>0.183</v>
      </c>
      <c r="C179" s="8" cm="1">
        <f t="array" aca="1" ref="C179" ca="1">_xlfn.XLOOKUP(A179,[1]Table2_V5_w3C28!A:A,[1]Table2_V5_w3C28!D:D,nan(),0)</f>
        <v>197.87299999999999</v>
      </c>
      <c r="D179" s="8" cm="1">
        <f t="array" aca="1" ref="D179" ca="1">_xlfn.XLOOKUP(A179,[1]Table2_V5_w3C28!A:A,[1]Table2_V5_w3C28!E:E,nan(),0)</f>
        <v>-1.3411999999999999</v>
      </c>
      <c r="E179" s="1">
        <f>_xlfn.XLOOKUP($A179,[1]Table7_badETA!$A:$A,[1]Table7_badETA!C:C,"-",0)</f>
        <v>1.41E-2</v>
      </c>
      <c r="F179" s="1">
        <f>_xlfn.XLOOKUP($A179,[1]Table7_badETA!$A:$A,[1]Table7_badETA!E:E,"-",0)</f>
        <v>4.4710000000000003E-4</v>
      </c>
      <c r="G179" s="5">
        <f>_xlfn.XLOOKUP($A179,[1]Table7_badETA!$A:$A,[1]Table7_badETA!F:F,"-",0)</f>
        <v>2.7999999999999998E-9</v>
      </c>
      <c r="H179" s="6">
        <f>_xlfn.XLOOKUP($A179,[1]Table7_badETA!$A:$A,[1]Table7_badETA!H:H,"-",0)</f>
        <v>1.26E-9</v>
      </c>
      <c r="I179" s="2">
        <f>_xlfn.XLOOKUP($A179,[1]Table7_badETA!$A:$A,[1]Table7_badETA!M:M,"-",0)</f>
        <v>0.91110000000000002</v>
      </c>
      <c r="J179" s="2">
        <f>_xlfn.XLOOKUP($A179,[1]Table7_badETA!$A:$A,[1]Table7_badETA!O:O,"-",0)</f>
        <v>1.7489999999999999E-3</v>
      </c>
      <c r="K179" s="2">
        <f>_xlfn.XLOOKUP($A179,[1]morph_04R500.dat!$A:$A,[1]morph_04R500.dat!P:P,"-",0)</f>
        <v>12.14</v>
      </c>
      <c r="L179" s="2">
        <f>_xlfn.XLOOKUP($A179,[1]morph_04R500.dat!$A:$A,[1]morph_04R500.dat!R:R,"-",0)</f>
        <v>0.63029999999999997</v>
      </c>
      <c r="M179" s="2">
        <f>_xlfn.XLOOKUP($A179,[1]Table7_badETA!$A:$A,[1]Table7_badETA!T:T,"-",0)</f>
        <v>0.67456189485476514</v>
      </c>
      <c r="N179" s="2">
        <f>_xlfn.XLOOKUP($A179,[1]Table7_badETA!$A:$A,[1]Table7_badETA!U:U,"-",0)</f>
        <v>3.1402242653969579E-3</v>
      </c>
      <c r="O179" s="7">
        <f>_xlfn.XLOOKUP($A179,[1]Table7_badETA!$A:$A,[1]Table7_badETA!S:S,"-",0)</f>
        <v>606.89431999999999</v>
      </c>
    </row>
    <row r="180" spans="1:15" x14ac:dyDescent="0.2">
      <c r="A180" s="8" t="s">
        <v>191</v>
      </c>
      <c r="B180" s="8" cm="1">
        <f t="array" aca="1" ref="B180" ca="1">_xlfn.XLOOKUP(A180,[1]Table2_V5_w3C28!A:A,[1]Table2_V5_w3C28!B:B,nan(),0)</f>
        <v>0.29099999999999998</v>
      </c>
      <c r="C180" s="8" cm="1">
        <f t="array" aca="1" ref="C180" ca="1">_xlfn.XLOOKUP(A180,[1]Table2_V5_w3C28!A:A,[1]Table2_V5_w3C28!D:D,nan(),0)</f>
        <v>198.76820000000001</v>
      </c>
      <c r="D180" s="8" cm="1">
        <f t="array" aca="1" ref="D180" ca="1">_xlfn.XLOOKUP(A180,[1]Table2_V5_w3C28!A:A,[1]Table2_V5_w3C28!E:E,nan(),0)</f>
        <v>51.820099999999996</v>
      </c>
      <c r="E180" s="1">
        <f>_xlfn.XLOOKUP($A180,[1]Table7_badETA!$A:$A,[1]Table7_badETA!C:C,"-",0)</f>
        <v>0.02</v>
      </c>
      <c r="F180" s="1">
        <f>_xlfn.XLOOKUP($A180,[1]Table7_badETA!$A:$A,[1]Table7_badETA!E:E,"-",0)</f>
        <v>4.9459999999999999E-3</v>
      </c>
      <c r="G180" s="5">
        <f>_xlfn.XLOOKUP($A180,[1]Table7_badETA!$A:$A,[1]Table7_badETA!F:F,"-",0)</f>
        <v>1.2200000000000001E-7</v>
      </c>
      <c r="H180" s="6">
        <f>_xlfn.XLOOKUP($A180,[1]Table7_badETA!$A:$A,[1]Table7_badETA!H:H,"-",0)</f>
        <v>5.99E-8</v>
      </c>
      <c r="I180" s="2">
        <f>_xlfn.XLOOKUP($A180,[1]Table7_badETA!$A:$A,[1]Table7_badETA!M:M,"-",0)</f>
        <v>0.87139999999999995</v>
      </c>
      <c r="J180" s="2">
        <f>_xlfn.XLOOKUP($A180,[1]Table7_badETA!$A:$A,[1]Table7_badETA!O:O,"-",0)</f>
        <v>8.3040000000000006E-3</v>
      </c>
      <c r="K180" s="2">
        <f>_xlfn.XLOOKUP($A180,[1]morph_04R500.dat!$A:$A,[1]morph_04R500.dat!P:P,"-",0)</f>
        <v>-28.39</v>
      </c>
      <c r="L180" s="2">
        <f>_xlfn.XLOOKUP($A180,[1]morph_04R500.dat!$A:$A,[1]morph_04R500.dat!R:R,"-",0)</f>
        <v>1.798</v>
      </c>
      <c r="M180" s="2">
        <f>_xlfn.XLOOKUP($A180,[1]Table7_badETA!$A:$A,[1]Table7_badETA!T:T,"-",0)</f>
        <v>0.44555444555444562</v>
      </c>
      <c r="N180" s="2">
        <f>_xlfn.XLOOKUP($A180,[1]Table7_badETA!$A:$A,[1]Table7_badETA!U:U,"-",0)</f>
        <v>1.1655147515032473E-2</v>
      </c>
      <c r="O180" s="7">
        <f>_xlfn.XLOOKUP($A180,[1]Table7_badETA!$A:$A,[1]Table7_badETA!S:S,"-",0)</f>
        <v>508.37696999999997</v>
      </c>
    </row>
    <row r="181" spans="1:15" x14ac:dyDescent="0.2">
      <c r="A181" s="8" t="s">
        <v>192</v>
      </c>
      <c r="B181" s="8" cm="1">
        <f t="array" aca="1" ref="B181" ca="1">_xlfn.XLOOKUP(A181,[1]Table2_V5_w3C28!A:A,[1]Table2_V5_w3C28!B:B,nan(),0)</f>
        <v>4.5999999999999999E-2</v>
      </c>
      <c r="C181" s="8" cm="1">
        <f t="array" aca="1" ref="C181" ca="1">_xlfn.XLOOKUP(A181,[1]Table2_V5_w3C28!A:A,[1]Table2_V5_w3C28!D:D,nan(),0)</f>
        <v>201.72040000000001</v>
      </c>
      <c r="D181" s="8" cm="1">
        <f t="array" aca="1" ref="D181" ca="1">_xlfn.XLOOKUP(A181,[1]Table2_V5_w3C28!A:A,[1]Table2_V5_w3C28!E:E,nan(),0)</f>
        <v>-27.170999999999999</v>
      </c>
      <c r="E181" s="1">
        <f>_xlfn.XLOOKUP($A181,[1]Table7_badETA!$A:$A,[1]Table7_badETA!C:C,"-",0)</f>
        <v>7.9020000000000007E-2</v>
      </c>
      <c r="F181" s="1">
        <f>_xlfn.XLOOKUP($A181,[1]Table7_badETA!$A:$A,[1]Table7_badETA!E:E,"-",0)</f>
        <v>8.8419999999999992E-3</v>
      </c>
      <c r="G181" s="5">
        <f>_xlfn.XLOOKUP($A181,[1]Table7_badETA!$A:$A,[1]Table7_badETA!F:F,"-",0)</f>
        <v>2.9499999999999998E-7</v>
      </c>
      <c r="H181" s="6">
        <f>_xlfn.XLOOKUP($A181,[1]Table7_badETA!$A:$A,[1]Table7_badETA!H:H,"-",0)</f>
        <v>6.73E-8</v>
      </c>
      <c r="I181" s="2">
        <f>_xlfn.XLOOKUP($A181,[1]Table7_badETA!$A:$A,[1]Table7_badETA!M:M,"-",0)</f>
        <v>0.91859999999999997</v>
      </c>
      <c r="J181" s="2">
        <f>_xlfn.XLOOKUP($A181,[1]Table7_badETA!$A:$A,[1]Table7_badETA!O:O,"-",0)</f>
        <v>4.5779999999999996E-3</v>
      </c>
      <c r="K181" s="2">
        <f>_xlfn.XLOOKUP($A181,[1]morph_04R500.dat!$A:$A,[1]morph_04R500.dat!P:P,"-",0)</f>
        <v>-66.739999999999995</v>
      </c>
      <c r="L181" s="2">
        <f>_xlfn.XLOOKUP($A181,[1]morph_04R500.dat!$A:$A,[1]morph_04R500.dat!R:R,"-",0)</f>
        <v>1.976</v>
      </c>
      <c r="M181" s="2">
        <f>_xlfn.XLOOKUP($A181,[1]Table7_badETA!$A:$A,[1]Table7_badETA!T:T,"-",0)</f>
        <v>0.23850179014045716</v>
      </c>
      <c r="N181" s="2">
        <f>_xlfn.XLOOKUP($A181,[1]Table7_badETA!$A:$A,[1]Table7_badETA!U:U,"-",0)</f>
        <v>9.3619944806714005E-3</v>
      </c>
      <c r="O181" s="7">
        <f>_xlfn.XLOOKUP($A181,[1]Table7_badETA!$A:$A,[1]Table7_badETA!S:S,"-",0)</f>
        <v>358.94292000000002</v>
      </c>
    </row>
    <row r="182" spans="1:15" x14ac:dyDescent="0.2">
      <c r="A182" s="8" t="s">
        <v>193</v>
      </c>
      <c r="B182" s="8" cm="1">
        <f t="array" aca="1" ref="B182" ca="1">_xlfn.XLOOKUP(A182,[1]Table2_V5_w3C28!A:A,[1]Table2_V5_w3C28!B:B,nan(),0)</f>
        <v>9.0999999999999998E-2</v>
      </c>
      <c r="C182" s="8" cm="1">
        <f t="array" aca="1" ref="C182" ca="1">_xlfn.XLOOKUP(A182,[1]Table2_V5_w3C28!A:A,[1]Table2_V5_w3C28!D:D,nan(),0)</f>
        <v>202.53970000000001</v>
      </c>
      <c r="D182" s="8" cm="1">
        <f t="array" aca="1" ref="D182" ca="1">_xlfn.XLOOKUP(A182,[1]Table2_V5_w3C28!A:A,[1]Table2_V5_w3C28!E:E,nan(),0)</f>
        <v>-2.0985999999999998</v>
      </c>
      <c r="E182" s="1">
        <f>_xlfn.XLOOKUP($A182,[1]Table7_badETA!$A:$A,[1]Table7_badETA!C:C,"-",0)</f>
        <v>0.24660000000000001</v>
      </c>
      <c r="F182" s="1">
        <f>_xlfn.XLOOKUP($A182,[1]Table7_badETA!$A:$A,[1]Table7_badETA!E:E,"-",0)</f>
        <v>2.0899999999999998E-2</v>
      </c>
      <c r="G182" s="5">
        <f>_xlfn.XLOOKUP($A182,[1]Table7_badETA!$A:$A,[1]Table7_badETA!F:F,"-",0)</f>
        <v>5.4799999999999998E-7</v>
      </c>
      <c r="H182" s="6">
        <f>_xlfn.XLOOKUP($A182,[1]Table7_badETA!$A:$A,[1]Table7_badETA!H:H,"-",0)</f>
        <v>2.53E-7</v>
      </c>
      <c r="I182" s="2">
        <f>_xlfn.XLOOKUP($A182,[1]Table7_badETA!$A:$A,[1]Table7_badETA!M:M,"-",0)</f>
        <v>0.96489999999999998</v>
      </c>
      <c r="J182" s="2">
        <f>_xlfn.XLOOKUP($A182,[1]Table7_badETA!$A:$A,[1]Table7_badETA!O:O,"-",0)</f>
        <v>1.891E-2</v>
      </c>
      <c r="K182" s="2">
        <f>_xlfn.XLOOKUP($A182,[1]morph_04R500.dat!$A:$A,[1]morph_04R500.dat!P:P,"-",0)</f>
        <v>-70.97</v>
      </c>
      <c r="L182" s="2">
        <f>_xlfn.XLOOKUP($A182,[1]morph_04R500.dat!$A:$A,[1]morph_04R500.dat!R:R,"-",0)</f>
        <v>16.43</v>
      </c>
      <c r="M182" s="2">
        <f>_xlfn.XLOOKUP($A182,[1]Table7_badETA!$A:$A,[1]Table7_badETA!T:T,"-",0)</f>
        <v>0.30375000000000002</v>
      </c>
      <c r="N182" s="2">
        <f>_xlfn.XLOOKUP($A182,[1]Table7_badETA!$A:$A,[1]Table7_badETA!U:U,"-",0)</f>
        <v>4.8118488971868767E-2</v>
      </c>
      <c r="O182" s="7">
        <f>_xlfn.XLOOKUP($A182,[1]Table7_badETA!$A:$A,[1]Table7_badETA!S:S,"-",0)</f>
        <v>283.96033999999997</v>
      </c>
    </row>
    <row r="183" spans="1:15" x14ac:dyDescent="0.2">
      <c r="A183" s="8" t="s">
        <v>194</v>
      </c>
      <c r="B183" s="8" cm="1">
        <f t="array" aca="1" ref="B183" ca="1">_xlfn.XLOOKUP(A183,[1]Table2_V5_w3C28!A:A,[1]Table2_V5_w3C28!B:B,nan(),0)</f>
        <v>6.8000000000000005E-2</v>
      </c>
      <c r="C183" s="8" cm="1">
        <f t="array" aca="1" ref="C183" ca="1">_xlfn.XLOOKUP(A183,[1]Table2_V5_w3C28!A:A,[1]Table2_V5_w3C28!D:D,nan(),0)</f>
        <v>202.7107</v>
      </c>
      <c r="D183" s="8" cm="1">
        <f t="array" aca="1" ref="D183" ca="1">_xlfn.XLOOKUP(A183,[1]Table2_V5_w3C28!A:A,[1]Table2_V5_w3C28!E:E,nan(),0)</f>
        <v>-1.8617999999999999</v>
      </c>
      <c r="E183" s="1">
        <f>_xlfn.XLOOKUP($A183,[1]Table7_badETA!$A:$A,[1]Table7_badETA!C:C,"-",0)</f>
        <v>2.017E-2</v>
      </c>
      <c r="F183" s="1">
        <f>_xlfn.XLOOKUP($A183,[1]Table7_badETA!$A:$A,[1]Table7_badETA!E:E,"-",0)</f>
        <v>1.9740000000000001E-3</v>
      </c>
      <c r="G183" s="5">
        <f>_xlfn.XLOOKUP($A183,[1]Table7_badETA!$A:$A,[1]Table7_badETA!F:F,"-",0)</f>
        <v>1.8199999999999999E-7</v>
      </c>
      <c r="H183" s="6">
        <f>_xlfn.XLOOKUP($A183,[1]Table7_badETA!$A:$A,[1]Table7_badETA!H:H,"-",0)</f>
        <v>6.9100000000000003E-8</v>
      </c>
      <c r="I183" s="2">
        <f>_xlfn.XLOOKUP($A183,[1]Table7_badETA!$A:$A,[1]Table7_badETA!M:M,"-",0)</f>
        <v>0.95789999999999997</v>
      </c>
      <c r="J183" s="2">
        <f>_xlfn.XLOOKUP($A183,[1]Table7_badETA!$A:$A,[1]Table7_badETA!O:O,"-",0)</f>
        <v>7.1019999999999998E-3</v>
      </c>
      <c r="K183" s="2">
        <f>_xlfn.XLOOKUP($A183,[1]morph_04R500.dat!$A:$A,[1]morph_04R500.dat!P:P,"-",0)</f>
        <v>48.87</v>
      </c>
      <c r="L183" s="2">
        <f>_xlfn.XLOOKUP($A183,[1]morph_04R500.dat!$A:$A,[1]morph_04R500.dat!R:R,"-",0)</f>
        <v>4.7279999999999998</v>
      </c>
      <c r="M183" s="2">
        <f>_xlfn.XLOOKUP($A183,[1]Table7_badETA!$A:$A,[1]Table7_badETA!T:T,"-",0)</f>
        <v>0.49854539886694227</v>
      </c>
      <c r="N183" s="2">
        <f>_xlfn.XLOOKUP($A183,[1]Table7_badETA!$A:$A,[1]Table7_badETA!U:U,"-",0)</f>
        <v>1.1917484360793729E-2</v>
      </c>
      <c r="O183" s="7">
        <f>_xlfn.XLOOKUP($A183,[1]Table7_badETA!$A:$A,[1]Table7_badETA!S:S,"-",0)</f>
        <v>410.67212999999998</v>
      </c>
    </row>
    <row r="184" spans="1:15" x14ac:dyDescent="0.2">
      <c r="A184" s="8" t="s">
        <v>195</v>
      </c>
      <c r="B184" s="8" cm="1">
        <f t="array" aca="1" ref="B184" ca="1">_xlfn.XLOOKUP(A184,[1]Table2_V5_w3C28!A:A,[1]Table2_V5_w3C28!B:B,nan(),0)</f>
        <v>7.9000000000000001E-2</v>
      </c>
      <c r="C184" s="8" cm="1">
        <f t="array" aca="1" ref="C184" ca="1">_xlfn.XLOOKUP(A184,[1]Table2_V5_w3C28!A:A,[1]Table2_V5_w3C28!D:D,nan(),0)</f>
        <v>202.8734</v>
      </c>
      <c r="D184" s="8" cm="1">
        <f t="array" aca="1" ref="D184" ca="1">_xlfn.XLOOKUP(A184,[1]Table2_V5_w3C28!A:A,[1]Table2_V5_w3C28!E:E,nan(),0)</f>
        <v>11.1325</v>
      </c>
      <c r="E184" s="1">
        <f>_xlfn.XLOOKUP($A184,[1]Table7_badETA!$A:$A,[1]Table7_badETA!C:C,"-",0)</f>
        <v>2.4469999999999999E-2</v>
      </c>
      <c r="F184" s="1">
        <f>_xlfn.XLOOKUP($A184,[1]Table7_badETA!$A:$A,[1]Table7_badETA!E:E,"-",0)</f>
        <v>8.4670000000000006E-3</v>
      </c>
      <c r="G184" s="5">
        <f>_xlfn.XLOOKUP($A184,[1]Table7_badETA!$A:$A,[1]Table7_badETA!F:F,"-",0)</f>
        <v>6.4000000000000001E-7</v>
      </c>
      <c r="H184" s="6">
        <f>_xlfn.XLOOKUP($A184,[1]Table7_badETA!$A:$A,[1]Table7_badETA!H:H,"-",0)</f>
        <v>4.2500000000000001E-7</v>
      </c>
      <c r="I184" s="2">
        <f>_xlfn.XLOOKUP($A184,[1]Table7_badETA!$A:$A,[1]Table7_badETA!M:M,"-",0)</f>
        <v>0.96970000000000001</v>
      </c>
      <c r="J184" s="2">
        <f>_xlfn.XLOOKUP($A184,[1]Table7_badETA!$A:$A,[1]Table7_badETA!O:O,"-",0)</f>
        <v>2.7539999999999999E-2</v>
      </c>
      <c r="K184" s="2">
        <f>_xlfn.XLOOKUP($A184,[1]morph_04R500.dat!$A:$A,[1]morph_04R500.dat!P:P,"-",0)</f>
        <v>23.66</v>
      </c>
      <c r="L184" s="2">
        <f>_xlfn.XLOOKUP($A184,[1]morph_04R500.dat!$A:$A,[1]morph_04R500.dat!R:R,"-",0)</f>
        <v>35.56</v>
      </c>
      <c r="M184" s="2">
        <f>_xlfn.XLOOKUP($A184,[1]Table7_badETA!$A:$A,[1]Table7_badETA!T:T,"-",0)</f>
        <v>0.72498298162014974</v>
      </c>
      <c r="N184" s="2">
        <f>_xlfn.XLOOKUP($A184,[1]Table7_badETA!$A:$A,[1]Table7_badETA!U:U,"-",0)</f>
        <v>0.18062678004434726</v>
      </c>
      <c r="O184" s="7">
        <f>_xlfn.XLOOKUP($A184,[1]Table7_badETA!$A:$A,[1]Table7_badETA!S:S,"-",0)</f>
        <v>144.88353000000001</v>
      </c>
    </row>
    <row r="185" spans="1:15" x14ac:dyDescent="0.2">
      <c r="A185" s="8" t="s">
        <v>196</v>
      </c>
      <c r="B185" s="8" cm="1">
        <f t="array" aca="1" ref="B185" ca="1">_xlfn.XLOOKUP(A185,[1]Table2_V5_w3C28!A:A,[1]Table2_V5_w3C28!B:B,nan(),0)</f>
        <v>4.8000000000000001E-2</v>
      </c>
      <c r="C185" s="8" cm="1">
        <f t="array" aca="1" ref="C185" ca="1">_xlfn.XLOOKUP(A185,[1]Table2_V5_w3C28!A:A,[1]Table2_V5_w3C28!D:D,nan(),0)</f>
        <v>202.88079999999999</v>
      </c>
      <c r="D185" s="8" cm="1">
        <f t="array" aca="1" ref="D185" ca="1">_xlfn.XLOOKUP(A185,[1]Table2_V5_w3C28!A:A,[1]Table2_V5_w3C28!E:E,nan(),0)</f>
        <v>-31.8245</v>
      </c>
      <c r="E185" s="1">
        <f>_xlfn.XLOOKUP($A185,[1]Table7_badETA!$A:$A,[1]Table7_badETA!C:C,"-",0)</f>
        <v>4.598E-2</v>
      </c>
      <c r="F185" s="1">
        <f>_xlfn.XLOOKUP($A185,[1]Table7_badETA!$A:$A,[1]Table7_badETA!E:E,"-",0)</f>
        <v>7.9410000000000001E-3</v>
      </c>
      <c r="G185" s="5">
        <f>_xlfn.XLOOKUP($A185,[1]Table7_badETA!$A:$A,[1]Table7_badETA!F:F,"-",0)</f>
        <v>2.1799999999999999E-7</v>
      </c>
      <c r="H185" s="6">
        <f>_xlfn.XLOOKUP($A185,[1]Table7_badETA!$A:$A,[1]Table7_badETA!H:H,"-",0)</f>
        <v>7.4600000000000006E-8</v>
      </c>
      <c r="I185" s="2">
        <f>_xlfn.XLOOKUP($A185,[1]Table7_badETA!$A:$A,[1]Table7_badETA!M:M,"-",0)</f>
        <v>0.91149999999999998</v>
      </c>
      <c r="J185" s="2">
        <f>_xlfn.XLOOKUP($A185,[1]Table7_badETA!$A:$A,[1]Table7_badETA!O:O,"-",0)</f>
        <v>4.0399999999999998E-2</v>
      </c>
      <c r="K185" s="2">
        <f>_xlfn.XLOOKUP($A185,[1]morph_04R500.dat!$A:$A,[1]morph_04R500.dat!P:P,"-",0)</f>
        <v>87.39</v>
      </c>
      <c r="L185" s="2">
        <f>_xlfn.XLOOKUP($A185,[1]morph_04R500.dat!$A:$A,[1]morph_04R500.dat!R:R,"-",0)</f>
        <v>2.4630000000000001</v>
      </c>
      <c r="M185" s="2">
        <f>_xlfn.XLOOKUP($A185,[1]Table7_badETA!$A:$A,[1]Table7_badETA!T:T,"-",0)</f>
        <v>0.34209268991877689</v>
      </c>
      <c r="N185" s="2">
        <f>_xlfn.XLOOKUP($A185,[1]Table7_badETA!$A:$A,[1]Table7_badETA!U:U,"-",0)</f>
        <v>1.9959373388011861E-2</v>
      </c>
      <c r="O185" s="7">
        <f>_xlfn.XLOOKUP($A185,[1]Table7_badETA!$A:$A,[1]Table7_badETA!S:S,"-",0)</f>
        <v>373.14940000000001</v>
      </c>
    </row>
    <row r="186" spans="1:15" x14ac:dyDescent="0.2">
      <c r="A186" s="8" t="s">
        <v>197</v>
      </c>
      <c r="B186" s="8" cm="1">
        <f t="array" aca="1" ref="B186" ca="1">_xlfn.XLOOKUP(A186,[1]Table2_V5_w3C28!A:A,[1]Table2_V5_w3C28!B:B,nan(),0)</f>
        <v>4.9000000000000002E-2</v>
      </c>
      <c r="C186" s="8" cm="1">
        <f t="array" aca="1" ref="C186" ca="1">_xlfn.XLOOKUP(A186,[1]Table2_V5_w3C28!A:A,[1]Table2_V5_w3C28!D:D,nan(),0)</f>
        <v>203.40549999999999</v>
      </c>
      <c r="D186" s="8" cm="1">
        <f t="array" aca="1" ref="D186" ca="1">_xlfn.XLOOKUP(A186,[1]Table2_V5_w3C28!A:A,[1]Table2_V5_w3C28!E:E,nan(),0)</f>
        <v>-31.671600000000002</v>
      </c>
      <c r="E186" s="1">
        <f>_xlfn.XLOOKUP($A186,[1]Table7_badETA!$A:$A,[1]Table7_badETA!C:C,"-",0)</f>
        <v>1.409E-2</v>
      </c>
      <c r="F186" s="1">
        <f>_xlfn.XLOOKUP($A186,[1]Table7_badETA!$A:$A,[1]Table7_badETA!E:E,"-",0)</f>
        <v>1.836E-3</v>
      </c>
      <c r="G186" s="5">
        <f>_xlfn.XLOOKUP($A186,[1]Table7_badETA!$A:$A,[1]Table7_badETA!F:F,"-",0)</f>
        <v>7.61E-7</v>
      </c>
      <c r="H186" s="6">
        <f>_xlfn.XLOOKUP($A186,[1]Table7_badETA!$A:$A,[1]Table7_badETA!H:H,"-",0)</f>
        <v>6.1099999999999998E-8</v>
      </c>
      <c r="I186" s="2">
        <f>_xlfn.XLOOKUP($A186,[1]Table7_badETA!$A:$A,[1]Table7_badETA!M:M,"-",0)</f>
        <v>0.88749999999999996</v>
      </c>
      <c r="J186" s="2">
        <f>_xlfn.XLOOKUP($A186,[1]Table7_badETA!$A:$A,[1]Table7_badETA!O:O,"-",0)</f>
        <v>3.7789999999999998E-3</v>
      </c>
      <c r="K186" s="2">
        <f>_xlfn.XLOOKUP($A186,[1]morph_04R500.dat!$A:$A,[1]morph_04R500.dat!P:P,"-",0)</f>
        <v>73.680000000000007</v>
      </c>
      <c r="L186" s="2">
        <f>_xlfn.XLOOKUP($A186,[1]morph_04R500.dat!$A:$A,[1]morph_04R500.dat!R:R,"-",0)</f>
        <v>1.1419999999999999</v>
      </c>
      <c r="M186" s="2">
        <f>_xlfn.XLOOKUP($A186,[1]Table7_badETA!$A:$A,[1]Table7_badETA!T:T,"-",0)</f>
        <v>0.44866071428571425</v>
      </c>
      <c r="N186" s="2">
        <f>_xlfn.XLOOKUP($A186,[1]Table7_badETA!$A:$A,[1]Table7_badETA!U:U,"-",0)</f>
        <v>7.9445567854816972E-3</v>
      </c>
      <c r="O186" s="7">
        <f>_xlfn.XLOOKUP($A186,[1]Table7_badETA!$A:$A,[1]Table7_badETA!S:S,"-",0)</f>
        <v>433.89449000000002</v>
      </c>
    </row>
    <row r="187" spans="1:15" x14ac:dyDescent="0.2">
      <c r="A187" s="8" t="s">
        <v>198</v>
      </c>
      <c r="B187" s="8" cm="1">
        <f t="array" aca="1" ref="B187" ca="1">_xlfn.XLOOKUP(A187,[1]Table2_V5_w3C28!A:A,[1]Table2_V5_w3C28!B:B,nan(),0)</f>
        <v>0.223</v>
      </c>
      <c r="C187" s="8" cm="1">
        <f t="array" aca="1" ref="C187" ca="1">_xlfn.XLOOKUP(A187,[1]Table2_V5_w3C28!A:A,[1]Table2_V5_w3C28!D:D,nan(),0)</f>
        <v>203.83330000000001</v>
      </c>
      <c r="D187" s="8" cm="1">
        <f t="array" aca="1" ref="D187" ca="1">_xlfn.XLOOKUP(A187,[1]Table2_V5_w3C28!A:A,[1]Table2_V5_w3C28!E:E,nan(),0)</f>
        <v>41.000500000000002</v>
      </c>
      <c r="E187" s="1">
        <f>_xlfn.XLOOKUP($A187,[1]Table7_badETA!$A:$A,[1]Table7_badETA!C:C,"-",0)</f>
        <v>6.6439999999999999E-2</v>
      </c>
      <c r="F187" s="1">
        <f>_xlfn.XLOOKUP($A187,[1]Table7_badETA!$A:$A,[1]Table7_badETA!E:E,"-",0)</f>
        <v>7.77E-3</v>
      </c>
      <c r="G187" s="5">
        <f>_xlfn.XLOOKUP($A187,[1]Table7_badETA!$A:$A,[1]Table7_badETA!F:F,"-",0)</f>
        <v>5.7299999999999997E-8</v>
      </c>
      <c r="H187" s="6">
        <f>_xlfn.XLOOKUP($A187,[1]Table7_badETA!$A:$A,[1]Table7_badETA!H:H,"-",0)</f>
        <v>4.0000000000000001E-8</v>
      </c>
      <c r="I187" s="2">
        <f>_xlfn.XLOOKUP($A187,[1]Table7_badETA!$A:$A,[1]Table7_badETA!M:M,"-",0)</f>
        <v>0.8639</v>
      </c>
      <c r="J187" s="2">
        <f>_xlfn.XLOOKUP($A187,[1]Table7_badETA!$A:$A,[1]Table7_badETA!O:O,"-",0)</f>
        <v>6.5919999999999998E-3</v>
      </c>
      <c r="K187" s="2">
        <f>_xlfn.XLOOKUP($A187,[1]morph_04R500.dat!$A:$A,[1]morph_04R500.dat!P:P,"-",0)</f>
        <v>70.400000000000006</v>
      </c>
      <c r="L187" s="2">
        <f>_xlfn.XLOOKUP($A187,[1]morph_04R500.dat!$A:$A,[1]morph_04R500.dat!R:R,"-",0)</f>
        <v>1.7669999999999999</v>
      </c>
      <c r="M187" s="2">
        <f>_xlfn.XLOOKUP($A187,[1]Table7_badETA!$A:$A,[1]Table7_badETA!T:T,"-",0)</f>
        <v>0.39702667249672063</v>
      </c>
      <c r="N187" s="2">
        <f>_xlfn.XLOOKUP($A187,[1]Table7_badETA!$A:$A,[1]Table7_badETA!U:U,"-",0)</f>
        <v>9.967612246242057E-3</v>
      </c>
      <c r="O187" s="7">
        <f>_xlfn.XLOOKUP($A187,[1]Table7_badETA!$A:$A,[1]Table7_badETA!S:S,"-",0)</f>
        <v>497.91068000000001</v>
      </c>
    </row>
    <row r="188" spans="1:15" x14ac:dyDescent="0.2">
      <c r="A188" s="8" t="s">
        <v>199</v>
      </c>
      <c r="B188" s="8" cm="1">
        <f t="array" aca="1" ref="B188" ca="1">_xlfn.XLOOKUP(A188,[1]Table2_V5_w3C28!A:A,[1]Table2_V5_w3C28!B:B,nan(),0)</f>
        <v>0.45100000000000001</v>
      </c>
      <c r="C188" s="8" cm="1">
        <f t="array" aca="1" ref="C188" ca="1">_xlfn.XLOOKUP(A188,[1]Table2_V5_w3C28!A:A,[1]Table2_V5_w3C28!D:D,nan(),0)</f>
        <v>206.8776</v>
      </c>
      <c r="D188" s="8" cm="1">
        <f t="array" aca="1" ref="D188" ca="1">_xlfn.XLOOKUP(A188,[1]Table2_V5_w3C28!A:A,[1]Table2_V5_w3C28!E:E,nan(),0)</f>
        <v>-11.7524</v>
      </c>
      <c r="E188" s="1">
        <f>_xlfn.XLOOKUP($A188,[1]Table7_badETA!$A:$A,[1]Table7_badETA!C:C,"-",0)</f>
        <v>6.7820000000000005E-2</v>
      </c>
      <c r="F188" s="1">
        <f>_xlfn.XLOOKUP($A188,[1]Table7_badETA!$A:$A,[1]Table7_badETA!E:E,"-",0)</f>
        <v>1.6800000000000001E-3</v>
      </c>
      <c r="G188" s="5">
        <f>_xlfn.XLOOKUP($A188,[1]Table7_badETA!$A:$A,[1]Table7_badETA!F:F,"-",0)</f>
        <v>5.03E-8</v>
      </c>
      <c r="H188" s="6">
        <f>_xlfn.XLOOKUP($A188,[1]Table7_badETA!$A:$A,[1]Table7_badETA!H:H,"-",0)</f>
        <v>8.1799999999999995E-9</v>
      </c>
      <c r="I188" s="2">
        <f>_xlfn.XLOOKUP($A188,[1]Table7_badETA!$A:$A,[1]Table7_badETA!M:M,"-",0)</f>
        <v>0.86950000000000005</v>
      </c>
      <c r="J188" s="2">
        <f>_xlfn.XLOOKUP($A188,[1]Table7_badETA!$A:$A,[1]Table7_badETA!O:O,"-",0)</f>
        <v>2.7420000000000001E-3</v>
      </c>
      <c r="K188" s="2">
        <f>_xlfn.XLOOKUP($A188,[1]morph_04R500.dat!$A:$A,[1]morph_04R500.dat!P:P,"-",0)</f>
        <v>2.0009999999999999</v>
      </c>
      <c r="L188" s="2">
        <f>_xlfn.XLOOKUP($A188,[1]morph_04R500.dat!$A:$A,[1]morph_04R500.dat!R:R,"-",0)</f>
        <v>0.6976</v>
      </c>
      <c r="M188" s="2">
        <f>_xlfn.XLOOKUP($A188,[1]Table7_badETA!$A:$A,[1]Table7_badETA!T:T,"-",0)</f>
        <v>0.7668933839766805</v>
      </c>
      <c r="N188" s="2">
        <f>_xlfn.XLOOKUP($A188,[1]Table7_badETA!$A:$A,[1]Table7_badETA!U:U,"-",0)</f>
        <v>2.7967361995463484E-3</v>
      </c>
      <c r="O188" s="7">
        <f>_xlfn.XLOOKUP($A188,[1]Table7_badETA!$A:$A,[1]Table7_badETA!S:S,"-",0)</f>
        <v>643.029</v>
      </c>
    </row>
    <row r="189" spans="1:15" x14ac:dyDescent="0.2">
      <c r="A189" s="8" t="s">
        <v>200</v>
      </c>
      <c r="B189" s="8" cm="1">
        <f t="array" aca="1" ref="B189" ca="1">_xlfn.XLOOKUP(A189,[1]Table2_V5_w3C28!A:A,[1]Table2_V5_w3C28!B:B,nan(),0)</f>
        <v>0.16200000000000001</v>
      </c>
      <c r="C189" s="8" cm="1">
        <f t="array" aca="1" ref="C189" ca="1">_xlfn.XLOOKUP(A189,[1]Table2_V5_w3C28!A:A,[1]Table2_V5_w3C28!D:D,nan(),0)</f>
        <v>207.2526</v>
      </c>
      <c r="D189" s="8" cm="1">
        <f t="array" aca="1" ref="D189" ca="1">_xlfn.XLOOKUP(A189,[1]Table2_V5_w3C28!A:A,[1]Table2_V5_w3C28!E:E,nan(),0)</f>
        <v>49.311500000000002</v>
      </c>
      <c r="E189" s="1">
        <f>_xlfn.XLOOKUP($A189,[1]Table7_badETA!$A:$A,[1]Table7_badETA!C:C,"-",0)</f>
        <v>3.7289999999999997E-2</v>
      </c>
      <c r="F189" s="1">
        <f>_xlfn.XLOOKUP($A189,[1]Table7_badETA!$A:$A,[1]Table7_badETA!E:E,"-",0)</f>
        <v>8.0879999999999997E-3</v>
      </c>
      <c r="G189" s="5">
        <f>_xlfn.XLOOKUP($A189,[1]Table7_badETA!$A:$A,[1]Table7_badETA!F:F,"-",0)</f>
        <v>2.1500000000000001E-7</v>
      </c>
      <c r="H189" s="6">
        <f>_xlfn.XLOOKUP($A189,[1]Table7_badETA!$A:$A,[1]Table7_badETA!H:H,"-",0)</f>
        <v>1.9299999999999999E-7</v>
      </c>
      <c r="I189" s="2">
        <f>_xlfn.XLOOKUP($A189,[1]Table7_badETA!$A:$A,[1]Table7_badETA!M:M,"-",0)</f>
        <v>0.94679999999999997</v>
      </c>
      <c r="J189" s="2">
        <f>_xlfn.XLOOKUP($A189,[1]Table7_badETA!$A:$A,[1]Table7_badETA!O:O,"-",0)</f>
        <v>4.3630000000000002E-2</v>
      </c>
      <c r="K189" s="2">
        <f>_xlfn.XLOOKUP($A189,[1]morph_04R500.dat!$A:$A,[1]morph_04R500.dat!P:P,"-",0)</f>
        <v>5.6980000000000004</v>
      </c>
      <c r="L189" s="2">
        <f>_xlfn.XLOOKUP($A189,[1]morph_04R500.dat!$A:$A,[1]morph_04R500.dat!R:R,"-",0)</f>
        <v>9.1720000000000006</v>
      </c>
      <c r="M189" s="2" t="str">
        <f>_xlfn.XLOOKUP($A189,[1]Table7_badETA!$A:$A,[1]Table7_badETA!T:T,"-",0)</f>
        <v>-</v>
      </c>
      <c r="N189" s="2" t="str">
        <f>_xlfn.XLOOKUP($A189,[1]Table7_badETA!$A:$A,[1]Table7_badETA!U:U,"-",0)</f>
        <v>-</v>
      </c>
      <c r="O189" s="7">
        <f>_xlfn.XLOOKUP($A189,[1]Table7_badETA!$A:$A,[1]Table7_badETA!S:S,"-",0)</f>
        <v>382.58436999999998</v>
      </c>
    </row>
    <row r="190" spans="1:15" x14ac:dyDescent="0.2">
      <c r="A190" s="8" t="s">
        <v>201</v>
      </c>
      <c r="B190" s="8" cm="1">
        <f t="array" aca="1" ref="B190" ca="1">_xlfn.XLOOKUP(A190,[1]Table2_V5_w3C28!A:A,[1]Table2_V5_w3C28!B:B,nan(),0)</f>
        <v>0.56299999999999994</v>
      </c>
      <c r="C190" s="8" cm="1">
        <f t="array" aca="1" ref="C190" ca="1">_xlfn.XLOOKUP(A190,[1]Table2_V5_w3C28!A:A,[1]Table2_V5_w3C28!D:D,nan(),0)</f>
        <v>209.31950000000001</v>
      </c>
      <c r="D190" s="8" cm="1">
        <f t="array" aca="1" ref="D190" ca="1">_xlfn.XLOOKUP(A190,[1]Table2_V5_w3C28!A:A,[1]Table2_V5_w3C28!E:E,nan(),0)</f>
        <v>62.547199999999997</v>
      </c>
      <c r="E190" s="1">
        <f>_xlfn.XLOOKUP($A190,[1]Table7_badETA!$A:$A,[1]Table7_badETA!C:C,"-",0)</f>
        <v>4.9189999999999998E-2</v>
      </c>
      <c r="F190" s="1">
        <f>_xlfn.XLOOKUP($A190,[1]Table7_badETA!$A:$A,[1]Table7_badETA!E:E,"-",0)</f>
        <v>1.1259999999999999E-2</v>
      </c>
      <c r="G190" s="5">
        <f>_xlfn.XLOOKUP($A190,[1]Table7_badETA!$A:$A,[1]Table7_badETA!F:F,"-",0)</f>
        <v>4.9900000000000001E-7</v>
      </c>
      <c r="H190" s="6">
        <f>_xlfn.XLOOKUP($A190,[1]Table7_badETA!$A:$A,[1]Table7_badETA!H:H,"-",0)</f>
        <v>5.5899999999999996E-7</v>
      </c>
      <c r="I190" s="2">
        <f>_xlfn.XLOOKUP($A190,[1]Table7_badETA!$A:$A,[1]Table7_badETA!M:M,"-",0)</f>
        <v>0.95930000000000004</v>
      </c>
      <c r="J190" s="2">
        <f>_xlfn.XLOOKUP($A190,[1]Table7_badETA!$A:$A,[1]Table7_badETA!O:O,"-",0)</f>
        <v>2.349E-2</v>
      </c>
      <c r="K190" s="2">
        <f>_xlfn.XLOOKUP($A190,[1]morph_04R500.dat!$A:$A,[1]morph_04R500.dat!P:P,"-",0)</f>
        <v>-43.49</v>
      </c>
      <c r="L190" s="2">
        <f>_xlfn.XLOOKUP($A190,[1]morph_04R500.dat!$A:$A,[1]morph_04R500.dat!R:R,"-",0)</f>
        <v>18.059999999999999</v>
      </c>
      <c r="M190" s="2" t="str">
        <f>_xlfn.XLOOKUP($A190,[1]Table7_badETA!$A:$A,[1]Table7_badETA!T:T,"-",0)</f>
        <v>-</v>
      </c>
      <c r="N190" s="2" t="str">
        <f>_xlfn.XLOOKUP($A190,[1]Table7_badETA!$A:$A,[1]Table7_badETA!U:U,"-",0)</f>
        <v>-</v>
      </c>
      <c r="O190" s="7">
        <f>_xlfn.XLOOKUP($A190,[1]Table7_badETA!$A:$A,[1]Table7_badETA!S:S,"-",0)</f>
        <v>329.71803999999997</v>
      </c>
    </row>
    <row r="191" spans="1:15" x14ac:dyDescent="0.2">
      <c r="A191" s="8" t="s">
        <v>202</v>
      </c>
      <c r="B191" s="8" cm="1">
        <f t="array" aca="1" ref="B191" ca="1">_xlfn.XLOOKUP(A191,[1]Table2_V5_w3C28!A:A,[1]Table2_V5_w3C28!B:B,nan(),0)</f>
        <v>6.0999999999999999E-2</v>
      </c>
      <c r="C191" s="8" cm="1">
        <f t="array" aca="1" ref="C191" ca="1">_xlfn.XLOOKUP(A191,[1]Table2_V5_w3C28!A:A,[1]Table2_V5_w3C28!D:D,nan(),0)</f>
        <v>209.81559999999999</v>
      </c>
      <c r="D191" s="8" cm="1">
        <f t="array" aca="1" ref="D191" ca="1">_xlfn.XLOOKUP(A191,[1]Table2_V5_w3C28!A:A,[1]Table2_V5_w3C28!E:E,nan(),0)</f>
        <v>27.975300000000001</v>
      </c>
      <c r="E191" s="1">
        <f>_xlfn.XLOOKUP($A191,[1]Table7_badETA!$A:$A,[1]Table7_badETA!C:C,"-",0)</f>
        <v>2.0240000000000001E-2</v>
      </c>
      <c r="F191" s="1">
        <f>_xlfn.XLOOKUP($A191,[1]Table7_badETA!$A:$A,[1]Table7_badETA!E:E,"-",0)</f>
        <v>2.9729999999999999E-3</v>
      </c>
      <c r="G191" s="5">
        <f>_xlfn.XLOOKUP($A191,[1]Table7_badETA!$A:$A,[1]Table7_badETA!F:F,"-",0)</f>
        <v>8.4999999999999994E-8</v>
      </c>
      <c r="H191" s="6">
        <f>_xlfn.XLOOKUP($A191,[1]Table7_badETA!$A:$A,[1]Table7_badETA!H:H,"-",0)</f>
        <v>4.4999999999999999E-8</v>
      </c>
      <c r="I191" s="2">
        <f>_xlfn.XLOOKUP($A191,[1]Table7_badETA!$A:$A,[1]Table7_badETA!M:M,"-",0)</f>
        <v>0.92359999999999998</v>
      </c>
      <c r="J191" s="2">
        <f>_xlfn.XLOOKUP($A191,[1]Table7_badETA!$A:$A,[1]Table7_badETA!O:O,"-",0)</f>
        <v>8.0199999999999994E-3</v>
      </c>
      <c r="K191" s="2">
        <f>_xlfn.XLOOKUP($A191,[1]morph_04R500.dat!$A:$A,[1]morph_04R500.dat!P:P,"-",0)</f>
        <v>-29.98</v>
      </c>
      <c r="L191" s="2">
        <f>_xlfn.XLOOKUP($A191,[1]morph_04R500.dat!$A:$A,[1]morph_04R500.dat!R:R,"-",0)</f>
        <v>2.9510000000000001</v>
      </c>
      <c r="M191" s="2">
        <f>_xlfn.XLOOKUP($A191,[1]Table7_badETA!$A:$A,[1]Table7_badETA!T:T,"-",0)</f>
        <v>0.44145658263305315</v>
      </c>
      <c r="N191" s="2">
        <f>_xlfn.XLOOKUP($A191,[1]Table7_badETA!$A:$A,[1]Table7_badETA!U:U,"-",0)</f>
        <v>1.5224772029281101E-2</v>
      </c>
      <c r="O191" s="7">
        <f>_xlfn.XLOOKUP($A191,[1]Table7_badETA!$A:$A,[1]Table7_badETA!S:S,"-",0)</f>
        <v>375.54714999999999</v>
      </c>
    </row>
    <row r="192" spans="1:15" x14ac:dyDescent="0.2">
      <c r="A192" s="8" t="s">
        <v>203</v>
      </c>
      <c r="B192" s="8" cm="1">
        <f t="array" aca="1" ref="B192" ca="1">_xlfn.XLOOKUP(A192,[1]Table2_V5_w3C28!A:A,[1]Table2_V5_w3C28!B:B,nan(),0)</f>
        <v>0.253</v>
      </c>
      <c r="C192" s="8" cm="1">
        <f t="array" aca="1" ref="C192" ca="1">_xlfn.XLOOKUP(A192,[1]Table2_V5_w3C28!A:A,[1]Table2_V5_w3C28!D:D,nan(),0)</f>
        <v>210.25810000000001</v>
      </c>
      <c r="D192" s="8" cm="1">
        <f t="array" aca="1" ref="D192" ca="1">_xlfn.XLOOKUP(A192,[1]Table2_V5_w3C28!A:A,[1]Table2_V5_w3C28!E:E,nan(),0)</f>
        <v>2.8788999999999998</v>
      </c>
      <c r="E192" s="1">
        <f>_xlfn.XLOOKUP($A192,[1]Table7_badETA!$A:$A,[1]Table7_badETA!C:C,"-",0)</f>
        <v>1.83E-2</v>
      </c>
      <c r="F192" s="1">
        <f>_xlfn.XLOOKUP($A192,[1]Table7_badETA!$A:$A,[1]Table7_badETA!E:E,"-",0)</f>
        <v>4.7169999999999997E-4</v>
      </c>
      <c r="G192" s="5">
        <f>_xlfn.XLOOKUP($A192,[1]Table7_badETA!$A:$A,[1]Table7_badETA!F:F,"-",0)</f>
        <v>5.6999999999999998E-9</v>
      </c>
      <c r="H192" s="6">
        <f>_xlfn.XLOOKUP($A192,[1]Table7_badETA!$A:$A,[1]Table7_badETA!H:H,"-",0)</f>
        <v>2.69E-9</v>
      </c>
      <c r="I192" s="2">
        <f>_xlfn.XLOOKUP($A192,[1]Table7_badETA!$A:$A,[1]Table7_badETA!M:M,"-",0)</f>
        <v>0.92400000000000004</v>
      </c>
      <c r="J192" s="2">
        <f>_xlfn.XLOOKUP($A192,[1]Table7_badETA!$A:$A,[1]Table7_badETA!O:O,"-",0)</f>
        <v>4.1130000000000003E-3</v>
      </c>
      <c r="K192" s="2">
        <f>_xlfn.XLOOKUP($A192,[1]morph_04R500.dat!$A:$A,[1]morph_04R500.dat!P:P,"-",0)</f>
        <v>-16.5</v>
      </c>
      <c r="L192" s="2">
        <f>_xlfn.XLOOKUP($A192,[1]morph_04R500.dat!$A:$A,[1]morph_04R500.dat!R:R,"-",0)</f>
        <v>1.673</v>
      </c>
      <c r="M192" s="2">
        <f>_xlfn.XLOOKUP($A192,[1]Table7_badETA!$A:$A,[1]Table7_badETA!T:T,"-",0)</f>
        <v>0.72172808132147404</v>
      </c>
      <c r="N192" s="2">
        <f>_xlfn.XLOOKUP($A192,[1]Table7_badETA!$A:$A,[1]Table7_badETA!U:U,"-",0)</f>
        <v>3.6313184609622078E-3</v>
      </c>
      <c r="O192" s="7">
        <f>_xlfn.XLOOKUP($A192,[1]Table7_badETA!$A:$A,[1]Table7_badETA!S:S,"-",0)</f>
        <v>589.66723000000002</v>
      </c>
    </row>
    <row r="193" spans="1:15" x14ac:dyDescent="0.2">
      <c r="A193" s="8" t="s">
        <v>204</v>
      </c>
      <c r="B193" s="8" cm="1">
        <f t="array" aca="1" ref="B193" ca="1">_xlfn.XLOOKUP(A193,[1]Table2_V5_w3C28!A:A,[1]Table2_V5_w3C28!B:B,nan(),0)</f>
        <v>0.14099999999999999</v>
      </c>
      <c r="C193" s="8" cm="1">
        <f t="array" aca="1" ref="C193" ca="1">_xlfn.XLOOKUP(A193,[1]Table2_V5_w3C28!A:A,[1]Table2_V5_w3C28!D:D,nan(),0)</f>
        <v>213.77850000000001</v>
      </c>
      <c r="D193" s="8" cm="1">
        <f t="array" aca="1" ref="D193" ca="1">_xlfn.XLOOKUP(A193,[1]Table2_V5_w3C28!A:A,[1]Table2_V5_w3C28!E:E,nan(),0)</f>
        <v>-0.49199999999999999</v>
      </c>
      <c r="E193" s="1">
        <f>_xlfn.XLOOKUP($A193,[1]Table7_badETA!$A:$A,[1]Table7_badETA!C:C,"-",0)</f>
        <v>4.3950000000000003E-2</v>
      </c>
      <c r="F193" s="1">
        <f>_xlfn.XLOOKUP($A193,[1]Table7_badETA!$A:$A,[1]Table7_badETA!E:E,"-",0)</f>
        <v>2.7720000000000002E-3</v>
      </c>
      <c r="G193" s="5">
        <f>_xlfn.XLOOKUP($A193,[1]Table7_badETA!$A:$A,[1]Table7_badETA!F:F,"-",0)</f>
        <v>4.0200000000000003E-7</v>
      </c>
      <c r="H193" s="6">
        <f>_xlfn.XLOOKUP($A193,[1]Table7_badETA!$A:$A,[1]Table7_badETA!H:H,"-",0)</f>
        <v>1.02E-7</v>
      </c>
      <c r="I193" s="2">
        <f>_xlfn.XLOOKUP($A193,[1]Table7_badETA!$A:$A,[1]Table7_badETA!M:M,"-",0)</f>
        <v>0.92020000000000002</v>
      </c>
      <c r="J193" s="2">
        <f>_xlfn.XLOOKUP($A193,[1]Table7_badETA!$A:$A,[1]Table7_badETA!O:O,"-",0)</f>
        <v>5.7759999999999999E-3</v>
      </c>
      <c r="K193" s="2">
        <f>_xlfn.XLOOKUP($A193,[1]morph_04R500.dat!$A:$A,[1]morph_04R500.dat!P:P,"-",0)</f>
        <v>-68.31</v>
      </c>
      <c r="L193" s="2">
        <f>_xlfn.XLOOKUP($A193,[1]morph_04R500.dat!$A:$A,[1]morph_04R500.dat!R:R,"-",0)</f>
        <v>2.4590000000000001</v>
      </c>
      <c r="M193" s="2">
        <f>_xlfn.XLOOKUP($A193,[1]Table7_badETA!$A:$A,[1]Table7_badETA!T:T,"-",0)</f>
        <v>0.34959666926880045</v>
      </c>
      <c r="N193" s="2">
        <f>_xlfn.XLOOKUP($A193,[1]Table7_badETA!$A:$A,[1]Table7_badETA!U:U,"-",0)</f>
        <v>1.9741592257120747E-2</v>
      </c>
      <c r="O193" s="7">
        <f>_xlfn.XLOOKUP($A193,[1]Table7_badETA!$A:$A,[1]Table7_badETA!S:S,"-",0)</f>
        <v>352.92338000000001</v>
      </c>
    </row>
    <row r="194" spans="1:15" x14ac:dyDescent="0.2">
      <c r="A194" s="8" t="s">
        <v>205</v>
      </c>
      <c r="B194" s="8" cm="1">
        <f t="array" aca="1" ref="B194" ca="1">_xlfn.XLOOKUP(A194,[1]Table2_V5_w3C28!A:A,[1]Table2_V5_w3C28!B:B,nan(),0)</f>
        <v>1.03</v>
      </c>
      <c r="C194" s="8" cm="1">
        <f t="array" aca="1" ref="C194" ca="1">_xlfn.XLOOKUP(A194,[1]Table2_V5_w3C28!A:A,[1]Table2_V5_w3C28!D:D,nan(),0)</f>
        <v>213.7954</v>
      </c>
      <c r="D194" s="8" cm="1">
        <f t="array" aca="1" ref="D194" ca="1">_xlfn.XLOOKUP(A194,[1]Table2_V5_w3C28!A:A,[1]Table2_V5_w3C28!E:E,nan(),0)</f>
        <v>36.202199999999998</v>
      </c>
      <c r="E194" s="1">
        <f>_xlfn.XLOOKUP($A194,[1]Table7_badETA!$A:$A,[1]Table7_badETA!C:C,"-",0)</f>
        <v>0.1024</v>
      </c>
      <c r="F194" s="1">
        <f>_xlfn.XLOOKUP($A194,[1]Table7_badETA!$A:$A,[1]Table7_badETA!E:E,"-",0)</f>
        <v>1.227E-2</v>
      </c>
      <c r="G194" s="5">
        <f>_xlfn.XLOOKUP($A194,[1]Table7_badETA!$A:$A,[1]Table7_badETA!F:F,"-",0)</f>
        <v>3.5400000000000002E-7</v>
      </c>
      <c r="H194" s="6">
        <f>_xlfn.XLOOKUP($A194,[1]Table7_badETA!$A:$A,[1]Table7_badETA!H:H,"-",0)</f>
        <v>3.1100000000000002E-7</v>
      </c>
      <c r="I194" s="2">
        <f>_xlfn.XLOOKUP($A194,[1]Table7_badETA!$A:$A,[1]Table7_badETA!M:M,"-",0)</f>
        <v>0.95</v>
      </c>
      <c r="J194" s="2">
        <f>_xlfn.XLOOKUP($A194,[1]Table7_badETA!$A:$A,[1]Table7_badETA!O:O,"-",0)</f>
        <v>9.7310000000000001E-3</v>
      </c>
      <c r="K194" s="2">
        <f>_xlfn.XLOOKUP($A194,[1]morph_04R500.dat!$A:$A,[1]morph_04R500.dat!P:P,"-",0)</f>
        <v>25.09</v>
      </c>
      <c r="L194" s="2">
        <f>_xlfn.XLOOKUP($A194,[1]morph_04R500.dat!$A:$A,[1]morph_04R500.dat!R:R,"-",0)</f>
        <v>7.39</v>
      </c>
      <c r="M194" s="2" t="str">
        <f>_xlfn.XLOOKUP($A194,[1]Table7_badETA!$A:$A,[1]Table7_badETA!T:T,"-",0)</f>
        <v>-</v>
      </c>
      <c r="N194" s="2" t="str">
        <f>_xlfn.XLOOKUP($A194,[1]Table7_badETA!$A:$A,[1]Table7_badETA!U:U,"-",0)</f>
        <v>-</v>
      </c>
      <c r="O194" s="7">
        <f>_xlfn.XLOOKUP($A194,[1]Table7_badETA!$A:$A,[1]Table7_badETA!S:S,"-",0)</f>
        <v>246.76430999999999</v>
      </c>
    </row>
    <row r="195" spans="1:15" x14ac:dyDescent="0.2">
      <c r="A195" s="8" t="s">
        <v>206</v>
      </c>
      <c r="B195" s="8" cm="1">
        <f t="array" aca="1" ref="B195" ca="1">_xlfn.XLOOKUP(A195,[1]Table2_V5_w3C28!A:A,[1]Table2_V5_w3C28!B:B,nan(),0)</f>
        <v>0.38600000000000001</v>
      </c>
      <c r="C195" s="8" cm="1">
        <f t="array" aca="1" ref="C195" ca="1">_xlfn.XLOOKUP(A195,[1]Table2_V5_w3C28!A:A,[1]Table2_V5_w3C28!D:D,nan(),0)</f>
        <v>214.11609999999999</v>
      </c>
      <c r="D195" s="8" cm="1">
        <f t="array" aca="1" ref="D195" ca="1">_xlfn.XLOOKUP(A195,[1]Table2_V5_w3C28!A:A,[1]Table2_V5_w3C28!E:E,nan(),0)</f>
        <v>44.779200000000003</v>
      </c>
      <c r="E195" s="1">
        <f>_xlfn.XLOOKUP($A195,[1]Table7_badETA!$A:$A,[1]Table7_badETA!C:C,"-",0)</f>
        <v>8.9599999999999999E-2</v>
      </c>
      <c r="F195" s="1">
        <f>_xlfn.XLOOKUP($A195,[1]Table7_badETA!$A:$A,[1]Table7_badETA!E:E,"-",0)</f>
        <v>8.8999999999999999E-3</v>
      </c>
      <c r="G195" s="5">
        <f>_xlfn.XLOOKUP($A195,[1]Table7_badETA!$A:$A,[1]Table7_badETA!F:F,"-",0)</f>
        <v>4.0899999999999997E-9</v>
      </c>
      <c r="H195" s="6">
        <f>_xlfn.XLOOKUP($A195,[1]Table7_badETA!$A:$A,[1]Table7_badETA!H:H,"-",0)</f>
        <v>1.12E-7</v>
      </c>
      <c r="I195" s="2">
        <f>_xlfn.XLOOKUP($A195,[1]Table7_badETA!$A:$A,[1]Table7_badETA!M:M,"-",0)</f>
        <v>0.89429999999999998</v>
      </c>
      <c r="J195" s="2">
        <f>_xlfn.XLOOKUP($A195,[1]Table7_badETA!$A:$A,[1]Table7_badETA!O:O,"-",0)</f>
        <v>1.8020000000000001E-2</v>
      </c>
      <c r="K195" s="2">
        <f>_xlfn.XLOOKUP($A195,[1]morph_04R500.dat!$A:$A,[1]morph_04R500.dat!P:P,"-",0)</f>
        <v>-25.57</v>
      </c>
      <c r="L195" s="2">
        <f>_xlfn.XLOOKUP($A195,[1]morph_04R500.dat!$A:$A,[1]morph_04R500.dat!R:R,"-",0)</f>
        <v>6.1630000000000003</v>
      </c>
      <c r="M195" s="2">
        <f>_xlfn.XLOOKUP($A195,[1]Table7_badETA!$A:$A,[1]Table7_badETA!T:T,"-",0)</f>
        <v>0.5191225004853427</v>
      </c>
      <c r="N195" s="2">
        <f>_xlfn.XLOOKUP($A195,[1]Table7_badETA!$A:$A,[1]Table7_badETA!U:U,"-",0)</f>
        <v>3.4440085310276605E-2</v>
      </c>
      <c r="O195" s="7">
        <f>_xlfn.XLOOKUP($A195,[1]Table7_badETA!$A:$A,[1]Table7_badETA!S:S,"-",0)</f>
        <v>319.15724999999998</v>
      </c>
    </row>
    <row r="196" spans="1:15" x14ac:dyDescent="0.2">
      <c r="A196" s="8" t="s">
        <v>207</v>
      </c>
      <c r="B196" s="8" cm="1">
        <f t="array" aca="1" ref="B196" ca="1">_xlfn.XLOOKUP(A196,[1]Table2_V5_w3C28!A:A,[1]Table2_V5_w3C28!B:B,nan(),0)</f>
        <v>0.54300000000000004</v>
      </c>
      <c r="C196" s="8" cm="1">
        <f t="array" aca="1" ref="C196" ca="1">_xlfn.XLOOKUP(A196,[1]Table2_V5_w3C28!A:A,[1]Table2_V5_w3C28!D:D,nan(),0)</f>
        <v>215.9495</v>
      </c>
      <c r="D196" s="8" cm="1">
        <f t="array" aca="1" ref="D196" ca="1">_xlfn.XLOOKUP(A196,[1]Table2_V5_w3C28!A:A,[1]Table2_V5_w3C28!E:E,nan(),0)</f>
        <v>24.078499999999998</v>
      </c>
      <c r="E196" s="1">
        <f>_xlfn.XLOOKUP($A196,[1]Table7_badETA!$A:$A,[1]Table7_badETA!C:C,"-",0)</f>
        <v>8.2540000000000002E-2</v>
      </c>
      <c r="F196" s="1">
        <f>_xlfn.XLOOKUP($A196,[1]Table7_badETA!$A:$A,[1]Table7_badETA!E:E,"-",0)</f>
        <v>6.2509999999999996E-3</v>
      </c>
      <c r="G196" s="5">
        <f>_xlfn.XLOOKUP($A196,[1]Table7_badETA!$A:$A,[1]Table7_badETA!F:F,"-",0)</f>
        <v>2.7400000000000001E-8</v>
      </c>
      <c r="H196" s="6">
        <f>_xlfn.XLOOKUP($A196,[1]Table7_badETA!$A:$A,[1]Table7_badETA!H:H,"-",0)</f>
        <v>2.2399999999999999E-8</v>
      </c>
      <c r="I196" s="2">
        <f>_xlfn.XLOOKUP($A196,[1]Table7_badETA!$A:$A,[1]Table7_badETA!M:M,"-",0)</f>
        <v>0.91459999999999997</v>
      </c>
      <c r="J196" s="2">
        <f>_xlfn.XLOOKUP($A196,[1]Table7_badETA!$A:$A,[1]Table7_badETA!O:O,"-",0)</f>
        <v>6.8349999999999999E-3</v>
      </c>
      <c r="K196" s="2">
        <f>_xlfn.XLOOKUP($A196,[1]morph_04R500.dat!$A:$A,[1]morph_04R500.dat!P:P,"-",0)</f>
        <v>24.66</v>
      </c>
      <c r="L196" s="2">
        <f>_xlfn.XLOOKUP($A196,[1]morph_04R500.dat!$A:$A,[1]morph_04R500.dat!R:R,"-",0)</f>
        <v>2.6819999999999999</v>
      </c>
      <c r="M196" s="2">
        <f>_xlfn.XLOOKUP($A196,[1]Table7_badETA!$A:$A,[1]Table7_badETA!T:T,"-",0)</f>
        <v>0.73946594126464216</v>
      </c>
      <c r="N196" s="2">
        <f>_xlfn.XLOOKUP($A196,[1]Table7_badETA!$A:$A,[1]Table7_badETA!U:U,"-",0)</f>
        <v>6.1219604966096016E-3</v>
      </c>
      <c r="O196" s="7">
        <f>_xlfn.XLOOKUP($A196,[1]Table7_badETA!$A:$A,[1]Table7_badETA!S:S,"-",0)</f>
        <v>412.30993999999998</v>
      </c>
    </row>
    <row r="197" spans="1:15" x14ac:dyDescent="0.2">
      <c r="A197" s="8" t="s">
        <v>208</v>
      </c>
      <c r="B197" s="8" cm="1">
        <f t="array" aca="1" ref="B197" ca="1">_xlfn.XLOOKUP(A197,[1]Table2_V5_w3C28!A:A,[1]Table2_V5_w3C28!B:B,nan(),0)</f>
        <v>0.17100000000000001</v>
      </c>
      <c r="C197" s="8" cm="1">
        <f t="array" aca="1" ref="C197" ca="1">_xlfn.XLOOKUP(A197,[1]Table2_V5_w3C28!A:A,[1]Table2_V5_w3C28!D:D,nan(),0)</f>
        <v>216.51320000000001</v>
      </c>
      <c r="D197" s="8" cm="1">
        <f t="array" aca="1" ref="D197" ca="1">_xlfn.XLOOKUP(A197,[1]Table2_V5_w3C28!A:A,[1]Table2_V5_w3C28!E:E,nan(),0)</f>
        <v>37.823799999999999</v>
      </c>
      <c r="E197" s="1">
        <f>_xlfn.XLOOKUP($A197,[1]Table7_badETA!$A:$A,[1]Table7_badETA!C:C,"-",0)</f>
        <v>5.2200000000000003E-2</v>
      </c>
      <c r="F197" s="1">
        <f>_xlfn.XLOOKUP($A197,[1]Table7_badETA!$A:$A,[1]Table7_badETA!E:E,"-",0)</f>
        <v>3.1459999999999999E-3</v>
      </c>
      <c r="G197" s="5">
        <f>_xlfn.XLOOKUP($A197,[1]Table7_badETA!$A:$A,[1]Table7_badETA!F:F,"-",0)</f>
        <v>4.9199999999999997E-8</v>
      </c>
      <c r="H197" s="6">
        <f>_xlfn.XLOOKUP($A197,[1]Table7_badETA!$A:$A,[1]Table7_badETA!H:H,"-",0)</f>
        <v>1.44E-8</v>
      </c>
      <c r="I197" s="2">
        <f>_xlfn.XLOOKUP($A197,[1]Table7_badETA!$A:$A,[1]Table7_badETA!M:M,"-",0)</f>
        <v>0.9194</v>
      </c>
      <c r="J197" s="2">
        <f>_xlfn.XLOOKUP($A197,[1]Table7_badETA!$A:$A,[1]Table7_badETA!O:O,"-",0)</f>
        <v>5.7239999999999999E-3</v>
      </c>
      <c r="K197" s="2">
        <f>_xlfn.XLOOKUP($A197,[1]morph_04R500.dat!$A:$A,[1]morph_04R500.dat!P:P,"-",0)</f>
        <v>-76.709999999999994</v>
      </c>
      <c r="L197" s="2">
        <f>_xlfn.XLOOKUP($A197,[1]morph_04R500.dat!$A:$A,[1]morph_04R500.dat!R:R,"-",0)</f>
        <v>1.919</v>
      </c>
      <c r="M197" s="2">
        <f>_xlfn.XLOOKUP($A197,[1]Table7_badETA!$A:$A,[1]Table7_badETA!T:T,"-",0)</f>
        <v>0.57527333894028598</v>
      </c>
      <c r="N197" s="2">
        <f>_xlfn.XLOOKUP($A197,[1]Table7_badETA!$A:$A,[1]Table7_badETA!U:U,"-",0)</f>
        <v>5.430352979916825E-3</v>
      </c>
      <c r="O197" s="7">
        <f>_xlfn.XLOOKUP($A197,[1]Table7_badETA!$A:$A,[1]Table7_badETA!S:S,"-",0)</f>
        <v>560.83299</v>
      </c>
    </row>
    <row r="198" spans="1:15" x14ac:dyDescent="0.2">
      <c r="A198" s="8" t="s">
        <v>209</v>
      </c>
      <c r="B198" s="8" cm="1">
        <f t="array" aca="1" ref="B198" ca="1">_xlfn.XLOOKUP(A198,[1]Table2_V5_w3C28!A:A,[1]Table2_V5_w3C28!B:B,nan(),0)</f>
        <v>0.498</v>
      </c>
      <c r="C198" s="8" cm="1">
        <f t="array" aca="1" ref="C198" ca="1">_xlfn.XLOOKUP(A198,[1]Table2_V5_w3C28!A:A,[1]Table2_V5_w3C28!D:D,nan(),0)</f>
        <v>216.81720000000001</v>
      </c>
      <c r="D198" s="8" cm="1">
        <f t="array" aca="1" ref="D198" ca="1">_xlfn.XLOOKUP(A198,[1]Table2_V5_w3C28!A:A,[1]Table2_V5_w3C28!E:E,nan(),0)</f>
        <v>44.1252</v>
      </c>
      <c r="E198" s="1">
        <f>_xlfn.XLOOKUP($A198,[1]Table7_badETA!$A:$A,[1]Table7_badETA!C:C,"-",0)</f>
        <v>6.8589999999999998E-2</v>
      </c>
      <c r="F198" s="1">
        <f>_xlfn.XLOOKUP($A198,[1]Table7_badETA!$A:$A,[1]Table7_badETA!E:E,"-",0)</f>
        <v>3.63E-3</v>
      </c>
      <c r="G198" s="5">
        <f>_xlfn.XLOOKUP($A198,[1]Table7_badETA!$A:$A,[1]Table7_badETA!F:F,"-",0)</f>
        <v>1.4999999999999999E-7</v>
      </c>
      <c r="H198" s="6">
        <f>_xlfn.XLOOKUP($A198,[1]Table7_badETA!$A:$A,[1]Table7_badETA!H:H,"-",0)</f>
        <v>1.04E-7</v>
      </c>
      <c r="I198" s="2">
        <f>_xlfn.XLOOKUP($A198,[1]Table7_badETA!$A:$A,[1]Table7_badETA!M:M,"-",0)</f>
        <v>0.90059999999999996</v>
      </c>
      <c r="J198" s="2">
        <f>_xlfn.XLOOKUP($A198,[1]Table7_badETA!$A:$A,[1]Table7_badETA!O:O,"-",0)</f>
        <v>1.098E-2</v>
      </c>
      <c r="K198" s="2">
        <f>_xlfn.XLOOKUP($A198,[1]morph_04R500.dat!$A:$A,[1]morph_04R500.dat!P:P,"-",0)</f>
        <v>9.3010000000000002</v>
      </c>
      <c r="L198" s="2">
        <f>_xlfn.XLOOKUP($A198,[1]morph_04R500.dat!$A:$A,[1]morph_04R500.dat!R:R,"-",0)</f>
        <v>3.673</v>
      </c>
      <c r="M198" s="2">
        <f>_xlfn.XLOOKUP($A198,[1]Table7_badETA!$A:$A,[1]Table7_badETA!T:T,"-",0)</f>
        <v>0.65577755092119971</v>
      </c>
      <c r="N198" s="2">
        <f>_xlfn.XLOOKUP($A198,[1]Table7_badETA!$A:$A,[1]Table7_badETA!U:U,"-",0)</f>
        <v>1.425799515753746E-2</v>
      </c>
      <c r="O198" s="7">
        <f>_xlfn.XLOOKUP($A198,[1]Table7_badETA!$A:$A,[1]Table7_badETA!S:S,"-",0)</f>
        <v>510.36099999999999</v>
      </c>
    </row>
    <row r="199" spans="1:15" x14ac:dyDescent="0.2">
      <c r="A199" s="8" t="s">
        <v>210</v>
      </c>
      <c r="B199" s="8" cm="1">
        <f t="array" aca="1" ref="B199" ca="1">_xlfn.XLOOKUP(A199,[1]Table2_V5_w3C28!A:A,[1]Table2_V5_w3C28!B:B,nan(),0)</f>
        <v>0.318</v>
      </c>
      <c r="C199" s="8" cm="1">
        <f t="array" aca="1" ref="C199" ca="1">_xlfn.XLOOKUP(A199,[1]Table2_V5_w3C28!A:A,[1]Table2_V5_w3C28!D:D,nan(),0)</f>
        <v>216.9144</v>
      </c>
      <c r="D199" s="8" cm="1">
        <f t="array" aca="1" ref="D199" ca="1">_xlfn.XLOOKUP(A199,[1]Table2_V5_w3C28!A:A,[1]Table2_V5_w3C28!E:E,nan(),0)</f>
        <v>-25.3508</v>
      </c>
      <c r="E199" s="1">
        <f>_xlfn.XLOOKUP($A199,[1]Table7_badETA!$A:$A,[1]Table7_badETA!C:C,"-",0)</f>
        <v>0.10299999999999999</v>
      </c>
      <c r="F199" s="1">
        <f>_xlfn.XLOOKUP($A199,[1]Table7_badETA!$A:$A,[1]Table7_badETA!E:E,"-",0)</f>
        <v>7.149E-3</v>
      </c>
      <c r="G199" s="5">
        <f>_xlfn.XLOOKUP($A199,[1]Table7_badETA!$A:$A,[1]Table7_badETA!F:F,"-",0)</f>
        <v>3.2100000000000003E-8</v>
      </c>
      <c r="H199" s="6">
        <f>_xlfn.XLOOKUP($A199,[1]Table7_badETA!$A:$A,[1]Table7_badETA!H:H,"-",0)</f>
        <v>7.3000000000000005E-8</v>
      </c>
      <c r="I199" s="2">
        <f>_xlfn.XLOOKUP($A199,[1]Table7_badETA!$A:$A,[1]Table7_badETA!M:M,"-",0)</f>
        <v>0.98060000000000003</v>
      </c>
      <c r="J199" s="2">
        <f>_xlfn.XLOOKUP($A199,[1]Table7_badETA!$A:$A,[1]Table7_badETA!O:O,"-",0)</f>
        <v>1.3939999999999999E-2</v>
      </c>
      <c r="K199" s="2">
        <f>_xlfn.XLOOKUP($A199,[1]morph_04R500.dat!$A:$A,[1]morph_04R500.dat!P:P,"-",0)</f>
        <v>-55.97</v>
      </c>
      <c r="L199" s="2">
        <f>_xlfn.XLOOKUP($A199,[1]morph_04R500.dat!$A:$A,[1]morph_04R500.dat!R:R,"-",0)</f>
        <v>25.18</v>
      </c>
      <c r="M199" s="2">
        <f>_xlfn.XLOOKUP($A199,[1]Table7_badETA!$A:$A,[1]Table7_badETA!T:T,"-",0)</f>
        <v>0.69239976062238184</v>
      </c>
      <c r="N199" s="2">
        <f>_xlfn.XLOOKUP($A199,[1]Table7_badETA!$A:$A,[1]Table7_badETA!U:U,"-",0)</f>
        <v>1.6201185451438893E-2</v>
      </c>
      <c r="O199" s="7">
        <f>_xlfn.XLOOKUP($A199,[1]Table7_badETA!$A:$A,[1]Table7_badETA!S:S,"-",0)</f>
        <v>371.59330999999997</v>
      </c>
    </row>
    <row r="200" spans="1:15" x14ac:dyDescent="0.2">
      <c r="A200" s="8" t="s">
        <v>211</v>
      </c>
      <c r="B200" s="8" cm="1">
        <f t="array" aca="1" ref="B200" ca="1">_xlfn.XLOOKUP(A200,[1]Table2_V5_w3C28!A:A,[1]Table2_V5_w3C28!B:B,nan(),0)</f>
        <v>0.13100000000000001</v>
      </c>
      <c r="C200" s="8" cm="1">
        <f t="array" aca="1" ref="C200" ca="1">_xlfn.XLOOKUP(A200,[1]Table2_V5_w3C28!A:A,[1]Table2_V5_w3C28!D:D,nan(),0)</f>
        <v>218.15819999999999</v>
      </c>
      <c r="D200" s="8" cm="1">
        <f t="array" aca="1" ref="D200" ca="1">_xlfn.XLOOKUP(A200,[1]Table2_V5_w3C28!A:A,[1]Table2_V5_w3C28!E:E,nan(),0)</f>
        <v>31.647099999999998</v>
      </c>
      <c r="E200" s="1">
        <f>_xlfn.XLOOKUP($A200,[1]Table7_badETA!$A:$A,[1]Table7_badETA!C:C,"-",0)</f>
        <v>1.567E-2</v>
      </c>
      <c r="F200" s="1">
        <f>_xlfn.XLOOKUP($A200,[1]Table7_badETA!$A:$A,[1]Table7_badETA!E:E,"-",0)</f>
        <v>2.689E-3</v>
      </c>
      <c r="G200" s="5">
        <f>_xlfn.XLOOKUP($A200,[1]Table7_badETA!$A:$A,[1]Table7_badETA!F:F,"-",0)</f>
        <v>4.1999999999999999E-8</v>
      </c>
      <c r="H200" s="6">
        <f>_xlfn.XLOOKUP($A200,[1]Table7_badETA!$A:$A,[1]Table7_badETA!H:H,"-",0)</f>
        <v>2.59E-8</v>
      </c>
      <c r="I200" s="2">
        <f>_xlfn.XLOOKUP($A200,[1]Table7_badETA!$A:$A,[1]Table7_badETA!M:M,"-",0)</f>
        <v>0.93469999999999998</v>
      </c>
      <c r="J200" s="2">
        <f>_xlfn.XLOOKUP($A200,[1]Table7_badETA!$A:$A,[1]Table7_badETA!O:O,"-",0)</f>
        <v>3.7170000000000002E-2</v>
      </c>
      <c r="K200" s="2">
        <f>_xlfn.XLOOKUP($A200,[1]morph_04R500.dat!$A:$A,[1]morph_04R500.dat!P:P,"-",0)</f>
        <v>1.784</v>
      </c>
      <c r="L200" s="2">
        <f>_xlfn.XLOOKUP($A200,[1]morph_04R500.dat!$A:$A,[1]morph_04R500.dat!R:R,"-",0)</f>
        <v>2.5419999999999998</v>
      </c>
      <c r="M200" s="2">
        <f>_xlfn.XLOOKUP($A200,[1]Table7_badETA!$A:$A,[1]Table7_badETA!T:T,"-",0)</f>
        <v>0.59196861297022851</v>
      </c>
      <c r="N200" s="2">
        <f>_xlfn.XLOOKUP($A200,[1]Table7_badETA!$A:$A,[1]Table7_badETA!U:U,"-",0)</f>
        <v>1.2746138072641133E-2</v>
      </c>
      <c r="O200" s="7">
        <f>_xlfn.XLOOKUP($A200,[1]Table7_badETA!$A:$A,[1]Table7_badETA!S:S,"-",0)</f>
        <v>404.92680999999999</v>
      </c>
    </row>
    <row r="201" spans="1:15" x14ac:dyDescent="0.2">
      <c r="A201" s="8" t="s">
        <v>212</v>
      </c>
      <c r="B201" s="8" cm="1">
        <f t="array" aca="1" ref="B201" ca="1">_xlfn.XLOOKUP(A201,[1]Table2_V5_w3C28!A:A,[1]Table2_V5_w3C28!B:B,nan(),0)</f>
        <v>0.224</v>
      </c>
      <c r="C201" s="8" cm="1">
        <f t="array" aca="1" ref="C201" ca="1">_xlfn.XLOOKUP(A201,[1]Table2_V5_w3C28!A:A,[1]Table2_V5_w3C28!D:D,nan(),0)</f>
        <v>219.5915</v>
      </c>
      <c r="D201" s="8" cm="1">
        <f t="array" aca="1" ref="D201" ca="1">_xlfn.XLOOKUP(A201,[1]Table2_V5_w3C28!A:A,[1]Table2_V5_w3C28!E:E,nan(),0)</f>
        <v>3.6701999999999999</v>
      </c>
      <c r="E201" s="1">
        <f>_xlfn.XLOOKUP($A201,[1]Table7_badETA!$A:$A,[1]Table7_badETA!C:C,"-",0)</f>
        <v>1.01E-2</v>
      </c>
      <c r="F201" s="1">
        <f>_xlfn.XLOOKUP($A201,[1]Table7_badETA!$A:$A,[1]Table7_badETA!E:E,"-",0)</f>
        <v>4.5329999999999997E-3</v>
      </c>
      <c r="G201" s="5">
        <f>_xlfn.XLOOKUP($A201,[1]Table7_badETA!$A:$A,[1]Table7_badETA!F:F,"-",0)</f>
        <v>9.9800000000000002E-7</v>
      </c>
      <c r="H201" s="6">
        <f>_xlfn.XLOOKUP($A201,[1]Table7_badETA!$A:$A,[1]Table7_badETA!H:H,"-",0)</f>
        <v>1.8799999999999999E-7</v>
      </c>
      <c r="I201" s="2">
        <f>_xlfn.XLOOKUP($A201,[1]Table7_badETA!$A:$A,[1]Table7_badETA!M:M,"-",0)</f>
        <v>0.9093</v>
      </c>
      <c r="J201" s="2">
        <f>_xlfn.XLOOKUP($A201,[1]Table7_badETA!$A:$A,[1]Table7_badETA!O:O,"-",0)</f>
        <v>8.7550000000000006E-3</v>
      </c>
      <c r="K201" s="2">
        <f>_xlfn.XLOOKUP($A201,[1]morph_04R500.dat!$A:$A,[1]morph_04R500.dat!P:P,"-",0)</f>
        <v>-18.86</v>
      </c>
      <c r="L201" s="2">
        <f>_xlfn.XLOOKUP($A201,[1]morph_04R500.dat!$A:$A,[1]morph_04R500.dat!R:R,"-",0)</f>
        <v>2.9889999999999999</v>
      </c>
      <c r="M201" s="2">
        <f>_xlfn.XLOOKUP($A201,[1]Table7_badETA!$A:$A,[1]Table7_badETA!T:T,"-",0)</f>
        <v>0.40745305589791925</v>
      </c>
      <c r="N201" s="2">
        <f>_xlfn.XLOOKUP($A201,[1]Table7_badETA!$A:$A,[1]Table7_badETA!U:U,"-",0)</f>
        <v>1.413018278781049E-2</v>
      </c>
      <c r="O201" s="7">
        <f>_xlfn.XLOOKUP($A201,[1]Table7_badETA!$A:$A,[1]Table7_badETA!S:S,"-",0)</f>
        <v>416.49414000000002</v>
      </c>
    </row>
    <row r="202" spans="1:15" x14ac:dyDescent="0.2">
      <c r="A202" s="8" t="s">
        <v>213</v>
      </c>
      <c r="B202" s="8" cm="1">
        <f t="array" aca="1" ref="B202" ca="1">_xlfn.XLOOKUP(A202,[1]Table2_V5_w3C28!A:A,[1]Table2_V5_w3C28!B:B,nan(),0)</f>
        <v>0.25800000000000001</v>
      </c>
      <c r="C202" s="8" cm="1">
        <f t="array" aca="1" ref="C202" ca="1">_xlfn.XLOOKUP(A202,[1]Table2_V5_w3C28!A:A,[1]Table2_V5_w3C28!D:D,nan(),0)</f>
        <v>224.31290000000001</v>
      </c>
      <c r="D202" s="8" cm="1">
        <f t="array" aca="1" ref="D202" ca="1">_xlfn.XLOOKUP(A202,[1]Table2_V5_w3C28!A:A,[1]Table2_V5_w3C28!E:E,nan(),0)</f>
        <v>22.342500000000001</v>
      </c>
      <c r="E202" s="1">
        <f>_xlfn.XLOOKUP($A202,[1]Table7_badETA!$A:$A,[1]Table7_badETA!C:C,"-",0)</f>
        <v>6.6189999999999999E-2</v>
      </c>
      <c r="F202" s="1">
        <f>_xlfn.XLOOKUP($A202,[1]Table7_badETA!$A:$A,[1]Table7_badETA!E:E,"-",0)</f>
        <v>4.1060000000000003E-3</v>
      </c>
      <c r="G202" s="5">
        <f>_xlfn.XLOOKUP($A202,[1]Table7_badETA!$A:$A,[1]Table7_badETA!F:F,"-",0)</f>
        <v>3.84E-8</v>
      </c>
      <c r="H202" s="6">
        <f>_xlfn.XLOOKUP($A202,[1]Table7_badETA!$A:$A,[1]Table7_badETA!H:H,"-",0)</f>
        <v>1.11E-8</v>
      </c>
      <c r="I202" s="2">
        <f>_xlfn.XLOOKUP($A202,[1]Table7_badETA!$A:$A,[1]Table7_badETA!M:M,"-",0)</f>
        <v>0.88919999999999999</v>
      </c>
      <c r="J202" s="2">
        <f>_xlfn.XLOOKUP($A202,[1]Table7_badETA!$A:$A,[1]Table7_badETA!O:O,"-",0)</f>
        <v>4.8729999999999997E-3</v>
      </c>
      <c r="K202" s="2">
        <f>_xlfn.XLOOKUP($A202,[1]morph_04R500.dat!$A:$A,[1]morph_04R500.dat!P:P,"-",0)</f>
        <v>33.83</v>
      </c>
      <c r="L202" s="2">
        <f>_xlfn.XLOOKUP($A202,[1]morph_04R500.dat!$A:$A,[1]morph_04R500.dat!R:R,"-",0)</f>
        <v>1.377</v>
      </c>
      <c r="M202" s="2">
        <f>_xlfn.XLOOKUP($A202,[1]Table7_badETA!$A:$A,[1]Table7_badETA!T:T,"-",0)</f>
        <v>0.77359790547058016</v>
      </c>
      <c r="N202" s="2">
        <f>_xlfn.XLOOKUP($A202,[1]Table7_badETA!$A:$A,[1]Table7_badETA!U:U,"-",0)</f>
        <v>4.427320323280466E-3</v>
      </c>
      <c r="O202" s="7">
        <f>_xlfn.XLOOKUP($A202,[1]Table7_badETA!$A:$A,[1]Table7_badETA!S:S,"-",0)</f>
        <v>408.33688000000001</v>
      </c>
    </row>
    <row r="203" spans="1:15" x14ac:dyDescent="0.2">
      <c r="A203" s="8" t="s">
        <v>214</v>
      </c>
      <c r="B203" s="8" cm="1">
        <f t="array" aca="1" ref="B203" ca="1">_xlfn.XLOOKUP(A203,[1]Table2_V5_w3C28!A:A,[1]Table2_V5_w3C28!B:B,nan(),0)</f>
        <v>0.23599999999999999</v>
      </c>
      <c r="C203" s="8" cm="1">
        <f t="array" aca="1" ref="C203" ca="1">_xlfn.XLOOKUP(A203,[1]Table2_V5_w3C28!A:A,[1]Table2_V5_w3C28!D:D,nan(),0)</f>
        <v>224.8706</v>
      </c>
      <c r="D203" s="8" cm="1">
        <f t="array" aca="1" ref="D203" ca="1">_xlfn.XLOOKUP(A203,[1]Table2_V5_w3C28!A:A,[1]Table2_V5_w3C28!E:E,nan(),0)</f>
        <v>-18.179300000000001</v>
      </c>
      <c r="E203" s="1">
        <f>_xlfn.XLOOKUP($A203,[1]Table7_badETA!$A:$A,[1]Table7_badETA!C:C,"-",0)</f>
        <v>2.8930000000000001E-2</v>
      </c>
      <c r="F203" s="1">
        <f>_xlfn.XLOOKUP($A203,[1]Table7_badETA!$A:$A,[1]Table7_badETA!E:E,"-",0)</f>
        <v>9.5719999999999996E-4</v>
      </c>
      <c r="G203" s="5">
        <f>_xlfn.XLOOKUP($A203,[1]Table7_badETA!$A:$A,[1]Table7_badETA!F:F,"-",0)</f>
        <v>2.14E-8</v>
      </c>
      <c r="H203" s="6">
        <f>_xlfn.XLOOKUP($A203,[1]Table7_badETA!$A:$A,[1]Table7_badETA!H:H,"-",0)</f>
        <v>1.3799999999999999E-8</v>
      </c>
      <c r="I203" s="2">
        <f>_xlfn.XLOOKUP($A203,[1]Table7_badETA!$A:$A,[1]Table7_badETA!M:M,"-",0)</f>
        <v>0.95069999999999999</v>
      </c>
      <c r="J203" s="2">
        <f>_xlfn.XLOOKUP($A203,[1]Table7_badETA!$A:$A,[1]Table7_badETA!O:O,"-",0)</f>
        <v>6.0359999999999997E-3</v>
      </c>
      <c r="K203" s="2">
        <f>_xlfn.XLOOKUP($A203,[1]morph_04R500.dat!$A:$A,[1]morph_04R500.dat!P:P,"-",0)</f>
        <v>68.02</v>
      </c>
      <c r="L203" s="2">
        <f>_xlfn.XLOOKUP($A203,[1]morph_04R500.dat!$A:$A,[1]morph_04R500.dat!R:R,"-",0)</f>
        <v>3.1829999999999998</v>
      </c>
      <c r="M203" s="2">
        <f>_xlfn.XLOOKUP($A203,[1]Table7_badETA!$A:$A,[1]Table7_badETA!T:T,"-",0)</f>
        <v>0.65354135710747885</v>
      </c>
      <c r="N203" s="2">
        <f>_xlfn.XLOOKUP($A203,[1]Table7_badETA!$A:$A,[1]Table7_badETA!U:U,"-",0)</f>
        <v>5.0370882344901282E-3</v>
      </c>
      <c r="O203" s="7">
        <f>_xlfn.XLOOKUP($A203,[1]Table7_badETA!$A:$A,[1]Table7_badETA!S:S,"-",0)</f>
        <v>496.95506999999998</v>
      </c>
    </row>
    <row r="204" spans="1:15" x14ac:dyDescent="0.2">
      <c r="A204" s="8" t="s">
        <v>215</v>
      </c>
      <c r="B204" s="8" cm="1">
        <f t="array" aca="1" ref="B204" ca="1">_xlfn.XLOOKUP(A204,[1]Table2_V5_w3C28!A:A,[1]Table2_V5_w3C28!B:B,nan(),0)</f>
        <v>0.29199999999999998</v>
      </c>
      <c r="C204" s="8" cm="1">
        <f t="array" aca="1" ref="C204" ca="1">_xlfn.XLOOKUP(A204,[1]Table2_V5_w3C28!A:A,[1]Table2_V5_w3C28!D:D,nan(),0)</f>
        <v>225.3442</v>
      </c>
      <c r="D204" s="8" cm="1">
        <f t="array" aca="1" ref="D204" ca="1">_xlfn.XLOOKUP(A204,[1]Table2_V5_w3C28!A:A,[1]Table2_V5_w3C28!E:E,nan(),0)</f>
        <v>42.346200000000003</v>
      </c>
      <c r="E204" s="1">
        <f>_xlfn.XLOOKUP($A204,[1]Table7_badETA!$A:$A,[1]Table7_badETA!C:C,"-",0)</f>
        <v>6.515E-2</v>
      </c>
      <c r="F204" s="1">
        <f>_xlfn.XLOOKUP($A204,[1]Table7_badETA!$A:$A,[1]Table7_badETA!E:E,"-",0)</f>
        <v>6.5030000000000001E-3</v>
      </c>
      <c r="G204" s="5">
        <f>_xlfn.XLOOKUP($A204,[1]Table7_badETA!$A:$A,[1]Table7_badETA!F:F,"-",0)</f>
        <v>3.05E-6</v>
      </c>
      <c r="H204" s="6">
        <f>_xlfn.XLOOKUP($A204,[1]Table7_badETA!$A:$A,[1]Table7_badETA!H:H,"-",0)</f>
        <v>6.3900000000000004E-7</v>
      </c>
      <c r="I204" s="2">
        <f>_xlfn.XLOOKUP($A204,[1]Table7_badETA!$A:$A,[1]Table7_badETA!M:M,"-",0)</f>
        <v>0.90680000000000005</v>
      </c>
      <c r="J204" s="2">
        <f>_xlfn.XLOOKUP($A204,[1]Table7_badETA!$A:$A,[1]Table7_badETA!O:O,"-",0)</f>
        <v>3.8870000000000002E-2</v>
      </c>
      <c r="K204" s="2">
        <f>_xlfn.XLOOKUP($A204,[1]morph_04R500.dat!$A:$A,[1]morph_04R500.dat!P:P,"-",0)</f>
        <v>-80.56</v>
      </c>
      <c r="L204" s="2">
        <f>_xlfn.XLOOKUP($A204,[1]morph_04R500.dat!$A:$A,[1]morph_04R500.dat!R:R,"-",0)</f>
        <v>6.2430000000000003</v>
      </c>
      <c r="M204" s="2" t="str">
        <f>_xlfn.XLOOKUP($A204,[1]Table7_badETA!$A:$A,[1]Table7_badETA!T:T,"-",0)</f>
        <v>-</v>
      </c>
      <c r="N204" s="2" t="str">
        <f>_xlfn.XLOOKUP($A204,[1]Table7_badETA!$A:$A,[1]Table7_badETA!U:U,"-",0)</f>
        <v>-</v>
      </c>
      <c r="O204" s="7">
        <f>_xlfn.XLOOKUP($A204,[1]Table7_badETA!$A:$A,[1]Table7_badETA!S:S,"-",0)</f>
        <v>437.11899</v>
      </c>
    </row>
    <row r="205" spans="1:15" x14ac:dyDescent="0.2">
      <c r="A205" s="8" t="s">
        <v>216</v>
      </c>
      <c r="B205" s="8" cm="1">
        <f t="array" aca="1" ref="B205" ca="1">_xlfn.XLOOKUP(A205,[1]Table2_V5_w3C28!A:A,[1]Table2_V5_w3C28!B:B,nan(),0)</f>
        <v>0.215</v>
      </c>
      <c r="C205" s="8" cm="1">
        <f t="array" aca="1" ref="C205" ca="1">_xlfn.XLOOKUP(A205,[1]Table2_V5_w3C28!A:A,[1]Table2_V5_w3C28!D:D,nan(),0)</f>
        <v>226.03110000000001</v>
      </c>
      <c r="D205" s="8" cm="1">
        <f t="array" aca="1" ref="D205" ca="1">_xlfn.XLOOKUP(A205,[1]Table2_V5_w3C28!A:A,[1]Table2_V5_w3C28!E:E,nan(),0)</f>
        <v>-2.8045</v>
      </c>
      <c r="E205" s="1">
        <f>_xlfn.XLOOKUP($A205,[1]Table7_badETA!$A:$A,[1]Table7_badETA!C:C,"-",0)</f>
        <v>3.0079999999999999E-2</v>
      </c>
      <c r="F205" s="1">
        <f>_xlfn.XLOOKUP($A205,[1]Table7_badETA!$A:$A,[1]Table7_badETA!E:E,"-",0)</f>
        <v>1.586E-3</v>
      </c>
      <c r="G205" s="5">
        <f>_xlfn.XLOOKUP($A205,[1]Table7_badETA!$A:$A,[1]Table7_badETA!F:F,"-",0)</f>
        <v>1.5600000000000001E-8</v>
      </c>
      <c r="H205" s="6">
        <f>_xlfn.XLOOKUP($A205,[1]Table7_badETA!$A:$A,[1]Table7_badETA!H:H,"-",0)</f>
        <v>3.7300000000000001E-9</v>
      </c>
      <c r="I205" s="2">
        <f>_xlfn.XLOOKUP($A205,[1]Table7_badETA!$A:$A,[1]Table7_badETA!M:M,"-",0)</f>
        <v>0.86850000000000005</v>
      </c>
      <c r="J205" s="2">
        <f>_xlfn.XLOOKUP($A205,[1]Table7_badETA!$A:$A,[1]Table7_badETA!O:O,"-",0)</f>
        <v>3.4499999999999999E-3</v>
      </c>
      <c r="K205" s="2">
        <f>_xlfn.XLOOKUP($A205,[1]morph_04R500.dat!$A:$A,[1]morph_04R500.dat!P:P,"-",0)</f>
        <v>60.97</v>
      </c>
      <c r="L205" s="2">
        <f>_xlfn.XLOOKUP($A205,[1]morph_04R500.dat!$A:$A,[1]morph_04R500.dat!R:R,"-",0)</f>
        <v>0.79010000000000002</v>
      </c>
      <c r="M205" s="2">
        <f>_xlfn.XLOOKUP($A205,[1]Table7_badETA!$A:$A,[1]Table7_badETA!T:T,"-",0)</f>
        <v>0.82765199337878415</v>
      </c>
      <c r="N205" s="2">
        <f>_xlfn.XLOOKUP($A205,[1]Table7_badETA!$A:$A,[1]Table7_badETA!U:U,"-",0)</f>
        <v>2.3578564844683601E-3</v>
      </c>
      <c r="O205" s="7">
        <f>_xlfn.XLOOKUP($A205,[1]Table7_badETA!$A:$A,[1]Table7_badETA!S:S,"-",0)</f>
        <v>558.59897000000001</v>
      </c>
    </row>
    <row r="206" spans="1:15" x14ac:dyDescent="0.2">
      <c r="A206" s="8" t="s">
        <v>217</v>
      </c>
      <c r="B206" s="8" cm="1">
        <f t="array" aca="1" ref="B206" ca="1">_xlfn.XLOOKUP(A206,[1]Table2_V5_w3C28!A:A,[1]Table2_V5_w3C28!B:B,nan(),0)</f>
        <v>0.113</v>
      </c>
      <c r="C206" s="8" cm="1">
        <f t="array" aca="1" ref="C206" ca="1">_xlfn.XLOOKUP(A206,[1]Table2_V5_w3C28!A:A,[1]Table2_V5_w3C28!D:D,nan(),0)</f>
        <v>227.55600000000001</v>
      </c>
      <c r="D206" s="8" cm="1">
        <f t="array" aca="1" ref="D206" ca="1">_xlfn.XLOOKUP(A206,[1]Table2_V5_w3C28!A:A,[1]Table2_V5_w3C28!E:E,nan(),0)</f>
        <v>33.5124</v>
      </c>
      <c r="E206" s="1">
        <f>_xlfn.XLOOKUP($A206,[1]Table7_badETA!$A:$A,[1]Table7_badETA!C:C,"-",0)</f>
        <v>2.0789999999999999E-2</v>
      </c>
      <c r="F206" s="1">
        <f>_xlfn.XLOOKUP($A206,[1]Table7_badETA!$A:$A,[1]Table7_badETA!E:E,"-",0)</f>
        <v>5.0359999999999997E-3</v>
      </c>
      <c r="G206" s="5">
        <f>_xlfn.XLOOKUP($A206,[1]Table7_badETA!$A:$A,[1]Table7_badETA!F:F,"-",0)</f>
        <v>1.46E-8</v>
      </c>
      <c r="H206" s="6">
        <f>_xlfn.XLOOKUP($A206,[1]Table7_badETA!$A:$A,[1]Table7_badETA!H:H,"-",0)</f>
        <v>3.0399999999999998E-9</v>
      </c>
      <c r="I206" s="2">
        <f>_xlfn.XLOOKUP($A206,[1]Table7_badETA!$A:$A,[1]Table7_badETA!M:M,"-",0)</f>
        <v>0.94140000000000001</v>
      </c>
      <c r="J206" s="2">
        <f>_xlfn.XLOOKUP($A206,[1]Table7_badETA!$A:$A,[1]Table7_badETA!O:O,"-",0)</f>
        <v>1.5020000000000001E-3</v>
      </c>
      <c r="K206" s="2">
        <f>_xlfn.XLOOKUP($A206,[1]morph_04R500.dat!$A:$A,[1]morph_04R500.dat!P:P,"-",0)</f>
        <v>37.97</v>
      </c>
      <c r="L206" s="2">
        <f>_xlfn.XLOOKUP($A206,[1]morph_04R500.dat!$A:$A,[1]morph_04R500.dat!R:R,"-",0)</f>
        <v>0.77129999999999999</v>
      </c>
      <c r="M206" s="2">
        <f>_xlfn.XLOOKUP($A206,[1]Table7_badETA!$A:$A,[1]Table7_badETA!T:T,"-",0)</f>
        <v>0.39558914250462679</v>
      </c>
      <c r="N206" s="2">
        <f>_xlfn.XLOOKUP($A206,[1]Table7_badETA!$A:$A,[1]Table7_badETA!U:U,"-",0)</f>
        <v>3.7531528548768352E-3</v>
      </c>
      <c r="O206" s="7">
        <f>_xlfn.XLOOKUP($A206,[1]Table7_badETA!$A:$A,[1]Table7_badETA!S:S,"-",0)</f>
        <v>532.67026999999996</v>
      </c>
    </row>
    <row r="207" spans="1:15" x14ac:dyDescent="0.2">
      <c r="A207" s="8" t="s">
        <v>218</v>
      </c>
      <c r="B207" s="8" cm="1">
        <f t="array" aca="1" ref="B207" ca="1">_xlfn.XLOOKUP(A207,[1]Table2_V5_w3C28!A:A,[1]Table2_V5_w3C28!B:B,nan(),0)</f>
        <v>0.223</v>
      </c>
      <c r="C207" s="8" cm="1">
        <f t="array" aca="1" ref="C207" ca="1">_xlfn.XLOOKUP(A207,[1]Table2_V5_w3C28!A:A,[1]Table2_V5_w3C28!D:D,nan(),0)</f>
        <v>228.7621</v>
      </c>
      <c r="D207" s="8" cm="1">
        <f t="array" aca="1" ref="D207" ca="1">_xlfn.XLOOKUP(A207,[1]Table2_V5_w3C28!A:A,[1]Table2_V5_w3C28!E:E,nan(),0)</f>
        <v>-15.3895</v>
      </c>
      <c r="E207" s="1">
        <f>_xlfn.XLOOKUP($A207,[1]Table7_badETA!$A:$A,[1]Table7_badETA!C:C,"-",0)</f>
        <v>0.1479</v>
      </c>
      <c r="F207" s="1">
        <f>_xlfn.XLOOKUP($A207,[1]Table7_badETA!$A:$A,[1]Table7_badETA!E:E,"-",0)</f>
        <v>1.128E-2</v>
      </c>
      <c r="G207" s="5">
        <f>_xlfn.XLOOKUP($A207,[1]Table7_badETA!$A:$A,[1]Table7_badETA!F:F,"-",0)</f>
        <v>2.28E-7</v>
      </c>
      <c r="H207" s="6">
        <f>_xlfn.XLOOKUP($A207,[1]Table7_badETA!$A:$A,[1]Table7_badETA!H:H,"-",0)</f>
        <v>6.8999999999999996E-8</v>
      </c>
      <c r="I207" s="2">
        <f>_xlfn.XLOOKUP($A207,[1]Table7_badETA!$A:$A,[1]Table7_badETA!M:M,"-",0)</f>
        <v>0.84440000000000004</v>
      </c>
      <c r="J207" s="2">
        <f>_xlfn.XLOOKUP($A207,[1]Table7_badETA!$A:$A,[1]Table7_badETA!O:O,"-",0)</f>
        <v>4.3090000000000003E-3</v>
      </c>
      <c r="K207" s="2">
        <f>_xlfn.XLOOKUP($A207,[1]morph_04R500.dat!$A:$A,[1]morph_04R500.dat!P:P,"-",0)</f>
        <v>24.82</v>
      </c>
      <c r="L207" s="2">
        <f>_xlfn.XLOOKUP($A207,[1]morph_04R500.dat!$A:$A,[1]morph_04R500.dat!R:R,"-",0)</f>
        <v>0.93940000000000001</v>
      </c>
      <c r="M207" s="2">
        <f>_xlfn.XLOOKUP($A207,[1]Table7_badETA!$A:$A,[1]Table7_badETA!T:T,"-",0)</f>
        <v>0.24039117580168298</v>
      </c>
      <c r="N207" s="2">
        <f>_xlfn.XLOOKUP($A207,[1]Table7_badETA!$A:$A,[1]Table7_badETA!U:U,"-",0)</f>
        <v>7.1089718501650516E-3</v>
      </c>
      <c r="O207" s="7">
        <f>_xlfn.XLOOKUP($A207,[1]Table7_badETA!$A:$A,[1]Table7_badETA!S:S,"-",0)</f>
        <v>553.04614000000004</v>
      </c>
    </row>
    <row r="208" spans="1:15" x14ac:dyDescent="0.2">
      <c r="A208" s="8" t="s">
        <v>219</v>
      </c>
      <c r="B208" s="8" cm="1">
        <f t="array" aca="1" ref="B208" ca="1">_xlfn.XLOOKUP(A208,[1]Table2_V5_w3C28!A:A,[1]Table2_V5_w3C28!B:B,nan(),0)</f>
        <v>4.4999999999999998E-2</v>
      </c>
      <c r="C208" s="8" cm="1">
        <f t="array" aca="1" ref="C208" ca="1">_xlfn.XLOOKUP(A208,[1]Table2_V5_w3C28!A:A,[1]Table2_V5_w3C28!D:D,nan(),0)</f>
        <v>230.46600000000001</v>
      </c>
      <c r="D208" s="8" cm="1">
        <f t="array" aca="1" ref="D208" ca="1">_xlfn.XLOOKUP(A208,[1]Table2_V5_w3C28!A:A,[1]Table2_V5_w3C28!E:E,nan(),0)</f>
        <v>7.7081</v>
      </c>
      <c r="E208" s="1">
        <f>_xlfn.XLOOKUP($A208,[1]Table7_badETA!$A:$A,[1]Table7_badETA!C:C,"-",0)</f>
        <v>8.3540000000000003E-3</v>
      </c>
      <c r="F208" s="1">
        <f>_xlfn.XLOOKUP($A208,[1]Table7_badETA!$A:$A,[1]Table7_badETA!E:E,"-",0)</f>
        <v>2.5470000000000001E-4</v>
      </c>
      <c r="G208" s="5">
        <f>_xlfn.XLOOKUP($A208,[1]Table7_badETA!$A:$A,[1]Table7_badETA!F:F,"-",0)</f>
        <v>1.3799999999999999E-7</v>
      </c>
      <c r="H208" s="6">
        <f>_xlfn.XLOOKUP($A208,[1]Table7_badETA!$A:$A,[1]Table7_badETA!H:H,"-",0)</f>
        <v>7.0699999999999998E-9</v>
      </c>
      <c r="I208" s="2">
        <f>_xlfn.XLOOKUP($A208,[1]Table7_badETA!$A:$A,[1]Table7_badETA!M:M,"-",0)</f>
        <v>0.86970000000000003</v>
      </c>
      <c r="J208" s="2">
        <f>_xlfn.XLOOKUP($A208,[1]Table7_badETA!$A:$A,[1]Table7_badETA!O:O,"-",0)</f>
        <v>2.215E-3</v>
      </c>
      <c r="K208" s="2">
        <f>_xlfn.XLOOKUP($A208,[1]morph_04R500.dat!$A:$A,[1]morph_04R500.dat!P:P,"-",0)</f>
        <v>-72.150000000000006</v>
      </c>
      <c r="L208" s="2">
        <f>_xlfn.XLOOKUP($A208,[1]morph_04R500.dat!$A:$A,[1]morph_04R500.dat!R:R,"-",0)</f>
        <v>0.48659999999999998</v>
      </c>
      <c r="M208" s="2">
        <f>_xlfn.XLOOKUP($A208,[1]Table7_badETA!$A:$A,[1]Table7_badETA!T:T,"-",0)</f>
        <v>0.70338527673293927</v>
      </c>
      <c r="N208" s="2">
        <f>_xlfn.XLOOKUP($A208,[1]Table7_badETA!$A:$A,[1]Table7_badETA!U:U,"-",0)</f>
        <v>2.903653292710921E-3</v>
      </c>
      <c r="O208" s="7">
        <f>_xlfn.XLOOKUP($A208,[1]Table7_badETA!$A:$A,[1]Table7_badETA!S:S,"-",0)</f>
        <v>368.73700000000002</v>
      </c>
    </row>
    <row r="209" spans="1:15" x14ac:dyDescent="0.2">
      <c r="A209" s="8" t="s">
        <v>220</v>
      </c>
      <c r="B209" s="8" cm="1">
        <f t="array" aca="1" ref="B209" ca="1">_xlfn.XLOOKUP(A209,[1]Table2_V5_w3C28!A:A,[1]Table2_V5_w3C28!B:B,nan(),0)</f>
        <v>0.11600000000000001</v>
      </c>
      <c r="C209" s="8" cm="1">
        <f t="array" aca="1" ref="C209" ca="1">_xlfn.XLOOKUP(A209,[1]Table2_V5_w3C28!A:A,[1]Table2_V5_w3C28!D:D,nan(),0)</f>
        <v>231.03559999999999</v>
      </c>
      <c r="D209" s="8" cm="1">
        <f t="array" aca="1" ref="D209" ca="1">_xlfn.XLOOKUP(A209,[1]Table2_V5_w3C28!A:A,[1]Table2_V5_w3C28!E:E,nan(),0)</f>
        <v>29.881799999999998</v>
      </c>
      <c r="E209" s="1">
        <f>_xlfn.XLOOKUP($A209,[1]Table7_badETA!$A:$A,[1]Table7_badETA!C:C,"-",0)</f>
        <v>0.21840000000000001</v>
      </c>
      <c r="F209" s="1">
        <f>_xlfn.XLOOKUP($A209,[1]Table7_badETA!$A:$A,[1]Table7_badETA!E:E,"-",0)</f>
        <v>1.15E-2</v>
      </c>
      <c r="G209" s="5">
        <f>_xlfn.XLOOKUP($A209,[1]Table7_badETA!$A:$A,[1]Table7_badETA!F:F,"-",0)</f>
        <v>1.6199999999999999E-7</v>
      </c>
      <c r="H209" s="6">
        <f>_xlfn.XLOOKUP($A209,[1]Table7_badETA!$A:$A,[1]Table7_badETA!H:H,"-",0)</f>
        <v>4.9199999999999997E-8</v>
      </c>
      <c r="I209" s="2">
        <f>_xlfn.XLOOKUP($A209,[1]Table7_badETA!$A:$A,[1]Table7_badETA!M:M,"-",0)</f>
        <v>0.88629999999999998</v>
      </c>
      <c r="J209" s="2">
        <f>_xlfn.XLOOKUP($A209,[1]Table7_badETA!$A:$A,[1]Table7_badETA!O:O,"-",0)</f>
        <v>4.3169999999999997E-3</v>
      </c>
      <c r="K209" s="2">
        <f>_xlfn.XLOOKUP($A209,[1]morph_04R500.dat!$A:$A,[1]morph_04R500.dat!P:P,"-",0)</f>
        <v>-30.5</v>
      </c>
      <c r="L209" s="2">
        <f>_xlfn.XLOOKUP($A209,[1]morph_04R500.dat!$A:$A,[1]morph_04R500.dat!R:R,"-",0)</f>
        <v>1.0449999999999999</v>
      </c>
      <c r="M209" s="2">
        <f>_xlfn.XLOOKUP($A209,[1]Table7_badETA!$A:$A,[1]Table7_badETA!T:T,"-",0)</f>
        <v>0.32019704433497537</v>
      </c>
      <c r="N209" s="2">
        <f>_xlfn.XLOOKUP($A209,[1]Table7_badETA!$A:$A,[1]Table7_badETA!U:U,"-",0)</f>
        <v>7.4052667887871525E-3</v>
      </c>
      <c r="O209" s="7">
        <f>_xlfn.XLOOKUP($A209,[1]Table7_badETA!$A:$A,[1]Table7_badETA!S:S,"-",0)</f>
        <v>476.74342999999999</v>
      </c>
    </row>
    <row r="210" spans="1:15" x14ac:dyDescent="0.2">
      <c r="A210" s="8" t="s">
        <v>221</v>
      </c>
      <c r="B210" s="8" cm="1">
        <f t="array" aca="1" ref="B210" ca="1">_xlfn.XLOOKUP(A210,[1]Table2_V5_w3C28!A:A,[1]Table2_V5_w3C28!B:B,nan(),0)</f>
        <v>0.10299999999999999</v>
      </c>
      <c r="C210" s="8" cm="1">
        <f t="array" aca="1" ref="C210" ca="1">_xlfn.XLOOKUP(A210,[1]Table2_V5_w3C28!A:A,[1]Table2_V5_w3C28!D:D,nan(),0)</f>
        <v>231.05350000000001</v>
      </c>
      <c r="D210" s="8" cm="1">
        <f t="array" aca="1" ref="D210" ca="1">_xlfn.XLOOKUP(A210,[1]Table2_V5_w3C28!A:A,[1]Table2_V5_w3C28!E:E,nan(),0)</f>
        <v>-31.906400000000001</v>
      </c>
      <c r="E210" s="1">
        <f>_xlfn.XLOOKUP($A210,[1]Table7_badETA!$A:$A,[1]Table7_badETA!C:C,"-",0)</f>
        <v>1.975E-2</v>
      </c>
      <c r="F210" s="1">
        <f>_xlfn.XLOOKUP($A210,[1]Table7_badETA!$A:$A,[1]Table7_badETA!E:E,"-",0)</f>
        <v>3.65E-3</v>
      </c>
      <c r="G210" s="5">
        <f>_xlfn.XLOOKUP($A210,[1]Table7_badETA!$A:$A,[1]Table7_badETA!F:F,"-",0)</f>
        <v>4.4400000000000001E-8</v>
      </c>
      <c r="H210" s="6">
        <f>_xlfn.XLOOKUP($A210,[1]Table7_badETA!$A:$A,[1]Table7_badETA!H:H,"-",0)</f>
        <v>1.14E-8</v>
      </c>
      <c r="I210" s="2">
        <f>_xlfn.XLOOKUP($A210,[1]Table7_badETA!$A:$A,[1]Table7_badETA!M:M,"-",0)</f>
        <v>0.87849999999999995</v>
      </c>
      <c r="J210" s="2">
        <f>_xlfn.XLOOKUP($A210,[1]Table7_badETA!$A:$A,[1]Table7_badETA!O:O,"-",0)</f>
        <v>4.2059999999999997E-3</v>
      </c>
      <c r="K210" s="2">
        <f>_xlfn.XLOOKUP($A210,[1]morph_04R500.dat!$A:$A,[1]morph_04R500.dat!P:P,"-",0)</f>
        <v>-60.27</v>
      </c>
      <c r="L210" s="2">
        <f>_xlfn.XLOOKUP($A210,[1]morph_04R500.dat!$A:$A,[1]morph_04R500.dat!R:R,"-",0)</f>
        <v>0.91159999999999997</v>
      </c>
      <c r="M210" s="2">
        <f>_xlfn.XLOOKUP($A210,[1]Table7_badETA!$A:$A,[1]Table7_badETA!T:T,"-",0)</f>
        <v>0.75141110065851369</v>
      </c>
      <c r="N210" s="2">
        <f>_xlfn.XLOOKUP($A210,[1]Table7_badETA!$A:$A,[1]Table7_badETA!U:U,"-",0)</f>
        <v>3.387637968058476E-3</v>
      </c>
      <c r="O210" s="7">
        <f>_xlfn.XLOOKUP($A210,[1]Table7_badETA!$A:$A,[1]Table7_badETA!S:S,"-",0)</f>
        <v>401.43637999999999</v>
      </c>
    </row>
    <row r="211" spans="1:15" x14ac:dyDescent="0.2">
      <c r="A211" s="8" t="s">
        <v>222</v>
      </c>
      <c r="B211" s="8" cm="1">
        <f t="array" aca="1" ref="B211" ca="1">_xlfn.XLOOKUP(A211,[1]Table2_V5_w3C28!A:A,[1]Table2_V5_w3C28!B:B,nan(),0)</f>
        <v>0.34499999999999997</v>
      </c>
      <c r="C211" s="8" cm="1">
        <f t="array" aca="1" ref="C211" ca="1">_xlfn.XLOOKUP(A211,[1]Table2_V5_w3C28!A:A,[1]Table2_V5_w3C28!D:D,nan(),0)</f>
        <v>233.2242</v>
      </c>
      <c r="D211" s="8" cm="1">
        <f t="array" aca="1" ref="D211" ca="1">_xlfn.XLOOKUP(A211,[1]Table2_V5_w3C28!A:A,[1]Table2_V5_w3C28!E:E,nan(),0)</f>
        <v>30.349699999999999</v>
      </c>
      <c r="E211" s="1">
        <f>_xlfn.XLOOKUP($A211,[1]Table7_badETA!$A:$A,[1]Table7_badETA!C:C,"-",0)</f>
        <v>7.1540000000000006E-2</v>
      </c>
      <c r="F211" s="1">
        <f>_xlfn.XLOOKUP($A211,[1]Table7_badETA!$A:$A,[1]Table7_badETA!E:E,"-",0)</f>
        <v>1.6689999999999999E-3</v>
      </c>
      <c r="G211" s="5">
        <f>_xlfn.XLOOKUP($A211,[1]Table7_badETA!$A:$A,[1]Table7_badETA!F:F,"-",0)</f>
        <v>2.3400000000000002E-9</v>
      </c>
      <c r="H211" s="6">
        <f>_xlfn.XLOOKUP($A211,[1]Table7_badETA!$A:$A,[1]Table7_badETA!H:H,"-",0)</f>
        <v>4.2000000000000004E-9</v>
      </c>
      <c r="I211" s="2">
        <f>_xlfn.XLOOKUP($A211,[1]Table7_badETA!$A:$A,[1]Table7_badETA!M:M,"-",0)</f>
        <v>0.90700000000000003</v>
      </c>
      <c r="J211" s="2">
        <f>_xlfn.XLOOKUP($A211,[1]Table7_badETA!$A:$A,[1]Table7_badETA!O:O,"-",0)</f>
        <v>4.7470000000000004E-3</v>
      </c>
      <c r="K211" s="2">
        <f>_xlfn.XLOOKUP($A211,[1]morph_04R500.dat!$A:$A,[1]morph_04R500.dat!P:P,"-",0)</f>
        <v>53.16</v>
      </c>
      <c r="L211" s="2">
        <f>_xlfn.XLOOKUP($A211,[1]morph_04R500.dat!$A:$A,[1]morph_04R500.dat!R:R,"-",0)</f>
        <v>1.381</v>
      </c>
      <c r="M211" s="2">
        <f>_xlfn.XLOOKUP($A211,[1]Table7_badETA!$A:$A,[1]Table7_badETA!T:T,"-",0)</f>
        <v>0.78636704119850187</v>
      </c>
      <c r="N211" s="2">
        <f>_xlfn.XLOOKUP($A211,[1]Table7_badETA!$A:$A,[1]Table7_badETA!U:U,"-",0)</f>
        <v>2.9167636828832852E-3</v>
      </c>
      <c r="O211" s="7">
        <f>_xlfn.XLOOKUP($A211,[1]Table7_badETA!$A:$A,[1]Table7_badETA!S:S,"-",0)</f>
        <v>475.4821</v>
      </c>
    </row>
    <row r="212" spans="1:15" x14ac:dyDescent="0.2">
      <c r="A212" s="8" t="s">
        <v>223</v>
      </c>
      <c r="B212" s="8" cm="1">
        <f t="array" aca="1" ref="B212" ca="1">_xlfn.XLOOKUP(A212,[1]Table2_V5_w3C28!A:A,[1]Table2_V5_w3C28!B:B,nan(),0)</f>
        <v>6.7000000000000004E-2</v>
      </c>
      <c r="C212" s="8" cm="1">
        <f t="array" aca="1" ref="C212" ca="1">_xlfn.XLOOKUP(A212,[1]Table2_V5_w3C28!A:A,[1]Table2_V5_w3C28!D:D,nan(),0)</f>
        <v>233.30680000000001</v>
      </c>
      <c r="D212" s="8" cm="1">
        <f t="array" aca="1" ref="D212" ca="1">_xlfn.XLOOKUP(A212,[1]Table2_V5_w3C28!A:A,[1]Table2_V5_w3C28!E:E,nan(),0)</f>
        <v>31.150200000000002</v>
      </c>
      <c r="E212" s="1">
        <f>_xlfn.XLOOKUP($A212,[1]Table7_badETA!$A:$A,[1]Table7_badETA!C:C,"-",0)</f>
        <v>4.8669999999999998E-2</v>
      </c>
      <c r="F212" s="1">
        <f>_xlfn.XLOOKUP($A212,[1]Table7_badETA!$A:$A,[1]Table7_badETA!E:E,"-",0)</f>
        <v>8.2229999999999994E-3</v>
      </c>
      <c r="G212" s="5">
        <f>_xlfn.XLOOKUP($A212,[1]Table7_badETA!$A:$A,[1]Table7_badETA!F:F,"-",0)</f>
        <v>1.05E-7</v>
      </c>
      <c r="H212" s="6">
        <f>_xlfn.XLOOKUP($A212,[1]Table7_badETA!$A:$A,[1]Table7_badETA!H:H,"-",0)</f>
        <v>1.2599999999999999E-7</v>
      </c>
      <c r="I212" s="2">
        <f>_xlfn.XLOOKUP($A212,[1]Table7_badETA!$A:$A,[1]Table7_badETA!M:M,"-",0)</f>
        <v>0.95979999999999999</v>
      </c>
      <c r="J212" s="2">
        <f>_xlfn.XLOOKUP($A212,[1]Table7_badETA!$A:$A,[1]Table7_badETA!O:O,"-",0)</f>
        <v>2.622E-2</v>
      </c>
      <c r="K212" s="2">
        <f>_xlfn.XLOOKUP($A212,[1]morph_04R500.dat!$A:$A,[1]morph_04R500.dat!P:P,"-",0)</f>
        <v>7.2670000000000003</v>
      </c>
      <c r="L212" s="2">
        <f>_xlfn.XLOOKUP($A212,[1]morph_04R500.dat!$A:$A,[1]morph_04R500.dat!R:R,"-",0)</f>
        <v>13.78</v>
      </c>
      <c r="M212" s="2">
        <f>_xlfn.XLOOKUP($A212,[1]Table7_badETA!$A:$A,[1]Table7_badETA!T:T,"-",0)</f>
        <v>0.40510346578646694</v>
      </c>
      <c r="N212" s="2">
        <f>_xlfn.XLOOKUP($A212,[1]Table7_badETA!$A:$A,[1]Table7_badETA!U:U,"-",0)</f>
        <v>7.244551963727458E-2</v>
      </c>
      <c r="O212" s="7">
        <f>_xlfn.XLOOKUP($A212,[1]Table7_badETA!$A:$A,[1]Table7_badETA!S:S,"-",0)</f>
        <v>285.49986000000001</v>
      </c>
    </row>
    <row r="213" spans="1:15" x14ac:dyDescent="0.2">
      <c r="A213" s="8" t="s">
        <v>224</v>
      </c>
      <c r="B213" s="8" cm="1">
        <f t="array" aca="1" ref="B213" ca="1">_xlfn.XLOOKUP(A213,[1]Table2_V5_w3C28!A:A,[1]Table2_V5_w3C28!B:B,nan(),0)</f>
        <v>4.1000000000000002E-2</v>
      </c>
      <c r="C213" s="8" cm="1">
        <f t="array" aca="1" ref="C213" ca="1">_xlfn.XLOOKUP(A213,[1]Table2_V5_w3C28!A:A,[1]Table2_V5_w3C28!D:D,nan(),0)</f>
        <v>234.9126</v>
      </c>
      <c r="D213" s="8" cm="1">
        <f t="array" aca="1" ref="D213" ca="1">_xlfn.XLOOKUP(A213,[1]Table2_V5_w3C28!A:A,[1]Table2_V5_w3C28!E:E,nan(),0)</f>
        <v>21.782699999999998</v>
      </c>
      <c r="E213" s="1">
        <f>_xlfn.XLOOKUP($A213,[1]Table7_badETA!$A:$A,[1]Table7_badETA!C:C,"-",0)</f>
        <v>8.5229999999999993E-3</v>
      </c>
      <c r="F213" s="1">
        <f>_xlfn.XLOOKUP($A213,[1]Table7_badETA!$A:$A,[1]Table7_badETA!E:E,"-",0)</f>
        <v>9.5149999999999998E-4</v>
      </c>
      <c r="G213" s="5">
        <f>_xlfn.XLOOKUP($A213,[1]Table7_badETA!$A:$A,[1]Table7_badETA!F:F,"-",0)</f>
        <v>8.9099999999999997E-8</v>
      </c>
      <c r="H213" s="6">
        <f>_xlfn.XLOOKUP($A213,[1]Table7_badETA!$A:$A,[1]Table7_badETA!H:H,"-",0)</f>
        <v>1.48E-8</v>
      </c>
      <c r="I213" s="2">
        <f>_xlfn.XLOOKUP($A213,[1]Table7_badETA!$A:$A,[1]Table7_badETA!M:M,"-",0)</f>
        <v>0.9667</v>
      </c>
      <c r="J213" s="2">
        <f>_xlfn.XLOOKUP($A213,[1]Table7_badETA!$A:$A,[1]Table7_badETA!O:O,"-",0)</f>
        <v>2.2620000000000001E-2</v>
      </c>
      <c r="K213" s="2">
        <f>_xlfn.XLOOKUP($A213,[1]morph_04R500.dat!$A:$A,[1]morph_04R500.dat!P:P,"-",0)</f>
        <v>89.03</v>
      </c>
      <c r="L213" s="2">
        <f>_xlfn.XLOOKUP($A213,[1]morph_04R500.dat!$A:$A,[1]morph_04R500.dat!R:R,"-",0)</f>
        <v>3.17</v>
      </c>
      <c r="M213" s="2">
        <f>_xlfn.XLOOKUP($A213,[1]Table7_badETA!$A:$A,[1]Table7_badETA!T:T,"-",0)</f>
        <v>0.50439514441188782</v>
      </c>
      <c r="N213" s="2">
        <f>_xlfn.XLOOKUP($A213,[1]Table7_badETA!$A:$A,[1]Table7_badETA!U:U,"-",0)</f>
        <v>7.264534506537368E-3</v>
      </c>
      <c r="O213" s="7">
        <f>_xlfn.XLOOKUP($A213,[1]Table7_badETA!$A:$A,[1]Table7_badETA!S:S,"-",0)</f>
        <v>390.44421999999997</v>
      </c>
    </row>
    <row r="214" spans="1:15" x14ac:dyDescent="0.2">
      <c r="A214" s="8" t="s">
        <v>225</v>
      </c>
      <c r="B214" s="8" cm="1">
        <f t="array" aca="1" ref="B214" ca="1">_xlfn.XLOOKUP(A214,[1]Table2_V5_w3C28!A:A,[1]Table2_V5_w3C28!B:B,nan(),0)</f>
        <v>0.22900000000000001</v>
      </c>
      <c r="C214" s="8" cm="1">
        <f t="array" aca="1" ref="C214" ca="1">_xlfn.XLOOKUP(A214,[1]Table2_V5_w3C28!A:A,[1]Table2_V5_w3C28!D:D,nan(),0)</f>
        <v>234.92439999999999</v>
      </c>
      <c r="D214" s="8" cm="1">
        <f t="array" aca="1" ref="D214" ca="1">_xlfn.XLOOKUP(A214,[1]Table2_V5_w3C28!A:A,[1]Table2_V5_w3C28!E:E,nan(),0)</f>
        <v>34.416200000000003</v>
      </c>
      <c r="E214" s="1">
        <f>_xlfn.XLOOKUP($A214,[1]Table7_badETA!$A:$A,[1]Table7_badETA!C:C,"-",0)</f>
        <v>3.4930000000000003E-2</v>
      </c>
      <c r="F214" s="1">
        <f>_xlfn.XLOOKUP($A214,[1]Table7_badETA!$A:$A,[1]Table7_badETA!E:E,"-",0)</f>
        <v>6.8690000000000001E-3</v>
      </c>
      <c r="G214" s="5">
        <f>_xlfn.XLOOKUP($A214,[1]Table7_badETA!$A:$A,[1]Table7_badETA!F:F,"-",0)</f>
        <v>2.9099999999999999E-8</v>
      </c>
      <c r="H214" s="6">
        <f>_xlfn.XLOOKUP($A214,[1]Table7_badETA!$A:$A,[1]Table7_badETA!H:H,"-",0)</f>
        <v>3.7200000000000002E-8</v>
      </c>
      <c r="I214" s="2">
        <f>_xlfn.XLOOKUP($A214,[1]Table7_badETA!$A:$A,[1]Table7_badETA!M:M,"-",0)</f>
        <v>0.83320000000000005</v>
      </c>
      <c r="J214" s="2">
        <f>_xlfn.XLOOKUP($A214,[1]Table7_badETA!$A:$A,[1]Table7_badETA!O:O,"-",0)</f>
        <v>6.5700000000000003E-3</v>
      </c>
      <c r="K214" s="2">
        <f>_xlfn.XLOOKUP($A214,[1]morph_04R500.dat!$A:$A,[1]morph_04R500.dat!P:P,"-",0)</f>
        <v>-34.869999999999997</v>
      </c>
      <c r="L214" s="2">
        <f>_xlfn.XLOOKUP($A214,[1]morph_04R500.dat!$A:$A,[1]morph_04R500.dat!R:R,"-",0)</f>
        <v>1.333</v>
      </c>
      <c r="M214" s="2">
        <f>_xlfn.XLOOKUP($A214,[1]Table7_badETA!$A:$A,[1]Table7_badETA!T:T,"-",0)</f>
        <v>0.42197624190064797</v>
      </c>
      <c r="N214" s="2">
        <f>_xlfn.XLOOKUP($A214,[1]Table7_badETA!$A:$A,[1]Table7_badETA!U:U,"-",0)</f>
        <v>9.1170215629481858E-3</v>
      </c>
      <c r="O214" s="7">
        <f>_xlfn.XLOOKUP($A214,[1]Table7_badETA!$A:$A,[1]Table7_badETA!S:S,"-",0)</f>
        <v>519.68453999999997</v>
      </c>
    </row>
    <row r="215" spans="1:15" x14ac:dyDescent="0.2">
      <c r="A215" s="8" t="s">
        <v>226</v>
      </c>
      <c r="B215" s="8" cm="1">
        <f t="array" aca="1" ref="B215" ca="1">_xlfn.XLOOKUP(A215,[1]Table2_V5_w3C28!A:A,[1]Table2_V5_w3C28!B:B,nan(),0)</f>
        <v>0.153</v>
      </c>
      <c r="C215" s="8" cm="1">
        <f t="array" aca="1" ref="C215" ca="1">_xlfn.XLOOKUP(A215,[1]Table2_V5_w3C28!A:A,[1]Table2_V5_w3C28!D:D,nan(),0)</f>
        <v>235.03399999999999</v>
      </c>
      <c r="D215" s="8" cm="1">
        <f t="array" aca="1" ref="D215" ca="1">_xlfn.XLOOKUP(A215,[1]Table2_V5_w3C28!A:A,[1]Table2_V5_w3C28!E:E,nan(),0)</f>
        <v>-3.3037999999999998</v>
      </c>
      <c r="E215" s="1">
        <f>_xlfn.XLOOKUP($A215,[1]Table7_badETA!$A:$A,[1]Table7_badETA!C:C,"-",0)</f>
        <v>8.9060000000000007E-3</v>
      </c>
      <c r="F215" s="1">
        <f>_xlfn.XLOOKUP($A215,[1]Table7_badETA!$A:$A,[1]Table7_badETA!E:E,"-",0)</f>
        <v>1.6590000000000001E-3</v>
      </c>
      <c r="G215" s="5">
        <f>_xlfn.XLOOKUP($A215,[1]Table7_badETA!$A:$A,[1]Table7_badETA!F:F,"-",0)</f>
        <v>3.72E-7</v>
      </c>
      <c r="H215" s="6">
        <f>_xlfn.XLOOKUP($A215,[1]Table7_badETA!$A:$A,[1]Table7_badETA!H:H,"-",0)</f>
        <v>3.5000000000000002E-8</v>
      </c>
      <c r="I215" s="2">
        <f>_xlfn.XLOOKUP($A215,[1]Table7_badETA!$A:$A,[1]Table7_badETA!M:M,"-",0)</f>
        <v>0.95530000000000004</v>
      </c>
      <c r="J215" s="2">
        <f>_xlfn.XLOOKUP($A215,[1]Table7_badETA!$A:$A,[1]Table7_badETA!O:O,"-",0)</f>
        <v>3.9979999999999998E-3</v>
      </c>
      <c r="K215" s="2">
        <f>_xlfn.XLOOKUP($A215,[1]morph_04R500.dat!$A:$A,[1]morph_04R500.dat!P:P,"-",0)</f>
        <v>16.670000000000002</v>
      </c>
      <c r="L215" s="2">
        <f>_xlfn.XLOOKUP($A215,[1]morph_04R500.dat!$A:$A,[1]morph_04R500.dat!R:R,"-",0)</f>
        <v>2.1480000000000001</v>
      </c>
      <c r="M215" s="2">
        <f>_xlfn.XLOOKUP($A215,[1]Table7_badETA!$A:$A,[1]Table7_badETA!T:T,"-",0)</f>
        <v>0.49494850416871017</v>
      </c>
      <c r="N215" s="2">
        <f>_xlfn.XLOOKUP($A215,[1]Table7_badETA!$A:$A,[1]Table7_badETA!U:U,"-",0)</f>
        <v>4.7250634811774623E-3</v>
      </c>
      <c r="O215" s="7">
        <f>_xlfn.XLOOKUP($A215,[1]Table7_badETA!$A:$A,[1]Table7_badETA!S:S,"-",0)</f>
        <v>512.55394000000001</v>
      </c>
    </row>
    <row r="216" spans="1:15" x14ac:dyDescent="0.2">
      <c r="A216" s="8" t="s">
        <v>227</v>
      </c>
      <c r="B216" s="8" cm="1">
        <f t="array" aca="1" ref="B216" ca="1">_xlfn.XLOOKUP(A216,[1]Table2_V5_w3C28!A:A,[1]Table2_V5_w3C28!B:B,nan(),0)</f>
        <v>0.246</v>
      </c>
      <c r="C216" s="8" cm="1">
        <f t="array" aca="1" ref="C216" ca="1">_xlfn.XLOOKUP(A216,[1]Table2_V5_w3C28!A:A,[1]Table2_V5_w3C28!D:D,nan(),0)</f>
        <v>235.31059999999999</v>
      </c>
      <c r="D216" s="8" cm="1">
        <f t="array" aca="1" ref="D216" ca="1">_xlfn.XLOOKUP(A216,[1]Table2_V5_w3C28!A:A,[1]Table2_V5_w3C28!E:E,nan(),0)</f>
        <v>66.265900000000002</v>
      </c>
      <c r="E216" s="1">
        <f>_xlfn.XLOOKUP($A216,[1]Table7_badETA!$A:$A,[1]Table7_badETA!C:C,"-",0)</f>
        <v>2.9839999999999998E-2</v>
      </c>
      <c r="F216" s="1">
        <f>_xlfn.XLOOKUP($A216,[1]Table7_badETA!$A:$A,[1]Table7_badETA!E:E,"-",0)</f>
        <v>6.894E-3</v>
      </c>
      <c r="G216" s="5">
        <f>_xlfn.XLOOKUP($A216,[1]Table7_badETA!$A:$A,[1]Table7_badETA!F:F,"-",0)</f>
        <v>2.7599999999999998E-7</v>
      </c>
      <c r="H216" s="6">
        <f>_xlfn.XLOOKUP($A216,[1]Table7_badETA!$A:$A,[1]Table7_badETA!H:H,"-",0)</f>
        <v>2.3200000000000001E-7</v>
      </c>
      <c r="I216" s="2">
        <f>_xlfn.XLOOKUP($A216,[1]Table7_badETA!$A:$A,[1]Table7_badETA!M:M,"-",0)</f>
        <v>0.92869999999999997</v>
      </c>
      <c r="J216" s="2">
        <f>_xlfn.XLOOKUP($A216,[1]Table7_badETA!$A:$A,[1]Table7_badETA!O:O,"-",0)</f>
        <v>1.159E-2</v>
      </c>
      <c r="K216" s="2">
        <f>_xlfn.XLOOKUP($A216,[1]morph_04R500.dat!$A:$A,[1]morph_04R500.dat!P:P,"-",0)</f>
        <v>-64.72</v>
      </c>
      <c r="L216" s="2">
        <f>_xlfn.XLOOKUP($A216,[1]morph_04R500.dat!$A:$A,[1]morph_04R500.dat!R:R,"-",0)</f>
        <v>5.9379999999999997</v>
      </c>
      <c r="M216" s="2">
        <f>_xlfn.XLOOKUP($A216,[1]Table7_badETA!$A:$A,[1]Table7_badETA!T:T,"-",0)</f>
        <v>0.305852417302799</v>
      </c>
      <c r="N216" s="2">
        <f>_xlfn.XLOOKUP($A216,[1]Table7_badETA!$A:$A,[1]Table7_badETA!U:U,"-",0)</f>
        <v>2.6104757978456489E-2</v>
      </c>
      <c r="O216" s="7">
        <f>_xlfn.XLOOKUP($A216,[1]Table7_badETA!$A:$A,[1]Table7_badETA!S:S,"-",0)</f>
        <v>313.38594999999998</v>
      </c>
    </row>
    <row r="217" spans="1:15" x14ac:dyDescent="0.2">
      <c r="A217" s="8" t="s">
        <v>228</v>
      </c>
      <c r="B217" s="8" cm="1">
        <f t="array" aca="1" ref="B217" ca="1">_xlfn.XLOOKUP(A217,[1]Table2_V5_w3C28!A:A,[1]Table2_V5_w3C28!B:B,nan(),0)</f>
        <v>0.23430000000000001</v>
      </c>
      <c r="C217" s="8" cm="1">
        <f t="array" aca="1" ref="C217" ca="1">_xlfn.XLOOKUP(A217,[1]Table2_V5_w3C28!A:A,[1]Table2_V5_w3C28!D:D,nan(),0)</f>
        <v>239.05119999999999</v>
      </c>
      <c r="D217" s="8" cm="1">
        <f t="array" aca="1" ref="D217" ca="1">_xlfn.XLOOKUP(A217,[1]Table2_V5_w3C28!A:A,[1]Table2_V5_w3C28!E:E,nan(),0)</f>
        <v>66.351600000000005</v>
      </c>
      <c r="E217" s="1">
        <f>_xlfn.XLOOKUP($A217,[1]Table7_badETA!$A:$A,[1]Table7_badETA!C:C,"-",0)</f>
        <v>4.4830000000000002E-2</v>
      </c>
      <c r="F217" s="1">
        <f>_xlfn.XLOOKUP($A217,[1]Table7_badETA!$A:$A,[1]Table7_badETA!E:E,"-",0)</f>
        <v>7.2009999999999999E-4</v>
      </c>
      <c r="G217" s="5">
        <f>_xlfn.XLOOKUP($A217,[1]Table7_badETA!$A:$A,[1]Table7_badETA!F:F,"-",0)</f>
        <v>5.0300000000000002E-9</v>
      </c>
      <c r="H217" s="6">
        <f>_xlfn.XLOOKUP($A217,[1]Table7_badETA!$A:$A,[1]Table7_badETA!H:H,"-",0)</f>
        <v>2.5099999999999998E-9</v>
      </c>
      <c r="I217" s="2">
        <f>_xlfn.XLOOKUP($A217,[1]Table7_badETA!$A:$A,[1]Table7_badETA!M:M,"-",0)</f>
        <v>0.93179999999999996</v>
      </c>
      <c r="J217" s="2">
        <f>_xlfn.XLOOKUP($A217,[1]Table7_badETA!$A:$A,[1]Table7_badETA!O:O,"-",0)</f>
        <v>2.5469999999999998E-3</v>
      </c>
      <c r="K217" s="2">
        <f>_xlfn.XLOOKUP($A217,[1]morph_04R500.dat!$A:$A,[1]morph_04R500.dat!P:P,"-",0)</f>
        <v>-51.41</v>
      </c>
      <c r="L217" s="2">
        <f>_xlfn.XLOOKUP($A217,[1]morph_04R500.dat!$A:$A,[1]morph_04R500.dat!R:R,"-",0)</f>
        <v>1.1299999999999999</v>
      </c>
      <c r="M217" s="2">
        <f>_xlfn.XLOOKUP($A217,[1]Table7_badETA!$A:$A,[1]Table7_badETA!T:T,"-",0)</f>
        <v>0.59377764671188438</v>
      </c>
      <c r="N217" s="2">
        <f>_xlfn.XLOOKUP($A217,[1]Table7_badETA!$A:$A,[1]Table7_badETA!U:U,"-",0)</f>
        <v>4.2416745810751871E-3</v>
      </c>
      <c r="O217" s="7">
        <f>_xlfn.XLOOKUP($A217,[1]Table7_badETA!$A:$A,[1]Table7_badETA!S:S,"-",0)</f>
        <v>529.05886999999996</v>
      </c>
    </row>
    <row r="218" spans="1:15" x14ac:dyDescent="0.2">
      <c r="A218" s="8" t="s">
        <v>229</v>
      </c>
      <c r="B218" s="8" cm="1">
        <f t="array" aca="1" ref="B218" ca="1">_xlfn.XLOOKUP(A218,[1]Table2_V5_w3C28!A:A,[1]Table2_V5_w3C28!B:B,nan(),0)</f>
        <v>9.0999999999999998E-2</v>
      </c>
      <c r="C218" s="8" cm="1">
        <f t="array" aca="1" ref="C218" ca="1">_xlfn.XLOOKUP(A218,[1]Table2_V5_w3C28!A:A,[1]Table2_V5_w3C28!D:D,nan(),0)</f>
        <v>239.5847</v>
      </c>
      <c r="D218" s="8" cm="1">
        <f t="array" aca="1" ref="D218" ca="1">_xlfn.XLOOKUP(A218,[1]Table2_V5_w3C28!A:A,[1]Table2_V5_w3C28!E:E,nan(),0)</f>
        <v>27.231000000000002</v>
      </c>
      <c r="E218" s="1">
        <f>_xlfn.XLOOKUP($A218,[1]Table7_badETA!$A:$A,[1]Table7_badETA!C:C,"-",0)</f>
        <v>1.472E-2</v>
      </c>
      <c r="F218" s="1">
        <f>_xlfn.XLOOKUP($A218,[1]Table7_badETA!$A:$A,[1]Table7_badETA!E:E,"-",0)</f>
        <v>2.407E-4</v>
      </c>
      <c r="G218" s="5">
        <f>_xlfn.XLOOKUP($A218,[1]Table7_badETA!$A:$A,[1]Table7_badETA!F:F,"-",0)</f>
        <v>1.02E-8</v>
      </c>
      <c r="H218" s="6">
        <f>_xlfn.XLOOKUP($A218,[1]Table7_badETA!$A:$A,[1]Table7_badETA!H:H,"-",0)</f>
        <v>1.6600000000000001E-9</v>
      </c>
      <c r="I218" s="2">
        <f>_xlfn.XLOOKUP($A218,[1]Table7_badETA!$A:$A,[1]Table7_badETA!M:M,"-",0)</f>
        <v>0.86019999999999996</v>
      </c>
      <c r="J218" s="2">
        <f>_xlfn.XLOOKUP($A218,[1]Table7_badETA!$A:$A,[1]Table7_badETA!O:O,"-",0)</f>
        <v>1.709E-3</v>
      </c>
      <c r="K218" s="2">
        <f>_xlfn.XLOOKUP($A218,[1]morph_04R500.dat!$A:$A,[1]morph_04R500.dat!P:P,"-",0)</f>
        <v>-52.36</v>
      </c>
      <c r="L218" s="2">
        <f>_xlfn.XLOOKUP($A218,[1]morph_04R500.dat!$A:$A,[1]morph_04R500.dat!R:R,"-",0)</f>
        <v>0.32219999999999999</v>
      </c>
      <c r="M218" s="2">
        <f>_xlfn.XLOOKUP($A218,[1]Table7_badETA!$A:$A,[1]Table7_badETA!T:T,"-",0)</f>
        <v>0.69604816301327566</v>
      </c>
      <c r="N218" s="2">
        <f>_xlfn.XLOOKUP($A218,[1]Table7_badETA!$A:$A,[1]Table7_badETA!U:U,"-",0)</f>
        <v>2.4353908864089341E-3</v>
      </c>
      <c r="O218" s="7">
        <f>_xlfn.XLOOKUP($A218,[1]Table7_badETA!$A:$A,[1]Table7_badETA!S:S,"-",0)</f>
        <v>565.99806000000001</v>
      </c>
    </row>
    <row r="219" spans="1:15" x14ac:dyDescent="0.2">
      <c r="A219" s="8" t="s">
        <v>230</v>
      </c>
      <c r="B219" s="8" cm="1">
        <f t="array" aca="1" ref="B219" ca="1">_xlfn.XLOOKUP(A219,[1]Table2_V5_w3C28!A:A,[1]Table2_V5_w3C28!B:B,nan(),0)</f>
        <v>9.7000000000000003E-2</v>
      </c>
      <c r="C219" s="8" cm="1">
        <f t="array" aca="1" ref="C219" ca="1">_xlfn.XLOOKUP(A219,[1]Table2_V5_w3C28!A:A,[1]Table2_V5_w3C28!D:D,nan(),0)</f>
        <v>239.59129999999999</v>
      </c>
      <c r="D219" s="8" cm="1">
        <f t="array" aca="1" ref="D219" ca="1">_xlfn.XLOOKUP(A219,[1]Table2_V5_w3C28!A:A,[1]Table2_V5_w3C28!E:E,nan(),0)</f>
        <v>-14.165800000000001</v>
      </c>
      <c r="E219" s="1">
        <f>_xlfn.XLOOKUP($A219,[1]Table7_badETA!$A:$A,[1]Table7_badETA!C:C,"-",0)</f>
        <v>1.094E-2</v>
      </c>
      <c r="F219" s="1">
        <f>_xlfn.XLOOKUP($A219,[1]Table7_badETA!$A:$A,[1]Table7_badETA!E:E,"-",0)</f>
        <v>4.3560000000000002E-4</v>
      </c>
      <c r="G219" s="5">
        <f>_xlfn.XLOOKUP($A219,[1]Table7_badETA!$A:$A,[1]Table7_badETA!F:F,"-",0)</f>
        <v>1.5900000000000001E-7</v>
      </c>
      <c r="H219" s="6">
        <f>_xlfn.XLOOKUP($A219,[1]Table7_badETA!$A:$A,[1]Table7_badETA!H:H,"-",0)</f>
        <v>1.51E-8</v>
      </c>
      <c r="I219" s="2">
        <f>_xlfn.XLOOKUP($A219,[1]Table7_badETA!$A:$A,[1]Table7_badETA!M:M,"-",0)</f>
        <v>0.86319999999999997</v>
      </c>
      <c r="J219" s="2">
        <f>_xlfn.XLOOKUP($A219,[1]Table7_badETA!$A:$A,[1]Table7_badETA!O:O,"-",0)</f>
        <v>3.212E-3</v>
      </c>
      <c r="K219" s="2">
        <f>_xlfn.XLOOKUP($A219,[1]morph_04R500.dat!$A:$A,[1]morph_04R500.dat!P:P,"-",0)</f>
        <v>78.62</v>
      </c>
      <c r="L219" s="2">
        <f>_xlfn.XLOOKUP($A219,[1]morph_04R500.dat!$A:$A,[1]morph_04R500.dat!R:R,"-",0)</f>
        <v>0.69889999999999997</v>
      </c>
      <c r="M219" s="2">
        <f>_xlfn.XLOOKUP($A219,[1]Table7_badETA!$A:$A,[1]Table7_badETA!T:T,"-",0)</f>
        <v>0.66564899620686457</v>
      </c>
      <c r="N219" s="2">
        <f>_xlfn.XLOOKUP($A219,[1]Table7_badETA!$A:$A,[1]Table7_badETA!U:U,"-",0)</f>
        <v>3.0495016107160017E-3</v>
      </c>
      <c r="O219" s="7">
        <f>_xlfn.XLOOKUP($A219,[1]Table7_badETA!$A:$A,[1]Table7_badETA!S:S,"-",0)</f>
        <v>439.78005000000002</v>
      </c>
    </row>
    <row r="220" spans="1:15" x14ac:dyDescent="0.2">
      <c r="A220" s="8" t="s">
        <v>231</v>
      </c>
      <c r="B220" s="8" cm="1">
        <f t="array" aca="1" ref="B220" ca="1">_xlfn.XLOOKUP(A220,[1]Table2_V5_w3C28!A:A,[1]Table2_V5_w3C28!B:B,nan(),0)</f>
        <v>3.6999999999999998E-2</v>
      </c>
      <c r="C220" s="8" cm="1">
        <f t="array" aca="1" ref="C220" ca="1">_xlfn.XLOOKUP(A220,[1]Table2_V5_w3C28!A:A,[1]Table2_V5_w3C28!D:D,nan(),0)</f>
        <v>241.14940000000001</v>
      </c>
      <c r="D220" s="8" cm="1">
        <f t="array" aca="1" ref="D220" ca="1">_xlfn.XLOOKUP(A220,[1]Table2_V5_w3C28!A:A,[1]Table2_V5_w3C28!E:E,nan(),0)</f>
        <v>17.721499999999999</v>
      </c>
      <c r="E220" s="1">
        <f>_xlfn.XLOOKUP($A220,[1]Table7_badETA!$A:$A,[1]Table7_badETA!C:C,"-",0)</f>
        <v>7.0060000000000001E-3</v>
      </c>
      <c r="F220" s="1">
        <f>_xlfn.XLOOKUP($A220,[1]Table7_badETA!$A:$A,[1]Table7_badETA!E:E,"-",0)</f>
        <v>1.4040000000000001E-3</v>
      </c>
      <c r="G220" s="5">
        <f>_xlfn.XLOOKUP($A220,[1]Table7_badETA!$A:$A,[1]Table7_badETA!F:F,"-",0)</f>
        <v>8.0200000000000001E-7</v>
      </c>
      <c r="H220" s="6">
        <f>_xlfn.XLOOKUP($A220,[1]Table7_badETA!$A:$A,[1]Table7_badETA!H:H,"-",0)</f>
        <v>7.4900000000000002E-8</v>
      </c>
      <c r="I220" s="2">
        <f>_xlfn.XLOOKUP($A220,[1]Table7_badETA!$A:$A,[1]Table7_badETA!M:M,"-",0)</f>
        <v>0.97509999999999997</v>
      </c>
      <c r="J220" s="2">
        <f>_xlfn.XLOOKUP($A220,[1]Table7_badETA!$A:$A,[1]Table7_badETA!O:O,"-",0)</f>
        <v>7.1630000000000001E-3</v>
      </c>
      <c r="K220" s="2">
        <f>_xlfn.XLOOKUP($A220,[1]morph_04R500.dat!$A:$A,[1]morph_04R500.dat!P:P,"-",0)</f>
        <v>56.1</v>
      </c>
      <c r="L220" s="2">
        <f>_xlfn.XLOOKUP($A220,[1]morph_04R500.dat!$A:$A,[1]morph_04R500.dat!R:R,"-",0)</f>
        <v>7.835</v>
      </c>
      <c r="M220" s="2">
        <f>_xlfn.XLOOKUP($A220,[1]Table7_badETA!$A:$A,[1]Table7_badETA!T:T,"-",0)</f>
        <v>0.61588999236058062</v>
      </c>
      <c r="N220" s="2">
        <f>_xlfn.XLOOKUP($A220,[1]Table7_badETA!$A:$A,[1]Table7_badETA!U:U,"-",0)</f>
        <v>2.6770099108813523E-2</v>
      </c>
      <c r="O220" s="7">
        <f>_xlfn.XLOOKUP($A220,[1]Table7_badETA!$A:$A,[1]Table7_badETA!S:S,"-",0)</f>
        <v>326.81238999999999</v>
      </c>
    </row>
    <row r="221" spans="1:15" x14ac:dyDescent="0.2">
      <c r="A221" s="8" t="s">
        <v>232</v>
      </c>
      <c r="B221" s="8" cm="1">
        <f t="array" aca="1" ref="B221" ca="1">_xlfn.XLOOKUP(A221,[1]Table2_V5_w3C28!A:A,[1]Table2_V5_w3C28!B:B,nan(),0)</f>
        <v>0.871</v>
      </c>
      <c r="C221" s="8" cm="1">
        <f t="array" aca="1" ref="C221" ca="1">_xlfn.XLOOKUP(A221,[1]Table2_V5_w3C28!A:A,[1]Table2_V5_w3C28!D:D,nan(),0)</f>
        <v>243.31219999999999</v>
      </c>
      <c r="D221" s="8" cm="1">
        <f t="array" aca="1" ref="D221" ca="1">_xlfn.XLOOKUP(A221,[1]Table2_V5_w3C28!A:A,[1]Table2_V5_w3C28!E:E,nan(),0)</f>
        <v>56.825299999999999</v>
      </c>
      <c r="E221" s="1">
        <f>_xlfn.XLOOKUP($A221,[1]Table7_badETA!$A:$A,[1]Table7_badETA!C:C,"-",0)</f>
        <v>5.1240000000000001E-2</v>
      </c>
      <c r="F221" s="1">
        <f>_xlfn.XLOOKUP($A221,[1]Table7_badETA!$A:$A,[1]Table7_badETA!E:E,"-",0)</f>
        <v>1.208E-2</v>
      </c>
      <c r="G221" s="5">
        <f>_xlfn.XLOOKUP($A221,[1]Table7_badETA!$A:$A,[1]Table7_badETA!F:F,"-",0)</f>
        <v>3.4700000000000002E-7</v>
      </c>
      <c r="H221" s="6">
        <f>_xlfn.XLOOKUP($A221,[1]Table7_badETA!$A:$A,[1]Table7_badETA!H:H,"-",0)</f>
        <v>4.5999999999999999E-7</v>
      </c>
      <c r="I221" s="2">
        <f>_xlfn.XLOOKUP($A221,[1]Table7_badETA!$A:$A,[1]Table7_badETA!M:M,"-",0)</f>
        <v>0.99170000000000003</v>
      </c>
      <c r="J221" s="2">
        <f>_xlfn.XLOOKUP($A221,[1]Table7_badETA!$A:$A,[1]Table7_badETA!O:O,"-",0)</f>
        <v>3.041E-2</v>
      </c>
      <c r="K221" s="2">
        <f>_xlfn.XLOOKUP($A221,[1]morph_04R500.dat!$A:$A,[1]morph_04R500.dat!P:P,"-",0)</f>
        <v>-24.85</v>
      </c>
      <c r="L221" s="2">
        <f>_xlfn.XLOOKUP($A221,[1]morph_04R500.dat!$A:$A,[1]morph_04R500.dat!R:R,"-",0)</f>
        <v>40.630000000000003</v>
      </c>
      <c r="M221" s="2" t="str">
        <f>_xlfn.XLOOKUP($A221,[1]Table7_badETA!$A:$A,[1]Table7_badETA!T:T,"-",0)</f>
        <v>-</v>
      </c>
      <c r="N221" s="2" t="str">
        <f>_xlfn.XLOOKUP($A221,[1]Table7_badETA!$A:$A,[1]Table7_badETA!U:U,"-",0)</f>
        <v>-</v>
      </c>
      <c r="O221" s="7">
        <f>_xlfn.XLOOKUP($A221,[1]Table7_badETA!$A:$A,[1]Table7_badETA!S:S,"-",0)</f>
        <v>329.14150000000001</v>
      </c>
    </row>
    <row r="222" spans="1:15" x14ac:dyDescent="0.2">
      <c r="A222" s="8" t="s">
        <v>233</v>
      </c>
      <c r="B222" s="8" cm="1">
        <f t="array" aca="1" ref="B222" ca="1">_xlfn.XLOOKUP(A222,[1]Table2_V5_w3C28!A:A,[1]Table2_V5_w3C28!B:B,nan(),0)</f>
        <v>0.20300000000000001</v>
      </c>
      <c r="C222" s="8" cm="1">
        <f t="array" aca="1" ref="C222" ca="1">_xlfn.XLOOKUP(A222,[1]Table2_V5_w3C28!A:A,[1]Table2_V5_w3C28!D:D,nan(),0)</f>
        <v>243.94120000000001</v>
      </c>
      <c r="D222" s="8" cm="1">
        <f t="array" aca="1" ref="D222" ca="1">_xlfn.XLOOKUP(A222,[1]Table2_V5_w3C28!A:A,[1]Table2_V5_w3C28!E:E,nan(),0)</f>
        <v>-6.1490999999999998</v>
      </c>
      <c r="E222" s="1">
        <f>_xlfn.XLOOKUP($A222,[1]Table7_badETA!$A:$A,[1]Table7_badETA!C:C,"-",0)</f>
        <v>5.6529999999999997E-2</v>
      </c>
      <c r="F222" s="1">
        <f>_xlfn.XLOOKUP($A222,[1]Table7_badETA!$A:$A,[1]Table7_badETA!E:E,"-",0)</f>
        <v>6.0289999999999996E-3</v>
      </c>
      <c r="G222" s="5">
        <f>_xlfn.XLOOKUP($A222,[1]Table7_badETA!$A:$A,[1]Table7_badETA!F:F,"-",0)</f>
        <v>3.3000000000000002E-7</v>
      </c>
      <c r="H222" s="6">
        <f>_xlfn.XLOOKUP($A222,[1]Table7_badETA!$A:$A,[1]Table7_badETA!H:H,"-",0)</f>
        <v>2.1900000000000001E-8</v>
      </c>
      <c r="I222" s="2">
        <f>_xlfn.XLOOKUP($A222,[1]Table7_badETA!$A:$A,[1]Table7_badETA!M:M,"-",0)</f>
        <v>0.91159999999999997</v>
      </c>
      <c r="J222" s="2">
        <f>_xlfn.XLOOKUP($A222,[1]Table7_badETA!$A:$A,[1]Table7_badETA!O:O,"-",0)</f>
        <v>2.0349999999999999E-3</v>
      </c>
      <c r="K222" s="2">
        <f>_xlfn.XLOOKUP($A222,[1]morph_04R500.dat!$A:$A,[1]morph_04R500.dat!P:P,"-",0)</f>
        <v>82.69</v>
      </c>
      <c r="L222" s="2">
        <f>_xlfn.XLOOKUP($A222,[1]morph_04R500.dat!$A:$A,[1]morph_04R500.dat!R:R,"-",0)</f>
        <v>0.70540000000000003</v>
      </c>
      <c r="M222" s="2">
        <f>_xlfn.XLOOKUP($A222,[1]Table7_badETA!$A:$A,[1]Table7_badETA!T:T,"-",0)</f>
        <v>0.49391647484380136</v>
      </c>
      <c r="N222" s="2">
        <f>_xlfn.XLOOKUP($A222,[1]Table7_badETA!$A:$A,[1]Table7_badETA!U:U,"-",0)</f>
        <v>2.6353767453224717E-3</v>
      </c>
      <c r="O222" s="7">
        <f>_xlfn.XLOOKUP($A222,[1]Table7_badETA!$A:$A,[1]Table7_badETA!S:S,"-",0)</f>
        <v>707.31759999999997</v>
      </c>
    </row>
    <row r="223" spans="1:15" x14ac:dyDescent="0.2">
      <c r="A223" s="8" t="s">
        <v>234</v>
      </c>
      <c r="B223" s="8" cm="1">
        <f t="array" aca="1" ref="B223" ca="1">_xlfn.XLOOKUP(A223,[1]Table2_V5_w3C28!A:A,[1]Table2_V5_w3C28!B:B,nan(),0)</f>
        <v>0.46500000000000002</v>
      </c>
      <c r="C223" s="8" cm="1">
        <f t="array" aca="1" ref="C223" ca="1">_xlfn.XLOOKUP(A223,[1]Table2_V5_w3C28!A:A,[1]Table2_V5_w3C28!D:D,nan(),0)</f>
        <v>245.3537</v>
      </c>
      <c r="D223" s="8" cm="1">
        <f t="array" aca="1" ref="D223" ca="1">_xlfn.XLOOKUP(A223,[1]Table2_V5_w3C28!A:A,[1]Table2_V5_w3C28!E:E,nan(),0)</f>
        <v>38.168900000000001</v>
      </c>
      <c r="E223" s="1">
        <f>_xlfn.XLOOKUP($A223,[1]Table7_badETA!$A:$A,[1]Table7_badETA!C:C,"-",0)</f>
        <v>9.604E-2</v>
      </c>
      <c r="F223" s="1">
        <f>_xlfn.XLOOKUP($A223,[1]Table7_badETA!$A:$A,[1]Table7_badETA!E:E,"-",0)</f>
        <v>4.0039999999999997E-3</v>
      </c>
      <c r="G223" s="5">
        <f>_xlfn.XLOOKUP($A223,[1]Table7_badETA!$A:$A,[1]Table7_badETA!F:F,"-",0)</f>
        <v>3.5600000000000001E-8</v>
      </c>
      <c r="H223" s="6">
        <f>_xlfn.XLOOKUP($A223,[1]Table7_badETA!$A:$A,[1]Table7_badETA!H:H,"-",0)</f>
        <v>3.0699999999999997E-8</v>
      </c>
      <c r="I223" s="2">
        <f>_xlfn.XLOOKUP($A223,[1]Table7_badETA!$A:$A,[1]Table7_badETA!M:M,"-",0)</f>
        <v>0.94689999999999996</v>
      </c>
      <c r="J223" s="2">
        <f>_xlfn.XLOOKUP($A223,[1]Table7_badETA!$A:$A,[1]Table7_badETA!O:O,"-",0)</f>
        <v>7.4149999999999997E-3</v>
      </c>
      <c r="K223" s="2">
        <f>_xlfn.XLOOKUP($A223,[1]morph_04R500.dat!$A:$A,[1]morph_04R500.dat!P:P,"-",0)</f>
        <v>-47.32</v>
      </c>
      <c r="L223" s="2">
        <f>_xlfn.XLOOKUP($A223,[1]morph_04R500.dat!$A:$A,[1]morph_04R500.dat!R:R,"-",0)</f>
        <v>3.448</v>
      </c>
      <c r="M223" s="2">
        <f>_xlfn.XLOOKUP($A223,[1]Table7_badETA!$A:$A,[1]Table7_badETA!T:T,"-",0)</f>
        <v>0.64702855672755333</v>
      </c>
      <c r="N223" s="2">
        <f>_xlfn.XLOOKUP($A223,[1]Table7_badETA!$A:$A,[1]Table7_badETA!U:U,"-",0)</f>
        <v>1.1016138043665741E-2</v>
      </c>
      <c r="O223" s="7">
        <f>_xlfn.XLOOKUP($A223,[1]Table7_badETA!$A:$A,[1]Table7_badETA!S:S,"-",0)</f>
        <v>430.52499999999998</v>
      </c>
    </row>
    <row r="224" spans="1:15" x14ac:dyDescent="0.2">
      <c r="A224" s="8" t="s">
        <v>235</v>
      </c>
      <c r="B224" s="8" cm="1">
        <f t="array" aca="1" ref="B224" ca="1">_xlfn.XLOOKUP(A224,[1]Table2_V5_w3C28!A:A,[1]Table2_V5_w3C28!B:B,nan(),0)</f>
        <v>0.184</v>
      </c>
      <c r="C224" s="8" cm="1">
        <f t="array" aca="1" ref="C224" ca="1">_xlfn.XLOOKUP(A224,[1]Table2_V5_w3C28!A:A,[1]Table2_V5_w3C28!D:D,nan(),0)</f>
        <v>246.05850000000001</v>
      </c>
      <c r="D224" s="8" cm="1">
        <f t="array" aca="1" ref="D224" ca="1">_xlfn.XLOOKUP(A224,[1]Table2_V5_w3C28!A:A,[1]Table2_V5_w3C28!E:E,nan(),0)</f>
        <v>41.24</v>
      </c>
      <c r="E224" s="1">
        <f>_xlfn.XLOOKUP($A224,[1]Table7_badETA!$A:$A,[1]Table7_badETA!C:C,"-",0)</f>
        <v>4.6649999999999997E-2</v>
      </c>
      <c r="F224" s="1">
        <f>_xlfn.XLOOKUP($A224,[1]Table7_badETA!$A:$A,[1]Table7_badETA!E:E,"-",0)</f>
        <v>4.9069999999999999E-3</v>
      </c>
      <c r="G224" s="5">
        <f>_xlfn.XLOOKUP($A224,[1]Table7_badETA!$A:$A,[1]Table7_badETA!F:F,"-",0)</f>
        <v>1.6499999999999999E-8</v>
      </c>
      <c r="H224" s="6">
        <f>_xlfn.XLOOKUP($A224,[1]Table7_badETA!$A:$A,[1]Table7_badETA!H:H,"-",0)</f>
        <v>3.0199999999999999E-8</v>
      </c>
      <c r="I224" s="2">
        <f>_xlfn.XLOOKUP($A224,[1]Table7_badETA!$A:$A,[1]Table7_badETA!M:M,"-",0)</f>
        <v>0.88570000000000004</v>
      </c>
      <c r="J224" s="2">
        <f>_xlfn.XLOOKUP($A224,[1]Table7_badETA!$A:$A,[1]Table7_badETA!O:O,"-",0)</f>
        <v>9.2689999999999995E-3</v>
      </c>
      <c r="K224" s="2">
        <f>_xlfn.XLOOKUP($A224,[1]morph_04R500.dat!$A:$A,[1]morph_04R500.dat!P:P,"-",0)</f>
        <v>70.88</v>
      </c>
      <c r="L224" s="2">
        <f>_xlfn.XLOOKUP($A224,[1]morph_04R500.dat!$A:$A,[1]morph_04R500.dat!R:R,"-",0)</f>
        <v>2.5350000000000001</v>
      </c>
      <c r="M224" s="2">
        <f>_xlfn.XLOOKUP($A224,[1]Table7_badETA!$A:$A,[1]Table7_badETA!T:T,"-",0)</f>
        <v>0.48000000000000004</v>
      </c>
      <c r="N224" s="2">
        <f>_xlfn.XLOOKUP($A224,[1]Table7_badETA!$A:$A,[1]Table7_badETA!U:U,"-",0)</f>
        <v>1.5914409069097683E-2</v>
      </c>
      <c r="O224" s="7">
        <f>_xlfn.XLOOKUP($A224,[1]Table7_badETA!$A:$A,[1]Table7_badETA!S:S,"-",0)</f>
        <v>501.87657000000002</v>
      </c>
    </row>
    <row r="225" spans="1:15" x14ac:dyDescent="0.2">
      <c r="A225" s="8" t="s">
        <v>236</v>
      </c>
      <c r="B225" s="8" cm="1">
        <f t="array" aca="1" ref="B225" ca="1">_xlfn.XLOOKUP(A225,[1]Table2_V5_w3C28!A:A,[1]Table2_V5_w3C28!B:B,nan(),0)</f>
        <v>0.152</v>
      </c>
      <c r="C225" s="8" cm="1">
        <f t="array" aca="1" ref="C225" ca="1">_xlfn.XLOOKUP(A225,[1]Table2_V5_w3C28!A:A,[1]Table2_V5_w3C28!D:D,nan(),0)</f>
        <v>248.19560000000001</v>
      </c>
      <c r="D225" s="8" cm="1">
        <f t="array" aca="1" ref="D225" ca="1">_xlfn.XLOOKUP(A225,[1]Table2_V5_w3C28!A:A,[1]Table2_V5_w3C28!E:E,nan(),0)</f>
        <v>5.5754999999999999</v>
      </c>
      <c r="E225" s="1">
        <f>_xlfn.XLOOKUP($A225,[1]Table7_badETA!$A:$A,[1]Table7_badETA!C:C,"-",0)</f>
        <v>2.4760000000000001E-2</v>
      </c>
      <c r="F225" s="1">
        <f>_xlfn.XLOOKUP($A225,[1]Table7_badETA!$A:$A,[1]Table7_badETA!E:E,"-",0)</f>
        <v>4.4329999999999999E-4</v>
      </c>
      <c r="G225" s="5">
        <f>_xlfn.XLOOKUP($A225,[1]Table7_badETA!$A:$A,[1]Table7_badETA!F:F,"-",0)</f>
        <v>1.74E-8</v>
      </c>
      <c r="H225" s="6">
        <f>_xlfn.XLOOKUP($A225,[1]Table7_badETA!$A:$A,[1]Table7_badETA!H:H,"-",0)</f>
        <v>3.5400000000000002E-9</v>
      </c>
      <c r="I225" s="2">
        <f>_xlfn.XLOOKUP($A225,[1]Table7_badETA!$A:$A,[1]Table7_badETA!M:M,"-",0)</f>
        <v>0.91320000000000001</v>
      </c>
      <c r="J225" s="2">
        <f>_xlfn.XLOOKUP($A225,[1]Table7_badETA!$A:$A,[1]Table7_badETA!O:O,"-",0)</f>
        <v>2.7520000000000001E-3</v>
      </c>
      <c r="K225" s="2">
        <f>_xlfn.XLOOKUP($A225,[1]morph_04R500.dat!$A:$A,[1]morph_04R500.dat!P:P,"-",0)</f>
        <v>87.23</v>
      </c>
      <c r="L225" s="2">
        <f>_xlfn.XLOOKUP($A225,[1]morph_04R500.dat!$A:$A,[1]morph_04R500.dat!R:R,"-",0)</f>
        <v>0.85350000000000004</v>
      </c>
      <c r="M225" s="2">
        <f>_xlfn.XLOOKUP($A225,[1]Table7_badETA!$A:$A,[1]Table7_badETA!T:T,"-",0)</f>
        <v>0.79357119574756163</v>
      </c>
      <c r="N225" s="2">
        <f>_xlfn.XLOOKUP($A225,[1]Table7_badETA!$A:$A,[1]Table7_badETA!U:U,"-",0)</f>
        <v>1.6547091129317593E-3</v>
      </c>
      <c r="O225" s="7">
        <f>_xlfn.XLOOKUP($A225,[1]Table7_badETA!$A:$A,[1]Table7_badETA!S:S,"-",0)</f>
        <v>593.91575</v>
      </c>
    </row>
    <row r="226" spans="1:15" x14ac:dyDescent="0.2">
      <c r="A226" s="8" t="s">
        <v>237</v>
      </c>
      <c r="B226" s="8" cm="1">
        <f t="array" aca="1" ref="B226" ca="1">_xlfn.XLOOKUP(A226,[1]Table2_V5_w3C28!A:A,[1]Table2_V5_w3C28!B:B,nan(),0)</f>
        <v>0.22600000000000001</v>
      </c>
      <c r="C226" s="8" cm="1">
        <f t="array" aca="1" ref="C226" ca="1">_xlfn.XLOOKUP(A226,[1]Table2_V5_w3C28!A:A,[1]Table2_V5_w3C28!D:D,nan(),0)</f>
        <v>250.0829</v>
      </c>
      <c r="D226" s="8" cm="1">
        <f t="array" aca="1" ref="D226" ca="1">_xlfn.XLOOKUP(A226,[1]Table2_V5_w3C28!A:A,[1]Table2_V5_w3C28!E:E,nan(),0)</f>
        <v>46.7119</v>
      </c>
      <c r="E226" s="1">
        <f>_xlfn.XLOOKUP($A226,[1]Table7_badETA!$A:$A,[1]Table7_badETA!C:C,"-",0)</f>
        <v>2.9739999999999999E-2</v>
      </c>
      <c r="F226" s="1">
        <f>_xlfn.XLOOKUP($A226,[1]Table7_badETA!$A:$A,[1]Table7_badETA!E:E,"-",0)</f>
        <v>1.369E-3</v>
      </c>
      <c r="G226" s="5">
        <f>_xlfn.XLOOKUP($A226,[1]Table7_badETA!$A:$A,[1]Table7_badETA!F:F,"-",0)</f>
        <v>2.9099999999999999E-8</v>
      </c>
      <c r="H226" s="6">
        <f>_xlfn.XLOOKUP($A226,[1]Table7_badETA!$A:$A,[1]Table7_badETA!H:H,"-",0)</f>
        <v>5.7900000000000001E-9</v>
      </c>
      <c r="I226" s="2">
        <f>_xlfn.XLOOKUP($A226,[1]Table7_badETA!$A:$A,[1]Table7_badETA!M:M,"-",0)</f>
        <v>0.83299999999999996</v>
      </c>
      <c r="J226" s="2">
        <f>_xlfn.XLOOKUP($A226,[1]Table7_badETA!$A:$A,[1]Table7_badETA!O:O,"-",0)</f>
        <v>1.5989999999999999E-3</v>
      </c>
      <c r="K226" s="2">
        <f>_xlfn.XLOOKUP($A226,[1]morph_04R500.dat!$A:$A,[1]morph_04R500.dat!P:P,"-",0)</f>
        <v>-52.05</v>
      </c>
      <c r="L226" s="2">
        <f>_xlfn.XLOOKUP($A226,[1]morph_04R500.dat!$A:$A,[1]morph_04R500.dat!R:R,"-",0)</f>
        <v>0.27379999999999999</v>
      </c>
      <c r="M226" s="2">
        <f>_xlfn.XLOOKUP($A226,[1]Table7_badETA!$A:$A,[1]Table7_badETA!T:T,"-",0)</f>
        <v>0.44319425860600897</v>
      </c>
      <c r="N226" s="2">
        <f>_xlfn.XLOOKUP($A226,[1]Table7_badETA!$A:$A,[1]Table7_badETA!U:U,"-",0)</f>
        <v>2.6548535498975637E-3</v>
      </c>
      <c r="O226" s="7">
        <f>_xlfn.XLOOKUP($A226,[1]Table7_badETA!$A:$A,[1]Table7_badETA!S:S,"-",0)</f>
        <v>624.56269999999995</v>
      </c>
    </row>
    <row r="227" spans="1:15" x14ac:dyDescent="0.2">
      <c r="A227" s="8" t="s">
        <v>238</v>
      </c>
      <c r="B227" s="8" cm="1">
        <f t="array" aca="1" ref="B227" ca="1">_xlfn.XLOOKUP(A227,[1]Table2_V5_w3C28!A:A,[1]Table2_V5_w3C28!B:B,nan(),0)</f>
        <v>0.46400000000000002</v>
      </c>
      <c r="C227" s="8" cm="1">
        <f t="array" aca="1" ref="C227" ca="1">_xlfn.XLOOKUP(A227,[1]Table2_V5_w3C28!A:A,[1]Table2_V5_w3C28!D:D,nan(),0)</f>
        <v>250.47319999999999</v>
      </c>
      <c r="D227" s="8" cm="1">
        <f t="array" aca="1" ref="D227" ca="1">_xlfn.XLOOKUP(A227,[1]Table2_V5_w3C28!A:A,[1]Table2_V5_w3C28!E:E,nan(),0)</f>
        <v>40.029200000000003</v>
      </c>
      <c r="E227" s="1">
        <f>_xlfn.XLOOKUP($A227,[1]Table7_badETA!$A:$A,[1]Table7_badETA!C:C,"-",0)</f>
        <v>2.5870000000000001E-2</v>
      </c>
      <c r="F227" s="1">
        <f>_xlfn.XLOOKUP($A227,[1]Table7_badETA!$A:$A,[1]Table7_badETA!E:E,"-",0)</f>
        <v>6.6369999999999997E-3</v>
      </c>
      <c r="G227" s="5">
        <f>_xlfn.XLOOKUP($A227,[1]Table7_badETA!$A:$A,[1]Table7_badETA!F:F,"-",0)</f>
        <v>1.98E-7</v>
      </c>
      <c r="H227" s="6">
        <f>_xlfn.XLOOKUP($A227,[1]Table7_badETA!$A:$A,[1]Table7_badETA!H:H,"-",0)</f>
        <v>3.0899999999999997E-7</v>
      </c>
      <c r="I227" s="2">
        <f>_xlfn.XLOOKUP($A227,[1]Table7_badETA!$A:$A,[1]Table7_badETA!M:M,"-",0)</f>
        <v>0.94120000000000004</v>
      </c>
      <c r="J227" s="2">
        <f>_xlfn.XLOOKUP($A227,[1]Table7_badETA!$A:$A,[1]Table7_badETA!O:O,"-",0)</f>
        <v>3.3300000000000003E-2</v>
      </c>
      <c r="K227" s="2">
        <f>_xlfn.XLOOKUP($A227,[1]morph_04R500.dat!$A:$A,[1]morph_04R500.dat!P:P,"-",0)</f>
        <v>-21.74</v>
      </c>
      <c r="L227" s="2">
        <f>_xlfn.XLOOKUP($A227,[1]morph_04R500.dat!$A:$A,[1]morph_04R500.dat!R:R,"-",0)</f>
        <v>14.9</v>
      </c>
      <c r="M227" s="2" t="str">
        <f>_xlfn.XLOOKUP($A227,[1]Table7_badETA!$A:$A,[1]Table7_badETA!T:T,"-",0)</f>
        <v>-</v>
      </c>
      <c r="N227" s="2" t="str">
        <f>_xlfn.XLOOKUP($A227,[1]Table7_badETA!$A:$A,[1]Table7_badETA!U:U,"-",0)</f>
        <v>-</v>
      </c>
      <c r="O227" s="7">
        <f>_xlfn.XLOOKUP($A227,[1]Table7_badETA!$A:$A,[1]Table7_badETA!S:S,"-",0)</f>
        <v>315.21980000000002</v>
      </c>
    </row>
    <row r="228" spans="1:15" x14ac:dyDescent="0.2">
      <c r="A228" s="8" t="s">
        <v>239</v>
      </c>
      <c r="B228" s="8" cm="1">
        <f t="array" aca="1" ref="B228" ca="1">_xlfn.XLOOKUP(A228,[1]Table2_V5_w3C28!A:A,[1]Table2_V5_w3C28!B:B,nan(),0)</f>
        <v>0.155</v>
      </c>
      <c r="C228" s="8" cm="1">
        <f t="array" aca="1" ref="C228" ca="1">_xlfn.XLOOKUP(A228,[1]Table2_V5_w3C28!A:A,[1]Table2_V5_w3C28!D:D,nan(),0)</f>
        <v>252.7842</v>
      </c>
      <c r="D228" s="8" cm="1">
        <f t="array" aca="1" ref="D228" ca="1">_xlfn.XLOOKUP(A228,[1]Table2_V5_w3C28!A:A,[1]Table2_V5_w3C28!E:E,nan(),0)</f>
        <v>4.9924999999999997</v>
      </c>
      <c r="E228" s="1">
        <f>_xlfn.XLOOKUP($A228,[1]Table7_badETA!$A:$A,[1]Table7_badETA!C:C,"-",0)</f>
        <v>3.168E-2</v>
      </c>
      <c r="F228" s="1">
        <f>_xlfn.XLOOKUP($A228,[1]Table7_badETA!$A:$A,[1]Table7_badETA!E:E,"-",0)</f>
        <v>2.2339999999999999E-3</v>
      </c>
      <c r="G228" s="5">
        <f>_xlfn.XLOOKUP($A228,[1]Table7_badETA!$A:$A,[1]Table7_badETA!F:F,"-",0)</f>
        <v>2.4699999999999999E-9</v>
      </c>
      <c r="H228" s="6">
        <f>_xlfn.XLOOKUP($A228,[1]Table7_badETA!$A:$A,[1]Table7_badETA!H:H,"-",0)</f>
        <v>2.9899999999999998E-9</v>
      </c>
      <c r="I228" s="2">
        <f>_xlfn.XLOOKUP($A228,[1]Table7_badETA!$A:$A,[1]Table7_badETA!M:M,"-",0)</f>
        <v>0.90280000000000005</v>
      </c>
      <c r="J228" s="2">
        <f>_xlfn.XLOOKUP($A228,[1]Table7_badETA!$A:$A,[1]Table7_badETA!O:O,"-",0)</f>
        <v>3.248E-3</v>
      </c>
      <c r="K228" s="2">
        <f>_xlfn.XLOOKUP($A228,[1]morph_04R500.dat!$A:$A,[1]morph_04R500.dat!P:P,"-",0)</f>
        <v>-71.819999999999993</v>
      </c>
      <c r="L228" s="2">
        <f>_xlfn.XLOOKUP($A228,[1]morph_04R500.dat!$A:$A,[1]morph_04R500.dat!R:R,"-",0)</f>
        <v>1.014</v>
      </c>
      <c r="M228" s="2">
        <f>_xlfn.XLOOKUP($A228,[1]Table7_badETA!$A:$A,[1]Table7_badETA!T:T,"-",0)</f>
        <v>0.58435555555555552</v>
      </c>
      <c r="N228" s="2">
        <f>_xlfn.XLOOKUP($A228,[1]Table7_badETA!$A:$A,[1]Table7_badETA!U:U,"-",0)</f>
        <v>5.6048259435767245E-3</v>
      </c>
      <c r="O228" s="7">
        <f>_xlfn.XLOOKUP($A228,[1]Table7_badETA!$A:$A,[1]Table7_badETA!S:S,"-",0)</f>
        <v>361.13404000000003</v>
      </c>
    </row>
    <row r="229" spans="1:15" x14ac:dyDescent="0.2">
      <c r="A229" s="8" t="s">
        <v>240</v>
      </c>
      <c r="B229" s="8" cm="1">
        <f t="array" aca="1" ref="B229" ca="1">_xlfn.XLOOKUP(A229,[1]Table2_V5_w3C28!A:A,[1]Table2_V5_w3C28!B:B,nan(),0)</f>
        <v>3.5000000000000003E-2</v>
      </c>
      <c r="C229" s="8" cm="1">
        <f t="array" aca="1" ref="C229" ca="1">_xlfn.XLOOKUP(A229,[1]Table2_V5_w3C28!A:A,[1]Table2_V5_w3C28!D:D,nan(),0)</f>
        <v>254.49209999999999</v>
      </c>
      <c r="D229" s="8" cm="1">
        <f t="array" aca="1" ref="D229" ca="1">_xlfn.XLOOKUP(A229,[1]Table2_V5_w3C28!A:A,[1]Table2_V5_w3C28!E:E,nan(),0)</f>
        <v>27.854299999999999</v>
      </c>
      <c r="E229" s="1">
        <f>_xlfn.XLOOKUP($A229,[1]Table7_badETA!$A:$A,[1]Table7_badETA!C:C,"-",0)</f>
        <v>1.959E-2</v>
      </c>
      <c r="F229" s="1">
        <f>_xlfn.XLOOKUP($A229,[1]Table7_badETA!$A:$A,[1]Table7_badETA!E:E,"-",0)</f>
        <v>2.117E-3</v>
      </c>
      <c r="G229" s="5">
        <f>_xlfn.XLOOKUP($A229,[1]Table7_badETA!$A:$A,[1]Table7_badETA!F:F,"-",0)</f>
        <v>1.29E-7</v>
      </c>
      <c r="H229" s="6">
        <f>_xlfn.XLOOKUP($A229,[1]Table7_badETA!$A:$A,[1]Table7_badETA!H:H,"-",0)</f>
        <v>5.2700000000000002E-8</v>
      </c>
      <c r="I229" s="2">
        <f>_xlfn.XLOOKUP($A229,[1]Table7_badETA!$A:$A,[1]Table7_badETA!M:M,"-",0)</f>
        <v>0.97919999999999996</v>
      </c>
      <c r="J229" s="2">
        <f>_xlfn.XLOOKUP($A229,[1]Table7_badETA!$A:$A,[1]Table7_badETA!O:O,"-",0)</f>
        <v>1.0120000000000001E-2</v>
      </c>
      <c r="K229" s="2">
        <f>_xlfn.XLOOKUP($A229,[1]morph_04R500.dat!$A:$A,[1]morph_04R500.dat!P:P,"-",0)</f>
        <v>-81.2</v>
      </c>
      <c r="L229" s="2">
        <f>_xlfn.XLOOKUP($A229,[1]morph_04R500.dat!$A:$A,[1]morph_04R500.dat!R:R,"-",0)</f>
        <v>8.9870000000000001</v>
      </c>
      <c r="M229" s="2">
        <f>_xlfn.XLOOKUP($A229,[1]Table7_badETA!$A:$A,[1]Table7_badETA!T:T,"-",0)</f>
        <v>0.42619697345571816</v>
      </c>
      <c r="N229" s="2">
        <f>_xlfn.XLOOKUP($A229,[1]Table7_badETA!$A:$A,[1]Table7_badETA!U:U,"-",0)</f>
        <v>2.131659538815266E-2</v>
      </c>
      <c r="O229" s="7">
        <f>_xlfn.XLOOKUP($A229,[1]Table7_badETA!$A:$A,[1]Table7_badETA!S:S,"-",0)</f>
        <v>276.16388999999998</v>
      </c>
    </row>
    <row r="230" spans="1:15" x14ac:dyDescent="0.2">
      <c r="A230" s="8" t="s">
        <v>241</v>
      </c>
      <c r="B230" s="8" cm="1">
        <f t="array" aca="1" ref="B230" ca="1">_xlfn.XLOOKUP(A230,[1]Table2_V5_w3C28!A:A,[1]Table2_V5_w3C28!B:B,nan(),0)</f>
        <v>8.2000000000000003E-2</v>
      </c>
      <c r="C230" s="8" cm="1">
        <f t="array" aca="1" ref="C230" ca="1">_xlfn.XLOOKUP(A230,[1]Table2_V5_w3C28!A:A,[1]Table2_V5_w3C28!D:D,nan(),0)</f>
        <v>257.43810000000002</v>
      </c>
      <c r="D230" s="8" cm="1">
        <f t="array" aca="1" ref="D230" ca="1">_xlfn.XLOOKUP(A230,[1]Table2_V5_w3C28!A:A,[1]Table2_V5_w3C28!E:E,nan(),0)</f>
        <v>34.455199999999998</v>
      </c>
      <c r="E230" s="1">
        <f>_xlfn.XLOOKUP($A230,[1]Table7_badETA!$A:$A,[1]Table7_badETA!C:C,"-",0)</f>
        <v>0.41549999999999998</v>
      </c>
      <c r="F230" s="1">
        <f>_xlfn.XLOOKUP($A230,[1]Table7_badETA!$A:$A,[1]Table7_badETA!E:E,"-",0)</f>
        <v>8.5699999999999995E-3</v>
      </c>
      <c r="G230" s="5">
        <f>_xlfn.XLOOKUP($A230,[1]Table7_badETA!$A:$A,[1]Table7_badETA!F:F,"-",0)</f>
        <v>1.9299999999999999E-7</v>
      </c>
      <c r="H230" s="6">
        <f>_xlfn.XLOOKUP($A230,[1]Table7_badETA!$A:$A,[1]Table7_badETA!H:H,"-",0)</f>
        <v>1.02E-7</v>
      </c>
      <c r="I230" s="2">
        <f>_xlfn.XLOOKUP($A230,[1]Table7_badETA!$A:$A,[1]Table7_badETA!M:M,"-",0)</f>
        <v>0.91900000000000004</v>
      </c>
      <c r="J230" s="2">
        <f>_xlfn.XLOOKUP($A230,[1]Table7_badETA!$A:$A,[1]Table7_badETA!O:O,"-",0)</f>
        <v>1.7659999999999999E-2</v>
      </c>
      <c r="K230" s="2">
        <f>_xlfn.XLOOKUP($A230,[1]morph_04R500.dat!$A:$A,[1]morph_04R500.dat!P:P,"-",0)</f>
        <v>83.06</v>
      </c>
      <c r="L230" s="2">
        <f>_xlfn.XLOOKUP($A230,[1]morph_04R500.dat!$A:$A,[1]morph_04R500.dat!R:R,"-",0)</f>
        <v>3.2240000000000002</v>
      </c>
      <c r="M230" s="2">
        <f>_xlfn.XLOOKUP($A230,[1]Table7_badETA!$A:$A,[1]Table7_badETA!T:T,"-",0)</f>
        <v>0.27188476998660116</v>
      </c>
      <c r="N230" s="2">
        <f>_xlfn.XLOOKUP($A230,[1]Table7_badETA!$A:$A,[1]Table7_badETA!U:U,"-",0)</f>
        <v>1.0940128258253492E-2</v>
      </c>
      <c r="O230" s="7">
        <f>_xlfn.XLOOKUP($A230,[1]Table7_badETA!$A:$A,[1]Table7_badETA!S:S,"-",0)</f>
        <v>441.03514000000001</v>
      </c>
    </row>
    <row r="231" spans="1:15" x14ac:dyDescent="0.2">
      <c r="A231" s="8" t="s">
        <v>242</v>
      </c>
      <c r="B231" s="8" cm="1">
        <f t="array" aca="1" ref="B231" ca="1">_xlfn.XLOOKUP(A231,[1]Table2_V5_w3C28!A:A,[1]Table2_V5_w3C28!B:B,nan(),0)</f>
        <v>0.16400000000000001</v>
      </c>
      <c r="C231" s="8" cm="1">
        <f t="array" aca="1" ref="C231" ca="1">_xlfn.XLOOKUP(A231,[1]Table2_V5_w3C28!A:A,[1]Table2_V5_w3C28!D:D,nan(),0)</f>
        <v>260.04160000000002</v>
      </c>
      <c r="D231" s="8" cm="1">
        <f t="array" aca="1" ref="D231" ca="1">_xlfn.XLOOKUP(A231,[1]Table2_V5_w3C28!A:A,[1]Table2_V5_w3C28!E:E,nan(),0)</f>
        <v>26.6251</v>
      </c>
      <c r="E231" s="1">
        <f>_xlfn.XLOOKUP($A231,[1]Table7_badETA!$A:$A,[1]Table7_badETA!C:C,"-",0)</f>
        <v>2.7369999999999998E-2</v>
      </c>
      <c r="F231" s="1">
        <f>_xlfn.XLOOKUP($A231,[1]Table7_badETA!$A:$A,[1]Table7_badETA!E:E,"-",0)</f>
        <v>2.2790000000000002E-3</v>
      </c>
      <c r="G231" s="5">
        <f>_xlfn.XLOOKUP($A231,[1]Table7_badETA!$A:$A,[1]Table7_badETA!F:F,"-",0)</f>
        <v>1E-8</v>
      </c>
      <c r="H231" s="6">
        <f>_xlfn.XLOOKUP($A231,[1]Table7_badETA!$A:$A,[1]Table7_badETA!H:H,"-",0)</f>
        <v>4.6299999999999999E-9</v>
      </c>
      <c r="I231" s="2">
        <f>_xlfn.XLOOKUP($A231,[1]Table7_badETA!$A:$A,[1]Table7_badETA!M:M,"-",0)</f>
        <v>0.90800000000000003</v>
      </c>
      <c r="J231" s="2">
        <f>_xlfn.XLOOKUP($A231,[1]Table7_badETA!$A:$A,[1]Table7_badETA!O:O,"-",0)</f>
        <v>4.2469999999999999E-3</v>
      </c>
      <c r="K231" s="2">
        <f>_xlfn.XLOOKUP($A231,[1]morph_04R500.dat!$A:$A,[1]morph_04R500.dat!P:P,"-",0)</f>
        <v>14.54</v>
      </c>
      <c r="L231" s="2">
        <f>_xlfn.XLOOKUP($A231,[1]morph_04R500.dat!$A:$A,[1]morph_04R500.dat!R:R,"-",0)</f>
        <v>1.4159999999999999</v>
      </c>
      <c r="M231" s="2">
        <f>_xlfn.XLOOKUP($A231,[1]Table7_badETA!$A:$A,[1]Table7_badETA!T:T,"-",0)</f>
        <v>0.73032782384273243</v>
      </c>
      <c r="N231" s="2">
        <f>_xlfn.XLOOKUP($A231,[1]Table7_badETA!$A:$A,[1]Table7_badETA!U:U,"-",0)</f>
        <v>4.3524363826135861E-3</v>
      </c>
      <c r="O231" s="7">
        <f>_xlfn.XLOOKUP($A231,[1]Table7_badETA!$A:$A,[1]Table7_badETA!S:S,"-",0)</f>
        <v>508.62709999999998</v>
      </c>
    </row>
    <row r="232" spans="1:15" x14ac:dyDescent="0.2">
      <c r="A232" s="8" t="s">
        <v>243</v>
      </c>
      <c r="B232" s="8" cm="1">
        <f t="array" aca="1" ref="B232" ca="1">_xlfn.XLOOKUP(A232,[1]Table2_V5_w3C28!A:A,[1]Table2_V5_w3C28!B:B,nan(),0)</f>
        <v>0.39100000000000001</v>
      </c>
      <c r="C232" s="8" cm="1">
        <f t="array" aca="1" ref="C232" ca="1">_xlfn.XLOOKUP(A232,[1]Table2_V5_w3C28!A:A,[1]Table2_V5_w3C28!D:D,nan(),0)</f>
        <v>260.07010000000002</v>
      </c>
      <c r="D232" s="8" cm="1">
        <f t="array" aca="1" ref="D232" ca="1">_xlfn.XLOOKUP(A232,[1]Table2_V5_w3C28!A:A,[1]Table2_V5_w3C28!E:E,nan(),0)</f>
        <v>35.607300000000002</v>
      </c>
      <c r="E232" s="1">
        <f>_xlfn.XLOOKUP($A232,[1]Table7_badETA!$A:$A,[1]Table7_badETA!C:C,"-",0)</f>
        <v>2.903E-2</v>
      </c>
      <c r="F232" s="1">
        <f>_xlfn.XLOOKUP($A232,[1]Table7_badETA!$A:$A,[1]Table7_badETA!E:E,"-",0)</f>
        <v>2.3240000000000001E-3</v>
      </c>
      <c r="G232" s="5">
        <f>_xlfn.XLOOKUP($A232,[1]Table7_badETA!$A:$A,[1]Table7_badETA!F:F,"-",0)</f>
        <v>4.0800000000000001E-8</v>
      </c>
      <c r="H232" s="6">
        <f>_xlfn.XLOOKUP($A232,[1]Table7_badETA!$A:$A,[1]Table7_badETA!H:H,"-",0)</f>
        <v>3.0799999999999998E-8</v>
      </c>
      <c r="I232" s="2">
        <f>_xlfn.XLOOKUP($A232,[1]Table7_badETA!$A:$A,[1]Table7_badETA!M:M,"-",0)</f>
        <v>0.92979999999999996</v>
      </c>
      <c r="J232" s="2">
        <f>_xlfn.XLOOKUP($A232,[1]Table7_badETA!$A:$A,[1]Table7_badETA!O:O,"-",0)</f>
        <v>4.845E-2</v>
      </c>
      <c r="K232" s="2">
        <f>_xlfn.XLOOKUP($A232,[1]morph_04R500.dat!$A:$A,[1]morph_04R500.dat!P:P,"-",0)</f>
        <v>1.93</v>
      </c>
      <c r="L232" s="2">
        <f>_xlfn.XLOOKUP($A232,[1]morph_04R500.dat!$A:$A,[1]morph_04R500.dat!R:R,"-",0)</f>
        <v>3.2679999999999998</v>
      </c>
      <c r="M232" s="2">
        <f>_xlfn.XLOOKUP($A232,[1]Table7_badETA!$A:$A,[1]Table7_badETA!T:T,"-",0)</f>
        <v>0.6333333333333333</v>
      </c>
      <c r="N232" s="2">
        <f>_xlfn.XLOOKUP($A232,[1]Table7_badETA!$A:$A,[1]Table7_badETA!U:U,"-",0)</f>
        <v>9.2241689514613728E-3</v>
      </c>
      <c r="O232" s="7">
        <f>_xlfn.XLOOKUP($A232,[1]Table7_badETA!$A:$A,[1]Table7_badETA!S:S,"-",0)</f>
        <v>481.48475000000002</v>
      </c>
    </row>
    <row r="233" spans="1:15" x14ac:dyDescent="0.2">
      <c r="A233" s="8" t="s">
        <v>244</v>
      </c>
      <c r="B233" s="8" cm="1">
        <f t="array" aca="1" ref="B233" ca="1">_xlfn.XLOOKUP(A233,[1]Table2_V5_w3C28!A:A,[1]Table2_V5_w3C28!B:B,nan(),0)</f>
        <v>0.224</v>
      </c>
      <c r="C233" s="8" cm="1">
        <f t="array" aca="1" ref="C233" ca="1">_xlfn.XLOOKUP(A233,[1]Table2_V5_w3C28!A:A,[1]Table2_V5_w3C28!D:D,nan(),0)</f>
        <v>260.61329999999998</v>
      </c>
      <c r="D233" s="8" cm="1">
        <f t="array" aca="1" ref="D233" ca="1">_xlfn.XLOOKUP(A233,[1]Table2_V5_w3C28!A:A,[1]Table2_V5_w3C28!E:E,nan(),0)</f>
        <v>32.132800000000003</v>
      </c>
      <c r="E233" s="1">
        <f>_xlfn.XLOOKUP($A233,[1]Table7_badETA!$A:$A,[1]Table7_badETA!C:C,"-",0)</f>
        <v>1.8579999999999999E-2</v>
      </c>
      <c r="F233" s="1">
        <f>_xlfn.XLOOKUP($A233,[1]Table7_badETA!$A:$A,[1]Table7_badETA!E:E,"-",0)</f>
        <v>1.137E-3</v>
      </c>
      <c r="G233" s="5">
        <f>_xlfn.XLOOKUP($A233,[1]Table7_badETA!$A:$A,[1]Table7_badETA!F:F,"-",0)</f>
        <v>3.4100000000000001E-8</v>
      </c>
      <c r="H233" s="6">
        <f>_xlfn.XLOOKUP($A233,[1]Table7_badETA!$A:$A,[1]Table7_badETA!H:H,"-",0)</f>
        <v>1.7E-8</v>
      </c>
      <c r="I233" s="2">
        <f>_xlfn.XLOOKUP($A233,[1]Table7_badETA!$A:$A,[1]Table7_badETA!M:M,"-",0)</f>
        <v>0.93630000000000002</v>
      </c>
      <c r="J233" s="2">
        <f>_xlfn.XLOOKUP($A233,[1]Table7_badETA!$A:$A,[1]Table7_badETA!O:O,"-",0)</f>
        <v>6.4609999999999997E-3</v>
      </c>
      <c r="K233" s="2">
        <f>_xlfn.XLOOKUP($A233,[1]morph_04R500.dat!$A:$A,[1]morph_04R500.dat!P:P,"-",0)</f>
        <v>62.3</v>
      </c>
      <c r="L233" s="2">
        <f>_xlfn.XLOOKUP($A233,[1]morph_04R500.dat!$A:$A,[1]morph_04R500.dat!R:R,"-",0)</f>
        <v>2.8540000000000001</v>
      </c>
      <c r="M233" s="2">
        <f>_xlfn.XLOOKUP($A233,[1]Table7_badETA!$A:$A,[1]Table7_badETA!T:T,"-",0)</f>
        <v>0.62559829817408263</v>
      </c>
      <c r="N233" s="2">
        <f>_xlfn.XLOOKUP($A233,[1]Table7_badETA!$A:$A,[1]Table7_badETA!U:U,"-",0)</f>
        <v>6.9521864762325395E-3</v>
      </c>
      <c r="O233" s="7">
        <f>_xlfn.XLOOKUP($A233,[1]Table7_badETA!$A:$A,[1]Table7_badETA!S:S,"-",0)</f>
        <v>541.274</v>
      </c>
    </row>
    <row r="234" spans="1:15" x14ac:dyDescent="0.2">
      <c r="A234" s="8" t="s">
        <v>245</v>
      </c>
      <c r="B234" s="8" cm="1">
        <f t="array" aca="1" ref="B234" ca="1">_xlfn.XLOOKUP(A234,[1]Table2_V5_w3C28!A:A,[1]Table2_V5_w3C28!B:B,nan(),0)</f>
        <v>0.157</v>
      </c>
      <c r="C234" s="8" cm="1">
        <f t="array" aca="1" ref="C234" ca="1">_xlfn.XLOOKUP(A234,[1]Table2_V5_w3C28!A:A,[1]Table2_V5_w3C28!D:D,nan(),0)</f>
        <v>266.81130000000002</v>
      </c>
      <c r="D234" s="8" cm="1">
        <f t="array" aca="1" ref="D234" ca="1">_xlfn.XLOOKUP(A234,[1]Table2_V5_w3C28!A:A,[1]Table2_V5_w3C28!E:E,nan(),0)</f>
        <v>45.196800000000003</v>
      </c>
      <c r="E234" s="1">
        <f>_xlfn.XLOOKUP($A234,[1]Table7_badETA!$A:$A,[1]Table7_badETA!C:C,"-",0)</f>
        <v>6.1080000000000002E-2</v>
      </c>
      <c r="F234" s="1">
        <f>_xlfn.XLOOKUP($A234,[1]Table7_badETA!$A:$A,[1]Table7_badETA!E:E,"-",0)</f>
        <v>1.2659999999999999E-2</v>
      </c>
      <c r="G234" s="5">
        <f>_xlfn.XLOOKUP($A234,[1]Table7_badETA!$A:$A,[1]Table7_badETA!F:F,"-",0)</f>
        <v>3.5199999999999998E-7</v>
      </c>
      <c r="H234" s="6">
        <f>_xlfn.XLOOKUP($A234,[1]Table7_badETA!$A:$A,[1]Table7_badETA!H:H,"-",0)</f>
        <v>2.0100000000000001E-7</v>
      </c>
      <c r="I234" s="2">
        <f>_xlfn.XLOOKUP($A234,[1]Table7_badETA!$A:$A,[1]Table7_badETA!M:M,"-",0)</f>
        <v>0.89149999999999996</v>
      </c>
      <c r="J234" s="2">
        <f>_xlfn.XLOOKUP($A234,[1]Table7_badETA!$A:$A,[1]Table7_badETA!O:O,"-",0)</f>
        <v>9.2599999999999991E-3</v>
      </c>
      <c r="K234" s="2">
        <f>_xlfn.XLOOKUP($A234,[1]morph_04R500.dat!$A:$A,[1]morph_04R500.dat!P:P,"-",0)</f>
        <v>11.51</v>
      </c>
      <c r="L234" s="2">
        <f>_xlfn.XLOOKUP($A234,[1]morph_04R500.dat!$A:$A,[1]morph_04R500.dat!R:R,"-",0)</f>
        <v>3.0779999999999998</v>
      </c>
      <c r="M234" s="2">
        <f>_xlfn.XLOOKUP($A234,[1]Table7_badETA!$A:$A,[1]Table7_badETA!T:T,"-",0)</f>
        <v>0.21084462982273203</v>
      </c>
      <c r="N234" s="2">
        <f>_xlfn.XLOOKUP($A234,[1]Table7_badETA!$A:$A,[1]Table7_badETA!U:U,"-",0)</f>
        <v>1.7895362758072741E-2</v>
      </c>
      <c r="O234" s="7">
        <f>_xlfn.XLOOKUP($A234,[1]Table7_badETA!$A:$A,[1]Table7_badETA!S:S,"-",0)</f>
        <v>393.38833</v>
      </c>
    </row>
    <row r="235" spans="1:15" x14ac:dyDescent="0.2">
      <c r="A235" s="8" t="s">
        <v>246</v>
      </c>
      <c r="B235" s="8" cm="1">
        <f t="array" aca="1" ref="B235" ca="1">_xlfn.XLOOKUP(A235,[1]Table2_V5_w3C28!A:A,[1]Table2_V5_w3C28!B:B,nan(),0)</f>
        <v>0.17100000000000001</v>
      </c>
      <c r="C235" s="8" cm="1">
        <f t="array" aca="1" ref="C235" ca="1">_xlfn.XLOOKUP(A235,[1]Table2_V5_w3C28!A:A,[1]Table2_V5_w3C28!D:D,nan(),0)</f>
        <v>267.57040000000001</v>
      </c>
      <c r="D235" s="8" cm="1">
        <f t="array" aca="1" ref="D235" ca="1">_xlfn.XLOOKUP(A235,[1]Table2_V5_w3C28!A:A,[1]Table2_V5_w3C28!E:E,nan(),0)</f>
        <v>35.082799999999999</v>
      </c>
      <c r="E235" s="1">
        <f>_xlfn.XLOOKUP($A235,[1]Table7_badETA!$A:$A,[1]Table7_badETA!C:C,"-",0)</f>
        <v>2.3859999999999999E-2</v>
      </c>
      <c r="F235" s="1">
        <f>_xlfn.XLOOKUP($A235,[1]Table7_badETA!$A:$A,[1]Table7_badETA!E:E,"-",0)</f>
        <v>2.8509999999999998E-3</v>
      </c>
      <c r="G235" s="5">
        <f>_xlfn.XLOOKUP($A235,[1]Table7_badETA!$A:$A,[1]Table7_badETA!F:F,"-",0)</f>
        <v>4.3100000000000002E-8</v>
      </c>
      <c r="H235" s="6">
        <f>_xlfn.XLOOKUP($A235,[1]Table7_badETA!$A:$A,[1]Table7_badETA!H:H,"-",0)</f>
        <v>3.4599999999999999E-8</v>
      </c>
      <c r="I235" s="2">
        <f>_xlfn.XLOOKUP($A235,[1]Table7_badETA!$A:$A,[1]Table7_badETA!M:M,"-",0)</f>
        <v>0.90700000000000003</v>
      </c>
      <c r="J235" s="2">
        <f>_xlfn.XLOOKUP($A235,[1]Table7_badETA!$A:$A,[1]Table7_badETA!O:O,"-",0)</f>
        <v>5.0799999999999998E-2</v>
      </c>
      <c r="K235" s="2">
        <f>_xlfn.XLOOKUP($A235,[1]morph_04R500.dat!$A:$A,[1]morph_04R500.dat!P:P,"-",0)</f>
        <v>-86.4</v>
      </c>
      <c r="L235" s="2">
        <f>_xlfn.XLOOKUP($A235,[1]morph_04R500.dat!$A:$A,[1]morph_04R500.dat!R:R,"-",0)</f>
        <v>3.42</v>
      </c>
      <c r="M235" s="2">
        <f>_xlfn.XLOOKUP($A235,[1]Table7_badETA!$A:$A,[1]Table7_badETA!T:T,"-",0)</f>
        <v>0.67851373182552499</v>
      </c>
      <c r="N235" s="2">
        <f>_xlfn.XLOOKUP($A235,[1]Table7_badETA!$A:$A,[1]Table7_badETA!U:U,"-",0)</f>
        <v>1.2889851980771709E-2</v>
      </c>
      <c r="O235" s="7">
        <f>_xlfn.XLOOKUP($A235,[1]Table7_badETA!$A:$A,[1]Table7_badETA!S:S,"-",0)</f>
        <v>395.71321</v>
      </c>
    </row>
    <row r="236" spans="1:15" x14ac:dyDescent="0.2">
      <c r="A236" s="8" t="s">
        <v>247</v>
      </c>
      <c r="B236" s="8" cm="1">
        <f t="array" aca="1" ref="B236" ca="1">_xlfn.XLOOKUP(A236,[1]Table2_V5_w3C28!A:A,[1]Table2_V5_w3C28!B:B,nan(),0)</f>
        <v>0.152</v>
      </c>
      <c r="C236" s="8" cm="1">
        <f t="array" aca="1" ref="C236" ca="1">_xlfn.XLOOKUP(A236,[1]Table2_V5_w3C28!A:A,[1]Table2_V5_w3C28!D:D,nan(),0)</f>
        <v>271.13099999999997</v>
      </c>
      <c r="D236" s="8" cm="1">
        <f t="array" aca="1" ref="D236" ca="1">_xlfn.XLOOKUP(A236,[1]Table2_V5_w3C28!A:A,[1]Table2_V5_w3C28!E:E,nan(),0)</f>
        <v>10.0571</v>
      </c>
      <c r="E236" s="1">
        <f>_xlfn.XLOOKUP($A236,[1]Table7_badETA!$A:$A,[1]Table7_badETA!C:C,"-",0)</f>
        <v>8.1360000000000002E-2</v>
      </c>
      <c r="F236" s="1">
        <f>_xlfn.XLOOKUP($A236,[1]Table7_badETA!$A:$A,[1]Table7_badETA!E:E,"-",0)</f>
        <v>1.9840000000000001E-3</v>
      </c>
      <c r="G236" s="5">
        <f>_xlfn.XLOOKUP($A236,[1]Table7_badETA!$A:$A,[1]Table7_badETA!F:F,"-",0)</f>
        <v>7.3499999999999996E-9</v>
      </c>
      <c r="H236" s="6">
        <f>_xlfn.XLOOKUP($A236,[1]Table7_badETA!$A:$A,[1]Table7_badETA!H:H,"-",0)</f>
        <v>1.3200000000000001E-8</v>
      </c>
      <c r="I236" s="2">
        <f>_xlfn.XLOOKUP($A236,[1]Table7_badETA!$A:$A,[1]Table7_badETA!M:M,"-",0)</f>
        <v>0.85319999999999996</v>
      </c>
      <c r="J236" s="2">
        <f>_xlfn.XLOOKUP($A236,[1]Table7_badETA!$A:$A,[1]Table7_badETA!O:O,"-",0)</f>
        <v>9.9290000000000003E-3</v>
      </c>
      <c r="K236" s="2">
        <f>_xlfn.XLOOKUP($A236,[1]morph_04R500.dat!$A:$A,[1]morph_04R500.dat!P:P,"-",0)</f>
        <v>53.1</v>
      </c>
      <c r="L236" s="2">
        <f>_xlfn.XLOOKUP($A236,[1]morph_04R500.dat!$A:$A,[1]morph_04R500.dat!R:R,"-",0)</f>
        <v>1.9219999999999999</v>
      </c>
      <c r="M236" s="2">
        <f>_xlfn.XLOOKUP($A236,[1]Table7_badETA!$A:$A,[1]Table7_badETA!T:T,"-",0)</f>
        <v>0.50069204152249136</v>
      </c>
      <c r="N236" s="2">
        <f>_xlfn.XLOOKUP($A236,[1]Table7_badETA!$A:$A,[1]Table7_badETA!U:U,"-",0)</f>
        <v>1.0696428755109766E-2</v>
      </c>
      <c r="O236" s="7">
        <f>_xlfn.XLOOKUP($A236,[1]Table7_badETA!$A:$A,[1]Table7_badETA!S:S,"-",0)</f>
        <v>491.82905</v>
      </c>
    </row>
    <row r="237" spans="1:15" x14ac:dyDescent="0.2">
      <c r="A237" s="8" t="s">
        <v>248</v>
      </c>
      <c r="B237" s="8" cm="1">
        <f t="array" aca="1" ref="B237" ca="1">_xlfn.XLOOKUP(A237,[1]Table2_V5_w3C28!A:A,[1]Table2_V5_w3C28!B:B,nan(),0)</f>
        <v>0.29699999999999999</v>
      </c>
      <c r="C237" s="8" cm="1">
        <f t="array" aca="1" ref="C237" ca="1">_xlfn.XLOOKUP(A237,[1]Table2_V5_w3C28!A:A,[1]Table2_V5_w3C28!D:D,nan(),0)</f>
        <v>275.48759999999999</v>
      </c>
      <c r="D237" s="8" cm="1">
        <f t="array" aca="1" ref="D237" ca="1">_xlfn.XLOOKUP(A237,[1]Table2_V5_w3C28!A:A,[1]Table2_V5_w3C28!E:E,nan(),0)</f>
        <v>64.343800000000002</v>
      </c>
      <c r="E237" s="1">
        <f>_xlfn.XLOOKUP($A237,[1]Table7_badETA!$A:$A,[1]Table7_badETA!C:C,"-",0)</f>
        <v>2.264E-2</v>
      </c>
      <c r="F237" s="1">
        <f>_xlfn.XLOOKUP($A237,[1]Table7_badETA!$A:$A,[1]Table7_badETA!E:E,"-",0)</f>
        <v>5.486E-4</v>
      </c>
      <c r="G237" s="5">
        <f>_xlfn.XLOOKUP($A237,[1]Table7_badETA!$A:$A,[1]Table7_badETA!F:F,"-",0)</f>
        <v>2.4599999999999999E-8</v>
      </c>
      <c r="H237" s="6">
        <f>_xlfn.XLOOKUP($A237,[1]Table7_badETA!$A:$A,[1]Table7_badETA!H:H,"-",0)</f>
        <v>7.3499999999999996E-9</v>
      </c>
      <c r="I237" s="2">
        <f>_xlfn.XLOOKUP($A237,[1]Table7_badETA!$A:$A,[1]Table7_badETA!M:M,"-",0)</f>
        <v>0.92430000000000001</v>
      </c>
      <c r="J237" s="2">
        <f>_xlfn.XLOOKUP($A237,[1]Table7_badETA!$A:$A,[1]Table7_badETA!O:O,"-",0)</f>
        <v>3.1459999999999999E-3</v>
      </c>
      <c r="K237" s="2">
        <f>_xlfn.XLOOKUP($A237,[1]morph_04R500.dat!$A:$A,[1]morph_04R500.dat!P:P,"-",0)</f>
        <v>-57.41</v>
      </c>
      <c r="L237" s="2">
        <f>_xlfn.XLOOKUP($A237,[1]morph_04R500.dat!$A:$A,[1]morph_04R500.dat!R:R,"-",0)</f>
        <v>1.24</v>
      </c>
      <c r="M237" s="2" t="str">
        <f>_xlfn.XLOOKUP($A237,[1]Table7_badETA!$A:$A,[1]Table7_badETA!T:T,"-",0)</f>
        <v>-</v>
      </c>
      <c r="N237" s="2" t="str">
        <f>_xlfn.XLOOKUP($A237,[1]Table7_badETA!$A:$A,[1]Table7_badETA!U:U,"-",0)</f>
        <v>-</v>
      </c>
      <c r="O237" s="7">
        <f>_xlfn.XLOOKUP($A237,[1]Table7_badETA!$A:$A,[1]Table7_badETA!S:S,"-",0)</f>
        <v>570.74216000000001</v>
      </c>
    </row>
    <row r="238" spans="1:15" x14ac:dyDescent="0.2">
      <c r="A238" s="8" t="s">
        <v>249</v>
      </c>
      <c r="B238" s="8" cm="1">
        <f t="array" aca="1" ref="B238" ca="1">_xlfn.XLOOKUP(A238,[1]Table2_V5_w3C28!A:A,[1]Table2_V5_w3C28!B:B,nan(),0)</f>
        <v>0.48699999999999999</v>
      </c>
      <c r="C238" s="8" cm="1">
        <f t="array" aca="1" ref="C238" ca="1">_xlfn.XLOOKUP(A238,[1]Table2_V5_w3C28!A:A,[1]Table2_V5_w3C28!D:D,nan(),0)</f>
        <v>276.07920000000001</v>
      </c>
      <c r="D238" s="8" cm="1">
        <f t="array" aca="1" ref="D238" ca="1">_xlfn.XLOOKUP(A238,[1]Table2_V5_w3C28!A:A,[1]Table2_V5_w3C28!E:E,nan(),0)</f>
        <v>43.163499999999999</v>
      </c>
      <c r="E238" s="1">
        <f>_xlfn.XLOOKUP($A238,[1]Table7_badETA!$A:$A,[1]Table7_badETA!C:C,"-",0)</f>
        <v>4.8320000000000002E-2</v>
      </c>
      <c r="F238" s="1">
        <f>_xlfn.XLOOKUP($A238,[1]Table7_badETA!$A:$A,[1]Table7_badETA!E:E,"-",0)</f>
        <v>1.0019999999999999E-2</v>
      </c>
      <c r="G238" s="5">
        <f>_xlfn.XLOOKUP($A238,[1]Table7_badETA!$A:$A,[1]Table7_badETA!F:F,"-",0)</f>
        <v>1.3799999999999999E-6</v>
      </c>
      <c r="H238" s="6">
        <f>_xlfn.XLOOKUP($A238,[1]Table7_badETA!$A:$A,[1]Table7_badETA!H:H,"-",0)</f>
        <v>1.04E-6</v>
      </c>
      <c r="I238" s="2">
        <f>_xlfn.XLOOKUP($A238,[1]Table7_badETA!$A:$A,[1]Table7_badETA!M:M,"-",0)</f>
        <v>0.96889999999999998</v>
      </c>
      <c r="J238" s="2">
        <f>_xlfn.XLOOKUP($A238,[1]Table7_badETA!$A:$A,[1]Table7_badETA!O:O,"-",0)</f>
        <v>3.6409999999999998E-2</v>
      </c>
      <c r="K238" s="2">
        <f>_xlfn.XLOOKUP($A238,[1]morph_04R500.dat!$A:$A,[1]morph_04R500.dat!P:P,"-",0)</f>
        <v>-49.9</v>
      </c>
      <c r="L238" s="2">
        <f>_xlfn.XLOOKUP($A238,[1]morph_04R500.dat!$A:$A,[1]morph_04R500.dat!R:R,"-",0)</f>
        <v>34.380000000000003</v>
      </c>
      <c r="M238" s="2" t="str">
        <f>_xlfn.XLOOKUP($A238,[1]Table7_badETA!$A:$A,[1]Table7_badETA!T:T,"-",0)</f>
        <v>-</v>
      </c>
      <c r="N238" s="2" t="str">
        <f>_xlfn.XLOOKUP($A238,[1]Table7_badETA!$A:$A,[1]Table7_badETA!U:U,"-",0)</f>
        <v>-</v>
      </c>
      <c r="O238" s="7">
        <f>_xlfn.XLOOKUP($A238,[1]Table7_badETA!$A:$A,[1]Table7_badETA!S:S,"-",0)</f>
        <v>430.28980000000001</v>
      </c>
    </row>
    <row r="239" spans="1:15" x14ac:dyDescent="0.2">
      <c r="A239" s="8" t="s">
        <v>250</v>
      </c>
      <c r="B239" s="8" cm="1">
        <f t="array" aca="1" ref="B239" ca="1">_xlfn.XLOOKUP(A239,[1]Table2_V5_w3C28!A:A,[1]Table2_V5_w3C28!B:B,nan(),0)</f>
        <v>0.20300000000000001</v>
      </c>
      <c r="C239" s="8" cm="1">
        <f t="array" aca="1" ref="C239" ca="1">_xlfn.XLOOKUP(A239,[1]Table2_V5_w3C28!A:A,[1]Table2_V5_w3C28!D:D,nan(),0)</f>
        <v>277.27350000000001</v>
      </c>
      <c r="D239" s="8" cm="1">
        <f t="array" aca="1" ref="D239" ca="1">_xlfn.XLOOKUP(A239,[1]Table2_V5_w3C28!A:A,[1]Table2_V5_w3C28!E:E,nan(),0)</f>
        <v>69.235299999999995</v>
      </c>
      <c r="E239" s="1">
        <f>_xlfn.XLOOKUP($A239,[1]Table7_badETA!$A:$A,[1]Table7_badETA!C:C,"-",0)</f>
        <v>3.637E-2</v>
      </c>
      <c r="F239" s="1">
        <f>_xlfn.XLOOKUP($A239,[1]Table7_badETA!$A:$A,[1]Table7_badETA!E:E,"-",0)</f>
        <v>2.4870000000000001E-3</v>
      </c>
      <c r="G239" s="5">
        <f>_xlfn.XLOOKUP($A239,[1]Table7_badETA!$A:$A,[1]Table7_badETA!F:F,"-",0)</f>
        <v>4.9700000000000002E-8</v>
      </c>
      <c r="H239" s="6">
        <f>_xlfn.XLOOKUP($A239,[1]Table7_badETA!$A:$A,[1]Table7_badETA!H:H,"-",0)</f>
        <v>4.5200000000000001E-8</v>
      </c>
      <c r="I239" s="2">
        <f>_xlfn.XLOOKUP($A239,[1]Table7_badETA!$A:$A,[1]Table7_badETA!M:M,"-",0)</f>
        <v>0.92430000000000001</v>
      </c>
      <c r="J239" s="2">
        <f>_xlfn.XLOOKUP($A239,[1]Table7_badETA!$A:$A,[1]Table7_badETA!O:O,"-",0)</f>
        <v>4.904E-2</v>
      </c>
      <c r="K239" s="2">
        <f>_xlfn.XLOOKUP($A239,[1]morph_04R500.dat!$A:$A,[1]morph_04R500.dat!P:P,"-",0)</f>
        <v>-88.8</v>
      </c>
      <c r="L239" s="2">
        <f>_xlfn.XLOOKUP($A239,[1]morph_04R500.dat!$A:$A,[1]morph_04R500.dat!R:R,"-",0)</f>
        <v>3.762</v>
      </c>
      <c r="M239" s="2">
        <f>_xlfn.XLOOKUP($A239,[1]Table7_badETA!$A:$A,[1]Table7_badETA!T:T,"-",0)</f>
        <v>0.63400221593007511</v>
      </c>
      <c r="N239" s="2">
        <f>_xlfn.XLOOKUP($A239,[1]Table7_badETA!$A:$A,[1]Table7_badETA!U:U,"-",0)</f>
        <v>1.7696652570083446E-2</v>
      </c>
      <c r="O239" s="7">
        <f>_xlfn.XLOOKUP($A239,[1]Table7_badETA!$A:$A,[1]Table7_badETA!S:S,"-",0)</f>
        <v>359.64695999999998</v>
      </c>
    </row>
    <row r="240" spans="1:15" x14ac:dyDescent="0.2">
      <c r="A240" s="8" t="s">
        <v>251</v>
      </c>
      <c r="B240" s="8" cm="1">
        <f t="array" aca="1" ref="B240" ca="1">_xlfn.XLOOKUP(A240,[1]Table2_V5_w3C28!A:A,[1]Table2_V5_w3C28!B:B,nan(),0)</f>
        <v>0.109</v>
      </c>
      <c r="C240" s="8" cm="1">
        <f t="array" aca="1" ref="C240" ca="1">_xlfn.XLOOKUP(A240,[1]Table2_V5_w3C28!A:A,[1]Table2_V5_w3C28!D:D,nan(),0)</f>
        <v>283.03579999999999</v>
      </c>
      <c r="D240" s="8" cm="1">
        <f t="array" aca="1" ref="D240" ca="1">_xlfn.XLOOKUP(A240,[1]Table2_V5_w3C28!A:A,[1]Table2_V5_w3C28!E:E,nan(),0)</f>
        <v>57.194899999999997</v>
      </c>
      <c r="E240" s="1">
        <f>_xlfn.XLOOKUP($A240,[1]Table7_badETA!$A:$A,[1]Table7_badETA!C:C,"-",0)</f>
        <v>1.7569999999999999E-2</v>
      </c>
      <c r="F240" s="1">
        <f>_xlfn.XLOOKUP($A240,[1]Table7_badETA!$A:$A,[1]Table7_badETA!E:E,"-",0)</f>
        <v>2.0089999999999999E-3</v>
      </c>
      <c r="G240" s="5">
        <f>_xlfn.XLOOKUP($A240,[1]Table7_badETA!$A:$A,[1]Table7_badETA!F:F,"-",0)</f>
        <v>4.2699999999999999E-8</v>
      </c>
      <c r="H240" s="6">
        <f>_xlfn.XLOOKUP($A240,[1]Table7_badETA!$A:$A,[1]Table7_badETA!H:H,"-",0)</f>
        <v>3.5000000000000002E-8</v>
      </c>
      <c r="I240" s="2">
        <f>_xlfn.XLOOKUP($A240,[1]Table7_badETA!$A:$A,[1]Table7_badETA!M:M,"-",0)</f>
        <v>0.90310000000000001</v>
      </c>
      <c r="J240" s="2">
        <f>_xlfn.XLOOKUP($A240,[1]Table7_badETA!$A:$A,[1]Table7_badETA!O:O,"-",0)</f>
        <v>8.8830000000000003E-3</v>
      </c>
      <c r="K240" s="2">
        <f>_xlfn.XLOOKUP($A240,[1]morph_04R500.dat!$A:$A,[1]morph_04R500.dat!P:P,"-",0)</f>
        <v>67.62</v>
      </c>
      <c r="L240" s="2">
        <f>_xlfn.XLOOKUP($A240,[1]morph_04R500.dat!$A:$A,[1]morph_04R500.dat!R:R,"-",0)</f>
        <v>2.4689999999999999</v>
      </c>
      <c r="M240" s="2">
        <f>_xlfn.XLOOKUP($A240,[1]Table7_badETA!$A:$A,[1]Table7_badETA!T:T,"-",0)</f>
        <v>0.61329588014981273</v>
      </c>
      <c r="N240" s="2">
        <f>_xlfn.XLOOKUP($A240,[1]Table7_badETA!$A:$A,[1]Table7_badETA!U:U,"-",0)</f>
        <v>1.5192045637511481E-2</v>
      </c>
      <c r="O240" s="7">
        <f>_xlfn.XLOOKUP($A240,[1]Table7_badETA!$A:$A,[1]Table7_badETA!S:S,"-",0)</f>
        <v>389.99248</v>
      </c>
    </row>
    <row r="241" spans="1:15" x14ac:dyDescent="0.2">
      <c r="A241" s="8" t="s">
        <v>252</v>
      </c>
      <c r="B241" s="8" cm="1">
        <f t="array" aca="1" ref="B241" ca="1">_xlfn.XLOOKUP(A241,[1]Table2_V5_w3C28!A:A,[1]Table2_V5_w3C28!B:B,nan(),0)</f>
        <v>0.35199999999999998</v>
      </c>
      <c r="C241" s="8" cm="1">
        <f t="array" aca="1" ref="C241" ca="1">_xlfn.XLOOKUP(A241,[1]Table2_V5_w3C28!A:A,[1]Table2_V5_w3C28!D:D,nan(),0)</f>
        <v>292.95690000000002</v>
      </c>
      <c r="D241" s="8" cm="1">
        <f t="array" aca="1" ref="D241" ca="1">_xlfn.XLOOKUP(A241,[1]Table2_V5_w3C28!A:A,[1]Table2_V5_w3C28!E:E,nan(),0)</f>
        <v>-26.575900000000001</v>
      </c>
      <c r="E241" s="1">
        <f>_xlfn.XLOOKUP($A241,[1]Table7_badETA!$A:$A,[1]Table7_badETA!C:C,"-",0)</f>
        <v>3.8969999999999998E-2</v>
      </c>
      <c r="F241" s="1">
        <f>_xlfn.XLOOKUP($A241,[1]Table7_badETA!$A:$A,[1]Table7_badETA!E:E,"-",0)</f>
        <v>7.9659999999999996E-4</v>
      </c>
      <c r="G241" s="5">
        <f>_xlfn.XLOOKUP($A241,[1]Table7_badETA!$A:$A,[1]Table7_badETA!F:F,"-",0)</f>
        <v>7.2799999999999997E-9</v>
      </c>
      <c r="H241" s="6">
        <f>_xlfn.XLOOKUP($A241,[1]Table7_badETA!$A:$A,[1]Table7_badETA!H:H,"-",0)</f>
        <v>5.62E-9</v>
      </c>
      <c r="I241" s="2">
        <f>_xlfn.XLOOKUP($A241,[1]Table7_badETA!$A:$A,[1]Table7_badETA!M:M,"-",0)</f>
        <v>0.82830000000000004</v>
      </c>
      <c r="J241" s="2">
        <f>_xlfn.XLOOKUP($A241,[1]Table7_badETA!$A:$A,[1]Table7_badETA!O:O,"-",0)</f>
        <v>4.849E-3</v>
      </c>
      <c r="K241" s="2">
        <f>_xlfn.XLOOKUP($A241,[1]morph_04R500.dat!$A:$A,[1]morph_04R500.dat!P:P,"-",0)</f>
        <v>-2.819</v>
      </c>
      <c r="L241" s="2">
        <f>_xlfn.XLOOKUP($A241,[1]morph_04R500.dat!$A:$A,[1]morph_04R500.dat!R:R,"-",0)</f>
        <v>0.77059999999999995</v>
      </c>
      <c r="M241" s="2">
        <f>_xlfn.XLOOKUP($A241,[1]Table7_badETA!$A:$A,[1]Table7_badETA!T:T,"-",0)</f>
        <v>0.74406438631790739</v>
      </c>
      <c r="N241" s="2">
        <f>_xlfn.XLOOKUP($A241,[1]Table7_badETA!$A:$A,[1]Table7_badETA!U:U,"-",0)</f>
        <v>3.3502359166885775E-3</v>
      </c>
      <c r="O241" s="7">
        <f>_xlfn.XLOOKUP($A241,[1]Table7_badETA!$A:$A,[1]Table7_badETA!S:S,"-",0)</f>
        <v>484.17525999999998</v>
      </c>
    </row>
    <row r="242" spans="1:15" x14ac:dyDescent="0.2">
      <c r="A242" s="8" t="s">
        <v>253</v>
      </c>
      <c r="B242" s="8" cm="1">
        <f t="array" aca="1" ref="B242" ca="1">_xlfn.XLOOKUP(A242,[1]Table2_V5_w3C28!A:A,[1]Table2_V5_w3C28!B:B,nan(),0)</f>
        <v>0.109</v>
      </c>
      <c r="C242" s="8" cm="1">
        <f t="array" aca="1" ref="C242" ca="1">_xlfn.XLOOKUP(A242,[1]Table2_V5_w3C28!A:A,[1]Table2_V5_w3C28!D:D,nan(),0)</f>
        <v>298.26409999999998</v>
      </c>
      <c r="D242" s="8" cm="1">
        <f t="array" aca="1" ref="D242" ca="1">_xlfn.XLOOKUP(A242,[1]Table2_V5_w3C28!A:A,[1]Table2_V5_w3C28!E:E,nan(),0)</f>
        <v>-52.036900000000003</v>
      </c>
      <c r="E242" s="1">
        <f>_xlfn.XLOOKUP($A242,[1]Table7_badETA!$A:$A,[1]Table7_badETA!C:C,"-",0)</f>
        <v>0.2218</v>
      </c>
      <c r="F242" s="1">
        <f>_xlfn.XLOOKUP($A242,[1]Table7_badETA!$A:$A,[1]Table7_badETA!E:E,"-",0)</f>
        <v>4.5570000000000003E-3</v>
      </c>
      <c r="G242" s="5">
        <f>_xlfn.XLOOKUP($A242,[1]Table7_badETA!$A:$A,[1]Table7_badETA!F:F,"-",0)</f>
        <v>9.9299999999999996E-8</v>
      </c>
      <c r="H242" s="6">
        <f>_xlfn.XLOOKUP($A242,[1]Table7_badETA!$A:$A,[1]Table7_badETA!H:H,"-",0)</f>
        <v>4.7699999999999997E-8</v>
      </c>
      <c r="I242" s="2">
        <f>_xlfn.XLOOKUP($A242,[1]Table7_badETA!$A:$A,[1]Table7_badETA!M:M,"-",0)</f>
        <v>0.96120000000000005</v>
      </c>
      <c r="J242" s="2">
        <f>_xlfn.XLOOKUP($A242,[1]Table7_badETA!$A:$A,[1]Table7_badETA!O:O,"-",0)</f>
        <v>5.4089999999999997E-3</v>
      </c>
      <c r="K242" s="2">
        <f>_xlfn.XLOOKUP($A242,[1]morph_04R500.dat!$A:$A,[1]morph_04R500.dat!P:P,"-",0)</f>
        <v>-55.45</v>
      </c>
      <c r="L242" s="2">
        <f>_xlfn.XLOOKUP($A242,[1]morph_04R500.dat!$A:$A,[1]morph_04R500.dat!R:R,"-",0)</f>
        <v>4.2549999999999999</v>
      </c>
      <c r="M242" s="2">
        <f>_xlfn.XLOOKUP($A242,[1]Table7_badETA!$A:$A,[1]Table7_badETA!T:T,"-",0)</f>
        <v>0.29307440800554835</v>
      </c>
      <c r="N242" s="2">
        <f>_xlfn.XLOOKUP($A242,[1]Table7_badETA!$A:$A,[1]Table7_badETA!U:U,"-",0)</f>
        <v>1.3246911499051252E-2</v>
      </c>
      <c r="O242" s="7">
        <f>_xlfn.XLOOKUP($A242,[1]Table7_badETA!$A:$A,[1]Table7_badETA!S:S,"-",0)</f>
        <v>415.11741000000001</v>
      </c>
    </row>
    <row r="243" spans="1:15" x14ac:dyDescent="0.2">
      <c r="A243" s="8" t="s">
        <v>254</v>
      </c>
      <c r="B243" s="8" cm="1">
        <f t="array" aca="1" ref="B243" ca="1">_xlfn.XLOOKUP(A243,[1]Table2_V5_w3C28!A:A,[1]Table2_V5_w3C28!B:B,nan(),0)</f>
        <v>0.11700000000000001</v>
      </c>
      <c r="C243" s="8" cm="1">
        <f t="array" aca="1" ref="C243" ca="1">_xlfn.XLOOKUP(A243,[1]Table2_V5_w3C28!A:A,[1]Table2_V5_w3C28!D:D,nan(),0)</f>
        <v>299.56240000000003</v>
      </c>
      <c r="D243" s="8" cm="1">
        <f t="array" aca="1" ref="D243" ca="1">_xlfn.XLOOKUP(A243,[1]Table2_V5_w3C28!A:A,[1]Table2_V5_w3C28!E:E,nan(),0)</f>
        <v>-30.186599999999999</v>
      </c>
      <c r="E243" s="1">
        <f>_xlfn.XLOOKUP($A243,[1]Table7_badETA!$A:$A,[1]Table7_badETA!C:C,"-",0)</f>
        <v>2.7529999999999999E-2</v>
      </c>
      <c r="F243" s="1">
        <f>_xlfn.XLOOKUP($A243,[1]Table7_badETA!$A:$A,[1]Table7_badETA!E:E,"-",0)</f>
        <v>5.2110000000000004E-3</v>
      </c>
      <c r="G243" s="5">
        <f>_xlfn.XLOOKUP($A243,[1]Table7_badETA!$A:$A,[1]Table7_badETA!F:F,"-",0)</f>
        <v>1.9000000000000001E-7</v>
      </c>
      <c r="H243" s="6">
        <f>_xlfn.XLOOKUP($A243,[1]Table7_badETA!$A:$A,[1]Table7_badETA!H:H,"-",0)</f>
        <v>1.6E-7</v>
      </c>
      <c r="I243" s="2">
        <f>_xlfn.XLOOKUP($A243,[1]Table7_badETA!$A:$A,[1]Table7_badETA!M:M,"-",0)</f>
        <v>0.92500000000000004</v>
      </c>
      <c r="J243" s="2">
        <f>_xlfn.XLOOKUP($A243,[1]Table7_badETA!$A:$A,[1]Table7_badETA!O:O,"-",0)</f>
        <v>1.5900000000000001E-2</v>
      </c>
      <c r="K243" s="2">
        <f>_xlfn.XLOOKUP($A243,[1]morph_04R500.dat!$A:$A,[1]morph_04R500.dat!P:P,"-",0)</f>
        <v>-14.6</v>
      </c>
      <c r="L243" s="2">
        <f>_xlfn.XLOOKUP($A243,[1]morph_04R500.dat!$A:$A,[1]morph_04R500.dat!R:R,"-",0)</f>
        <v>5.9649999999999999</v>
      </c>
      <c r="M243" s="2" t="str">
        <f>_xlfn.XLOOKUP($A243,[1]Table7_badETA!$A:$A,[1]Table7_badETA!T:T,"-",0)</f>
        <v>-</v>
      </c>
      <c r="N243" s="2" t="str">
        <f>_xlfn.XLOOKUP($A243,[1]Table7_badETA!$A:$A,[1]Table7_badETA!U:U,"-",0)</f>
        <v>-</v>
      </c>
      <c r="O243" s="7">
        <f>_xlfn.XLOOKUP($A243,[1]Table7_badETA!$A:$A,[1]Table7_badETA!S:S,"-",0)</f>
        <v>327.08501000000001</v>
      </c>
    </row>
    <row r="244" spans="1:15" x14ac:dyDescent="0.2">
      <c r="A244" s="8" t="s">
        <v>255</v>
      </c>
      <c r="B244" s="8" cm="1">
        <f t="array" aca="1" ref="B244" ca="1">_xlfn.XLOOKUP(A244,[1]Table2_V5_w3C28!A:A,[1]Table2_V5_w3C28!B:B,nan(),0)</f>
        <v>0.317</v>
      </c>
      <c r="C244" s="8" cm="1">
        <f t="array" aca="1" ref="C244" ca="1">_xlfn.XLOOKUP(A244,[1]Table2_V5_w3C28!A:A,[1]Table2_V5_w3C28!D:D,nan(),0)</f>
        <v>300.87130000000002</v>
      </c>
      <c r="D244" s="8" cm="1">
        <f t="array" aca="1" ref="D244" ca="1">_xlfn.XLOOKUP(A244,[1]Table2_V5_w3C28!A:A,[1]Table2_V5_w3C28!E:E,nan(),0)</f>
        <v>-23.3734</v>
      </c>
      <c r="E244" s="1">
        <f>_xlfn.XLOOKUP($A244,[1]Table7_badETA!$A:$A,[1]Table7_badETA!C:C,"-",0)</f>
        <v>0.1636</v>
      </c>
      <c r="F244" s="1">
        <f>_xlfn.XLOOKUP($A244,[1]Table7_badETA!$A:$A,[1]Table7_badETA!E:E,"-",0)</f>
        <v>6.8199999999999997E-3</v>
      </c>
      <c r="G244" s="5">
        <f>_xlfn.XLOOKUP($A244,[1]Table7_badETA!$A:$A,[1]Table7_badETA!F:F,"-",0)</f>
        <v>1.2800000000000001E-7</v>
      </c>
      <c r="H244" s="6">
        <f>_xlfn.XLOOKUP($A244,[1]Table7_badETA!$A:$A,[1]Table7_badETA!H:H,"-",0)</f>
        <v>1.17E-7</v>
      </c>
      <c r="I244" s="2">
        <f>_xlfn.XLOOKUP($A244,[1]Table7_badETA!$A:$A,[1]Table7_badETA!M:M,"-",0)</f>
        <v>0.91279999999999994</v>
      </c>
      <c r="J244" s="2">
        <f>_xlfn.XLOOKUP($A244,[1]Table7_badETA!$A:$A,[1]Table7_badETA!O:O,"-",0)</f>
        <v>6.0210000000000003E-3</v>
      </c>
      <c r="K244" s="2">
        <f>_xlfn.XLOOKUP($A244,[1]morph_04R500.dat!$A:$A,[1]morph_04R500.dat!P:P,"-",0)</f>
        <v>-54.51</v>
      </c>
      <c r="L244" s="2">
        <f>_xlfn.XLOOKUP($A244,[1]morph_04R500.dat!$A:$A,[1]morph_04R500.dat!R:R,"-",0)</f>
        <v>2.339</v>
      </c>
      <c r="M244" s="2">
        <f>_xlfn.XLOOKUP($A244,[1]Table7_badETA!$A:$A,[1]Table7_badETA!T:T,"-",0)</f>
        <v>0.24171476278630805</v>
      </c>
      <c r="N244" s="2">
        <f>_xlfn.XLOOKUP($A244,[1]Table7_badETA!$A:$A,[1]Table7_badETA!U:U,"-",0)</f>
        <v>7.24963590209338E-3</v>
      </c>
      <c r="O244" s="7">
        <f>_xlfn.XLOOKUP($A244,[1]Table7_badETA!$A:$A,[1]Table7_badETA!S:S,"-",0)</f>
        <v>533.21900000000005</v>
      </c>
    </row>
    <row r="245" spans="1:15" x14ac:dyDescent="0.2">
      <c r="A245" s="8" t="s">
        <v>256</v>
      </c>
      <c r="B245" s="8" cm="1">
        <f t="array" aca="1" ref="B245" ca="1">_xlfn.XLOOKUP(A245,[1]Table2_V5_w3C28!A:A,[1]Table2_V5_w3C28!B:B,nan(),0)</f>
        <v>0.27900000000000003</v>
      </c>
      <c r="C245" s="8" cm="1">
        <f t="array" aca="1" ref="C245" ca="1">_xlfn.XLOOKUP(A245,[1]Table2_V5_w3C28!A:A,[1]Table2_V5_w3C28!D:D,nan(),0)</f>
        <v>302.86219999999997</v>
      </c>
      <c r="D245" s="8" cm="1">
        <f t="array" aca="1" ref="D245" ca="1">_xlfn.XLOOKUP(A245,[1]Table2_V5_w3C28!A:A,[1]Table2_V5_w3C28!E:E,nan(),0)</f>
        <v>-57.419899999999998</v>
      </c>
      <c r="E245" s="1">
        <f>_xlfn.XLOOKUP($A245,[1]Table7_badETA!$A:$A,[1]Table7_badETA!C:C,"-",0)</f>
        <v>1.8519999999999998E-2</v>
      </c>
      <c r="F245" s="1">
        <f>_xlfn.XLOOKUP($A245,[1]Table7_badETA!$A:$A,[1]Table7_badETA!E:E,"-",0)</f>
        <v>4.2690000000000002E-3</v>
      </c>
      <c r="G245" s="5">
        <f>_xlfn.XLOOKUP($A245,[1]Table7_badETA!$A:$A,[1]Table7_badETA!F:F,"-",0)</f>
        <v>8.7500000000000006E-9</v>
      </c>
      <c r="H245" s="6">
        <f>_xlfn.XLOOKUP($A245,[1]Table7_badETA!$A:$A,[1]Table7_badETA!H:H,"-",0)</f>
        <v>3.1900000000000001E-8</v>
      </c>
      <c r="I245" s="2">
        <f>_xlfn.XLOOKUP($A245,[1]Table7_badETA!$A:$A,[1]Table7_badETA!M:M,"-",0)</f>
        <v>0.87560000000000004</v>
      </c>
      <c r="J245" s="2">
        <f>_xlfn.XLOOKUP($A245,[1]Table7_badETA!$A:$A,[1]Table7_badETA!O:O,"-",0)</f>
        <v>3.7479999999999999E-2</v>
      </c>
      <c r="K245" s="2">
        <f>_xlfn.XLOOKUP($A245,[1]morph_04R500.dat!$A:$A,[1]morph_04R500.dat!P:P,"-",0)</f>
        <v>-84.42</v>
      </c>
      <c r="L245" s="2">
        <f>_xlfn.XLOOKUP($A245,[1]morph_04R500.dat!$A:$A,[1]morph_04R500.dat!R:R,"-",0)</f>
        <v>3.22</v>
      </c>
      <c r="M245" s="2">
        <f>_xlfn.XLOOKUP($A245,[1]Table7_badETA!$A:$A,[1]Table7_badETA!T:T,"-",0)</f>
        <v>0.63536347844396479</v>
      </c>
      <c r="N245" s="2">
        <f>_xlfn.XLOOKUP($A245,[1]Table7_badETA!$A:$A,[1]Table7_badETA!U:U,"-",0)</f>
        <v>2.1580094933414447E-2</v>
      </c>
      <c r="O245" s="7">
        <f>_xlfn.XLOOKUP($A245,[1]Table7_badETA!$A:$A,[1]Table7_badETA!S:S,"-",0)</f>
        <v>336.79732000000001</v>
      </c>
    </row>
    <row r="246" spans="1:15" x14ac:dyDescent="0.2">
      <c r="A246" s="8" t="s">
        <v>257</v>
      </c>
      <c r="B246" s="8" cm="1">
        <f t="array" aca="1" ref="B246" ca="1">_xlfn.XLOOKUP(A246,[1]Table2_V5_w3C28!A:A,[1]Table2_V5_w3C28!B:B,nan(),0)</f>
        <v>5.6000000000000001E-2</v>
      </c>
      <c r="C246" s="8" cm="1">
        <f t="array" aca="1" ref="C246" ca="1">_xlfn.XLOOKUP(A246,[1]Table2_V5_w3C28!A:A,[1]Table2_V5_w3C28!D:D,nan(),0)</f>
        <v>303.17520000000002</v>
      </c>
      <c r="D246" s="8" cm="1">
        <f t="array" aca="1" ref="D246" ca="1">_xlfn.XLOOKUP(A246,[1]Table2_V5_w3C28!A:A,[1]Table2_V5_w3C28!E:E,nan(),0)</f>
        <v>-56.847099999999998</v>
      </c>
      <c r="E246" s="1">
        <f>_xlfn.XLOOKUP($A246,[1]Table7_badETA!$A:$A,[1]Table7_badETA!C:C,"-",0)</f>
        <v>2.435E-2</v>
      </c>
      <c r="F246" s="1">
        <f>_xlfn.XLOOKUP($A246,[1]Table7_badETA!$A:$A,[1]Table7_badETA!E:E,"-",0)</f>
        <v>1.8420000000000001E-3</v>
      </c>
      <c r="G246" s="5">
        <f>_xlfn.XLOOKUP($A246,[1]Table7_badETA!$A:$A,[1]Table7_badETA!F:F,"-",0)</f>
        <v>3.2599999999999998E-7</v>
      </c>
      <c r="H246" s="6">
        <f>_xlfn.XLOOKUP($A246,[1]Table7_badETA!$A:$A,[1]Table7_badETA!H:H,"-",0)</f>
        <v>6.5899999999999998E-9</v>
      </c>
      <c r="I246" s="2">
        <f>_xlfn.XLOOKUP($A246,[1]Table7_badETA!$A:$A,[1]Table7_badETA!M:M,"-",0)</f>
        <v>0.93100000000000005</v>
      </c>
      <c r="J246" s="2">
        <f>_xlfn.XLOOKUP($A246,[1]Table7_badETA!$A:$A,[1]Table7_badETA!O:O,"-",0)</f>
        <v>8.8270000000000004E-4</v>
      </c>
      <c r="K246" s="2">
        <f>_xlfn.XLOOKUP($A246,[1]morph_04R500.dat!$A:$A,[1]morph_04R500.dat!P:P,"-",0)</f>
        <v>57.84</v>
      </c>
      <c r="L246" s="2">
        <f>_xlfn.XLOOKUP($A246,[1]morph_04R500.dat!$A:$A,[1]morph_04R500.dat!R:R,"-",0)</f>
        <v>0.376</v>
      </c>
      <c r="M246" s="2">
        <f>_xlfn.XLOOKUP($A246,[1]Table7_badETA!$A:$A,[1]Table7_badETA!T:T,"-",0)</f>
        <v>0.50824679291386676</v>
      </c>
      <c r="N246" s="2">
        <f>_xlfn.XLOOKUP($A246,[1]Table7_badETA!$A:$A,[1]Table7_badETA!U:U,"-",0)</f>
        <v>1.569172703046525E-3</v>
      </c>
      <c r="O246" s="7">
        <f>_xlfn.XLOOKUP($A246,[1]Table7_badETA!$A:$A,[1]Table7_badETA!S:S,"-",0)</f>
        <v>505.38634000000002</v>
      </c>
    </row>
    <row r="247" spans="1:15" x14ac:dyDescent="0.2">
      <c r="A247" s="8" t="s">
        <v>258</v>
      </c>
      <c r="B247" s="8" cm="1">
        <f t="array" aca="1" ref="B247" ca="1">_xlfn.XLOOKUP(A247,[1]Table2_V5_w3C28!A:A,[1]Table2_V5_w3C28!B:B,nan(),0)</f>
        <v>0.34200000000000003</v>
      </c>
      <c r="C247" s="8" cm="1">
        <f t="array" aca="1" ref="C247" ca="1">_xlfn.XLOOKUP(A247,[1]Table2_V5_w3C28!A:A,[1]Table2_V5_w3C28!D:D,nan(),0)</f>
        <v>307.96019999999999</v>
      </c>
      <c r="D247" s="8" cm="1">
        <f t="array" aca="1" ref="D247" ca="1">_xlfn.XLOOKUP(A247,[1]Table2_V5_w3C28!A:A,[1]Table2_V5_w3C28!E:E,nan(),0)</f>
        <v>-40.6252</v>
      </c>
      <c r="E247" s="1">
        <f>_xlfn.XLOOKUP($A247,[1]Table7_badETA!$A:$A,[1]Table7_badETA!C:C,"-",0)</f>
        <v>5.8479999999999997E-2</v>
      </c>
      <c r="F247" s="1">
        <f>_xlfn.XLOOKUP($A247,[1]Table7_badETA!$A:$A,[1]Table7_badETA!E:E,"-",0)</f>
        <v>7.6519999999999999E-3</v>
      </c>
      <c r="G247" s="5">
        <f>_xlfn.XLOOKUP($A247,[1]Table7_badETA!$A:$A,[1]Table7_badETA!F:F,"-",0)</f>
        <v>6.2399999999999998E-7</v>
      </c>
      <c r="H247" s="6">
        <f>_xlfn.XLOOKUP($A247,[1]Table7_badETA!$A:$A,[1]Table7_badETA!H:H,"-",0)</f>
        <v>2.4600000000000001E-7</v>
      </c>
      <c r="I247" s="2">
        <f>_xlfn.XLOOKUP($A247,[1]Table7_badETA!$A:$A,[1]Table7_badETA!M:M,"-",0)</f>
        <v>0.9345</v>
      </c>
      <c r="J247" s="2">
        <f>_xlfn.XLOOKUP($A247,[1]Table7_badETA!$A:$A,[1]Table7_badETA!O:O,"-",0)</f>
        <v>3.3419999999999998E-2</v>
      </c>
      <c r="K247" s="2">
        <f>_xlfn.XLOOKUP($A247,[1]morph_04R500.dat!$A:$A,[1]morph_04R500.dat!P:P,"-",0)</f>
        <v>-79.44</v>
      </c>
      <c r="L247" s="2">
        <f>_xlfn.XLOOKUP($A247,[1]morph_04R500.dat!$A:$A,[1]morph_04R500.dat!R:R,"-",0)</f>
        <v>8.5060000000000002</v>
      </c>
      <c r="M247" s="2" t="str">
        <f>_xlfn.XLOOKUP($A247,[1]Table7_badETA!$A:$A,[1]Table7_badETA!T:T,"-",0)</f>
        <v>-</v>
      </c>
      <c r="N247" s="2" t="str">
        <f>_xlfn.XLOOKUP($A247,[1]Table7_badETA!$A:$A,[1]Table7_badETA!U:U,"-",0)</f>
        <v>-</v>
      </c>
      <c r="O247" s="7">
        <f>_xlfn.XLOOKUP($A247,[1]Table7_badETA!$A:$A,[1]Table7_badETA!S:S,"-",0)</f>
        <v>443.07632000000001</v>
      </c>
    </row>
    <row r="248" spans="1:15" x14ac:dyDescent="0.2">
      <c r="A248" s="8" t="s">
        <v>259</v>
      </c>
      <c r="B248" s="8" cm="1">
        <f t="array" aca="1" ref="B248" ca="1">_xlfn.XLOOKUP(A248,[1]Table2_V5_w3C28!A:A,[1]Table2_V5_w3C28!B:B,nan(),0)</f>
        <v>8.8999999999999996E-2</v>
      </c>
      <c r="C248" s="8" cm="1">
        <f t="array" aca="1" ref="C248" ca="1">_xlfn.XLOOKUP(A248,[1]Table2_V5_w3C28!A:A,[1]Table2_V5_w3C28!D:D,nan(),0)</f>
        <v>308.68880000000001</v>
      </c>
      <c r="D248" s="8" cm="1">
        <f t="array" aca="1" ref="D248" ca="1">_xlfn.XLOOKUP(A248,[1]Table2_V5_w3C28!A:A,[1]Table2_V5_w3C28!E:E,nan(),0)</f>
        <v>-35.811999999999998</v>
      </c>
      <c r="E248" s="1">
        <f>_xlfn.XLOOKUP($A248,[1]Table7_badETA!$A:$A,[1]Table7_badETA!C:C,"-",0)</f>
        <v>7.8090000000000007E-2</v>
      </c>
      <c r="F248" s="1">
        <f>_xlfn.XLOOKUP($A248,[1]Table7_badETA!$A:$A,[1]Table7_badETA!E:E,"-",0)</f>
        <v>9.0869999999999996E-3</v>
      </c>
      <c r="G248" s="5">
        <f>_xlfn.XLOOKUP($A248,[1]Table7_badETA!$A:$A,[1]Table7_badETA!F:F,"-",0)</f>
        <v>1.07E-8</v>
      </c>
      <c r="H248" s="6">
        <f>_xlfn.XLOOKUP($A248,[1]Table7_badETA!$A:$A,[1]Table7_badETA!H:H,"-",0)</f>
        <v>2.0400000000000001E-8</v>
      </c>
      <c r="I248" s="2">
        <f>_xlfn.XLOOKUP($A248,[1]Table7_badETA!$A:$A,[1]Table7_badETA!M:M,"-",0)</f>
        <v>0.92259999999999998</v>
      </c>
      <c r="J248" s="2">
        <f>_xlfn.XLOOKUP($A248,[1]Table7_badETA!$A:$A,[1]Table7_badETA!O:O,"-",0)</f>
        <v>6.9309999999999997E-3</v>
      </c>
      <c r="K248" s="2">
        <f>_xlfn.XLOOKUP($A248,[1]morph_04R500.dat!$A:$A,[1]morph_04R500.dat!P:P,"-",0)</f>
        <v>-24.12</v>
      </c>
      <c r="L248" s="2">
        <f>_xlfn.XLOOKUP($A248,[1]morph_04R500.dat!$A:$A,[1]morph_04R500.dat!R:R,"-",0)</f>
        <v>2.5950000000000002</v>
      </c>
      <c r="M248" s="2">
        <f>_xlfn.XLOOKUP($A248,[1]Table7_badETA!$A:$A,[1]Table7_badETA!T:T,"-",0)</f>
        <v>0.26820540347110394</v>
      </c>
      <c r="N248" s="2">
        <f>_xlfn.XLOOKUP($A248,[1]Table7_badETA!$A:$A,[1]Table7_badETA!U:U,"-",0)</f>
        <v>8.6847514558959955E-3</v>
      </c>
      <c r="O248" s="7">
        <f>_xlfn.XLOOKUP($A248,[1]Table7_badETA!$A:$A,[1]Table7_badETA!S:S,"-",0)</f>
        <v>499.89177999999998</v>
      </c>
    </row>
    <row r="249" spans="1:15" x14ac:dyDescent="0.2">
      <c r="A249" s="8" t="s">
        <v>260</v>
      </c>
      <c r="B249" s="8" cm="1">
        <f t="array" aca="1" ref="B249" ca="1">_xlfn.XLOOKUP(A249,[1]Table2_V5_w3C28!A:A,[1]Table2_V5_w3C28!B:B,nan(),0)</f>
        <v>0.42299999999999999</v>
      </c>
      <c r="C249" s="8" cm="1">
        <f t="array" aca="1" ref="C249" ca="1">_xlfn.XLOOKUP(A249,[1]Table2_V5_w3C28!A:A,[1]Table2_V5_w3C28!D:D,nan(),0)</f>
        <v>311.50209999999998</v>
      </c>
      <c r="D249" s="8" cm="1">
        <f t="array" aca="1" ref="D249" ca="1">_xlfn.XLOOKUP(A249,[1]Table2_V5_w3C28!A:A,[1]Table2_V5_w3C28!E:E,nan(),0)</f>
        <v>-34.504800000000003</v>
      </c>
      <c r="E249" s="1">
        <f>_xlfn.XLOOKUP($A249,[1]Table7_badETA!$A:$A,[1]Table7_badETA!C:C,"-",0)</f>
        <v>9.2319999999999999E-2</v>
      </c>
      <c r="F249" s="1">
        <f>_xlfn.XLOOKUP($A249,[1]Table7_badETA!$A:$A,[1]Table7_badETA!E:E,"-",0)</f>
        <v>7.5310000000000004E-3</v>
      </c>
      <c r="G249" s="5">
        <f>_xlfn.XLOOKUP($A249,[1]Table7_badETA!$A:$A,[1]Table7_badETA!F:F,"-",0)</f>
        <v>2.37E-8</v>
      </c>
      <c r="H249" s="6">
        <f>_xlfn.XLOOKUP($A249,[1]Table7_badETA!$A:$A,[1]Table7_badETA!H:H,"-",0)</f>
        <v>3.1100000000000001E-8</v>
      </c>
      <c r="I249" s="2">
        <f>_xlfn.XLOOKUP($A249,[1]Table7_badETA!$A:$A,[1]Table7_badETA!M:M,"-",0)</f>
        <v>0.96179999999999999</v>
      </c>
      <c r="J249" s="2">
        <f>_xlfn.XLOOKUP($A249,[1]Table7_badETA!$A:$A,[1]Table7_badETA!O:O,"-",0)</f>
        <v>1.49E-2</v>
      </c>
      <c r="K249" s="2">
        <f>_xlfn.XLOOKUP($A249,[1]morph_04R500.dat!$A:$A,[1]morph_04R500.dat!P:P,"-",0)</f>
        <v>21.27</v>
      </c>
      <c r="L249" s="2">
        <f>_xlfn.XLOOKUP($A249,[1]morph_04R500.dat!$A:$A,[1]morph_04R500.dat!R:R,"-",0)</f>
        <v>10.88</v>
      </c>
      <c r="M249" s="2">
        <f>_xlfn.XLOOKUP($A249,[1]Table7_badETA!$A:$A,[1]Table7_badETA!T:T,"-",0)</f>
        <v>0.73473099751100901</v>
      </c>
      <c r="N249" s="2">
        <f>_xlfn.XLOOKUP($A249,[1]Table7_badETA!$A:$A,[1]Table7_badETA!U:U,"-",0)</f>
        <v>1.3238367448796447E-2</v>
      </c>
      <c r="O249" s="7">
        <f>_xlfn.XLOOKUP($A249,[1]Table7_badETA!$A:$A,[1]Table7_badETA!S:S,"-",0)</f>
        <v>395.87428</v>
      </c>
    </row>
    <row r="250" spans="1:15" x14ac:dyDescent="0.2">
      <c r="A250" s="8" t="s">
        <v>261</v>
      </c>
      <c r="B250" s="8" cm="1">
        <f t="array" aca="1" ref="B250" ca="1">_xlfn.XLOOKUP(A250,[1]Table2_V5_w3C28!A:A,[1]Table2_V5_w3C28!B:B,nan(),0)</f>
        <v>0.32500000000000001</v>
      </c>
      <c r="C250" s="8" cm="1">
        <f t="array" aca="1" ref="C250" ca="1">_xlfn.XLOOKUP(A250,[1]Table2_V5_w3C28!A:A,[1]Table2_V5_w3C28!D:D,nan(),0)</f>
        <v>312.48399999999998</v>
      </c>
      <c r="D250" s="8" cm="1">
        <f t="array" aca="1" ref="D250" ca="1">_xlfn.XLOOKUP(A250,[1]Table2_V5_w3C28!A:A,[1]Table2_V5_w3C28!E:E,nan(),0)</f>
        <v>-32.280299999999997</v>
      </c>
      <c r="E250" s="1">
        <f>_xlfn.XLOOKUP($A250,[1]Table7_badETA!$A:$A,[1]Table7_badETA!C:C,"-",0)</f>
        <v>2.7230000000000001E-2</v>
      </c>
      <c r="F250" s="1">
        <f>_xlfn.XLOOKUP($A250,[1]Table7_badETA!$A:$A,[1]Table7_badETA!E:E,"-",0)</f>
        <v>3.764E-3</v>
      </c>
      <c r="G250" s="5">
        <f>_xlfn.XLOOKUP($A250,[1]Table7_badETA!$A:$A,[1]Table7_badETA!F:F,"-",0)</f>
        <v>1.35E-8</v>
      </c>
      <c r="H250" s="6">
        <f>_xlfn.XLOOKUP($A250,[1]Table7_badETA!$A:$A,[1]Table7_badETA!H:H,"-",0)</f>
        <v>3.0400000000000001E-8</v>
      </c>
      <c r="I250" s="2">
        <f>_xlfn.XLOOKUP($A250,[1]Table7_badETA!$A:$A,[1]Table7_badETA!M:M,"-",0)</f>
        <v>0.87880000000000003</v>
      </c>
      <c r="J250" s="2">
        <f>_xlfn.XLOOKUP($A250,[1]Table7_badETA!$A:$A,[1]Table7_badETA!O:O,"-",0)</f>
        <v>1.0370000000000001E-2</v>
      </c>
      <c r="K250" s="2">
        <f>_xlfn.XLOOKUP($A250,[1]morph_04R500.dat!$A:$A,[1]morph_04R500.dat!P:P,"-",0)</f>
        <v>-12.02</v>
      </c>
      <c r="L250" s="2">
        <f>_xlfn.XLOOKUP($A250,[1]morph_04R500.dat!$A:$A,[1]morph_04R500.dat!R:R,"-",0)</f>
        <v>2.6</v>
      </c>
      <c r="M250" s="2" t="str">
        <f>_xlfn.XLOOKUP($A250,[1]Table7_badETA!$A:$A,[1]Table7_badETA!T:T,"-",0)</f>
        <v>-</v>
      </c>
      <c r="N250" s="2" t="str">
        <f>_xlfn.XLOOKUP($A250,[1]Table7_badETA!$A:$A,[1]Table7_badETA!U:U,"-",0)</f>
        <v>-</v>
      </c>
      <c r="O250" s="7">
        <f>_xlfn.XLOOKUP($A250,[1]Table7_badETA!$A:$A,[1]Table7_badETA!S:S,"-",0)</f>
        <v>470.31256999999999</v>
      </c>
    </row>
    <row r="251" spans="1:15" x14ac:dyDescent="0.2">
      <c r="A251" s="8" t="s">
        <v>262</v>
      </c>
      <c r="B251" s="8" cm="1">
        <f t="array" aca="1" ref="B251" ca="1">_xlfn.XLOOKUP(A251,[1]Table2_V5_w3C28!A:A,[1]Table2_V5_w3C28!B:B,nan(),0)</f>
        <v>0.16500000000000001</v>
      </c>
      <c r="C251" s="8" cm="1">
        <f t="array" aca="1" ref="C251" ca="1">_xlfn.XLOOKUP(A251,[1]Table2_V5_w3C28!A:A,[1]Table2_V5_w3C28!D:D,nan(),0)</f>
        <v>316.07870000000003</v>
      </c>
      <c r="D251" s="8" cm="1">
        <f t="array" aca="1" ref="D251" ca="1">_xlfn.XLOOKUP(A251,[1]Table2_V5_w3C28!A:A,[1]Table2_V5_w3C28!E:E,nan(),0)</f>
        <v>-41.3446</v>
      </c>
      <c r="E251" s="1">
        <f>_xlfn.XLOOKUP($A251,[1]Table7_badETA!$A:$A,[1]Table7_badETA!C:C,"-",0)</f>
        <v>1.9300000000000001E-2</v>
      </c>
      <c r="F251" s="1">
        <f>_xlfn.XLOOKUP($A251,[1]Table7_badETA!$A:$A,[1]Table7_badETA!E:E,"-",0)</f>
        <v>3.7109999999999999E-3</v>
      </c>
      <c r="G251" s="5">
        <f>_xlfn.XLOOKUP($A251,[1]Table7_badETA!$A:$A,[1]Table7_badETA!F:F,"-",0)</f>
        <v>3.2999999999999998E-8</v>
      </c>
      <c r="H251" s="6">
        <f>_xlfn.XLOOKUP($A251,[1]Table7_badETA!$A:$A,[1]Table7_badETA!H:H,"-",0)</f>
        <v>5.2800000000000003E-8</v>
      </c>
      <c r="I251" s="2">
        <f>_xlfn.XLOOKUP($A251,[1]Table7_badETA!$A:$A,[1]Table7_badETA!M:M,"-",0)</f>
        <v>0.94450000000000001</v>
      </c>
      <c r="J251" s="2">
        <f>_xlfn.XLOOKUP($A251,[1]Table7_badETA!$A:$A,[1]Table7_badETA!O:O,"-",0)</f>
        <v>1.0659999999999999E-2</v>
      </c>
      <c r="K251" s="2">
        <f>_xlfn.XLOOKUP($A251,[1]morph_04R500.dat!$A:$A,[1]morph_04R500.dat!P:P,"-",0)</f>
        <v>18.63</v>
      </c>
      <c r="L251" s="2">
        <f>_xlfn.XLOOKUP($A251,[1]morph_04R500.dat!$A:$A,[1]morph_04R500.dat!R:R,"-",0)</f>
        <v>5.8920000000000003</v>
      </c>
      <c r="M251" s="2">
        <f>_xlfn.XLOOKUP($A251,[1]Table7_badETA!$A:$A,[1]Table7_badETA!T:T,"-",0)</f>
        <v>0.43602635228848818</v>
      </c>
      <c r="N251" s="2">
        <f>_xlfn.XLOOKUP($A251,[1]Table7_badETA!$A:$A,[1]Table7_badETA!U:U,"-",0)</f>
        <v>1.6839195527440114E-2</v>
      </c>
      <c r="O251" s="7">
        <f>_xlfn.XLOOKUP($A251,[1]Table7_badETA!$A:$A,[1]Table7_badETA!S:S,"-",0)</f>
        <v>460.96465999999998</v>
      </c>
    </row>
    <row r="252" spans="1:15" x14ac:dyDescent="0.2">
      <c r="A252" s="8" t="s">
        <v>263</v>
      </c>
      <c r="B252" s="8" cm="1">
        <f t="array" aca="1" ref="B252" ca="1">_xlfn.XLOOKUP(A252,[1]Table2_V5_w3C28!A:A,[1]Table2_V5_w3C28!B:B,nan(),0)</f>
        <v>4.9000000000000002E-2</v>
      </c>
      <c r="C252" s="8" cm="1">
        <f t="array" aca="1" ref="C252" ca="1">_xlfn.XLOOKUP(A252,[1]Table2_V5_w3C28!A:A,[1]Table2_V5_w3C28!D:D,nan(),0)</f>
        <v>318.48219999999998</v>
      </c>
      <c r="D252" s="8" cm="1">
        <f t="array" aca="1" ref="D252" ca="1">_xlfn.XLOOKUP(A252,[1]Table2_V5_w3C28!A:A,[1]Table2_V5_w3C28!E:E,nan(),0)</f>
        <v>2.5651999999999999</v>
      </c>
      <c r="E252" s="1">
        <f>_xlfn.XLOOKUP($A252,[1]Table7_badETA!$A:$A,[1]Table7_badETA!C:C,"-",0)</f>
        <v>0.32719999999999999</v>
      </c>
      <c r="F252" s="1">
        <f>_xlfn.XLOOKUP($A252,[1]Table7_badETA!$A:$A,[1]Table7_badETA!E:E,"-",0)</f>
        <v>4.274E-3</v>
      </c>
      <c r="G252" s="5">
        <f>_xlfn.XLOOKUP($A252,[1]Table7_badETA!$A:$A,[1]Table7_badETA!F:F,"-",0)</f>
        <v>4.9599999999999999E-7</v>
      </c>
      <c r="H252" s="6">
        <f>_xlfn.XLOOKUP($A252,[1]Table7_badETA!$A:$A,[1]Table7_badETA!H:H,"-",0)</f>
        <v>9.5999999999999999E-8</v>
      </c>
      <c r="I252" s="2">
        <f>_xlfn.XLOOKUP($A252,[1]Table7_badETA!$A:$A,[1]Table7_badETA!M:M,"-",0)</f>
        <v>0.94950000000000001</v>
      </c>
      <c r="J252" s="2">
        <f>_xlfn.XLOOKUP($A252,[1]Table7_badETA!$A:$A,[1]Table7_badETA!O:O,"-",0)</f>
        <v>7.0190000000000001E-3</v>
      </c>
      <c r="K252" s="2">
        <f>_xlfn.XLOOKUP($A252,[1]morph_04R500.dat!$A:$A,[1]morph_04R500.dat!P:P,"-",0)</f>
        <v>44.82</v>
      </c>
      <c r="L252" s="2">
        <f>_xlfn.XLOOKUP($A252,[1]morph_04R500.dat!$A:$A,[1]morph_04R500.dat!R:R,"-",0)</f>
        <v>3.7789999999999999</v>
      </c>
      <c r="M252" s="2">
        <f>_xlfn.XLOOKUP($A252,[1]Table7_badETA!$A:$A,[1]Table7_badETA!T:T,"-",0)</f>
        <v>0.42131400577142469</v>
      </c>
      <c r="N252" s="2">
        <f>_xlfn.XLOOKUP($A252,[1]Table7_badETA!$A:$A,[1]Table7_badETA!U:U,"-",0)</f>
        <v>1.3893729378720389E-2</v>
      </c>
      <c r="O252" s="7">
        <f>_xlfn.XLOOKUP($A252,[1]Table7_badETA!$A:$A,[1]Table7_badETA!S:S,"-",0)</f>
        <v>400.60640000000001</v>
      </c>
    </row>
    <row r="253" spans="1:15" x14ac:dyDescent="0.2">
      <c r="A253" s="8" t="s">
        <v>264</v>
      </c>
      <c r="B253" s="8" cm="1">
        <f t="array" aca="1" ref="B253" ca="1">_xlfn.XLOOKUP(A253,[1]Table2_V5_w3C28!A:A,[1]Table2_V5_w3C28!B:B,nan(),0)</f>
        <v>0.17649999999999999</v>
      </c>
      <c r="C253" s="8" cm="1">
        <f t="array" aca="1" ref="C253" ca="1">_xlfn.XLOOKUP(A253,[1]Table2_V5_w3C28!A:A,[1]Table2_V5_w3C28!D:D,nan(),0)</f>
        <v>321.78969999999998</v>
      </c>
      <c r="D253" s="8" cm="1">
        <f t="array" aca="1" ref="D253" ca="1">_xlfn.XLOOKUP(A253,[1]Table2_V5_w3C28!A:A,[1]Table2_V5_w3C28!E:E,nan(),0)</f>
        <v>-12.174799999999999</v>
      </c>
      <c r="E253" s="1">
        <f>_xlfn.XLOOKUP($A253,[1]Table7_badETA!$A:$A,[1]Table7_badETA!C:C,"-",0)</f>
        <v>9.0969999999999995E-2</v>
      </c>
      <c r="F253" s="1">
        <f>_xlfn.XLOOKUP($A253,[1]Table7_badETA!$A:$A,[1]Table7_badETA!E:E,"-",0)</f>
        <v>1.2579999999999999E-2</v>
      </c>
      <c r="G253" s="5">
        <f>_xlfn.XLOOKUP($A253,[1]Table7_badETA!$A:$A,[1]Table7_badETA!F:F,"-",0)</f>
        <v>1.3799999999999999E-6</v>
      </c>
      <c r="H253" s="6">
        <f>_xlfn.XLOOKUP($A253,[1]Table7_badETA!$A:$A,[1]Table7_badETA!H:H,"-",0)</f>
        <v>4.2599999999999998E-7</v>
      </c>
      <c r="I253" s="2">
        <f>_xlfn.XLOOKUP($A253,[1]Table7_badETA!$A:$A,[1]Table7_badETA!M:M,"-",0)</f>
        <v>0.84530000000000005</v>
      </c>
      <c r="J253" s="2">
        <f>_xlfn.XLOOKUP($A253,[1]Table7_badETA!$A:$A,[1]Table7_badETA!O:O,"-",0)</f>
        <v>1.072E-2</v>
      </c>
      <c r="K253" s="2">
        <f>_xlfn.XLOOKUP($A253,[1]morph_04R500.dat!$A:$A,[1]morph_04R500.dat!P:P,"-",0)</f>
        <v>77.64</v>
      </c>
      <c r="L253" s="2">
        <f>_xlfn.XLOOKUP($A253,[1]morph_04R500.dat!$A:$A,[1]morph_04R500.dat!R:R,"-",0)</f>
        <v>2.1419999999999999</v>
      </c>
      <c r="M253" s="2">
        <f>_xlfn.XLOOKUP($A253,[1]Table7_badETA!$A:$A,[1]Table7_badETA!T:T,"-",0)</f>
        <v>0.25725617450874344</v>
      </c>
      <c r="N253" s="2">
        <f>_xlfn.XLOOKUP($A253,[1]Table7_badETA!$A:$A,[1]Table7_badETA!U:U,"-",0)</f>
        <v>1.4617047837692274E-2</v>
      </c>
      <c r="O253" s="7">
        <f>_xlfn.XLOOKUP($A253,[1]Table7_badETA!$A:$A,[1]Table7_badETA!S:S,"-",0)</f>
        <v>451.32722999999999</v>
      </c>
    </row>
    <row r="254" spans="1:15" x14ac:dyDescent="0.2">
      <c r="A254" s="8" t="s">
        <v>265</v>
      </c>
      <c r="B254" s="8" cm="1">
        <f t="array" aca="1" ref="B254" ca="1">_xlfn.XLOOKUP(A254,[1]Table2_V5_w3C28!A:A,[1]Table2_V5_w3C28!B:B,nan(),0)</f>
        <v>0.32500000000000001</v>
      </c>
      <c r="C254" s="8" cm="1">
        <f t="array" aca="1" ref="C254" ca="1">_xlfn.XLOOKUP(A254,[1]Table2_V5_w3C28!A:A,[1]Table2_V5_w3C28!D:D,nan(),0)</f>
        <v>323.79590000000002</v>
      </c>
      <c r="D254" s="8" cm="1">
        <f t="array" aca="1" ref="D254" ca="1">_xlfn.XLOOKUP(A254,[1]Table2_V5_w3C28!A:A,[1]Table2_V5_w3C28!E:E,nan(),0)</f>
        <v>-1.0484</v>
      </c>
      <c r="E254" s="1">
        <f>_xlfn.XLOOKUP($A254,[1]Table7_badETA!$A:$A,[1]Table7_badETA!C:C,"-",0)</f>
        <v>2.0559999999999998E-2</v>
      </c>
      <c r="F254" s="1">
        <f>_xlfn.XLOOKUP($A254,[1]Table7_badETA!$A:$A,[1]Table7_badETA!E:E,"-",0)</f>
        <v>4.4279999999999996E-3</v>
      </c>
      <c r="G254" s="5">
        <f>_xlfn.XLOOKUP($A254,[1]Table7_badETA!$A:$A,[1]Table7_badETA!F:F,"-",0)</f>
        <v>3.1300000000000001E-7</v>
      </c>
      <c r="H254" s="6">
        <f>_xlfn.XLOOKUP($A254,[1]Table7_badETA!$A:$A,[1]Table7_badETA!H:H,"-",0)</f>
        <v>1.36E-7</v>
      </c>
      <c r="I254" s="2">
        <f>_xlfn.XLOOKUP($A254,[1]Table7_badETA!$A:$A,[1]Table7_badETA!M:M,"-",0)</f>
        <v>0.92969999999999997</v>
      </c>
      <c r="J254" s="2">
        <f>_xlfn.XLOOKUP($A254,[1]Table7_badETA!$A:$A,[1]Table7_badETA!O:O,"-",0)</f>
        <v>1.09E-2</v>
      </c>
      <c r="K254" s="2">
        <f>_xlfn.XLOOKUP($A254,[1]morph_04R500.dat!$A:$A,[1]morph_04R500.dat!P:P,"-",0)</f>
        <v>40.35</v>
      </c>
      <c r="L254" s="2">
        <f>_xlfn.XLOOKUP($A254,[1]morph_04R500.dat!$A:$A,[1]morph_04R500.dat!R:R,"-",0)</f>
        <v>4.8410000000000002</v>
      </c>
      <c r="M254" s="2" t="str">
        <f>_xlfn.XLOOKUP($A254,[1]Table7_badETA!$A:$A,[1]Table7_badETA!T:T,"-",0)</f>
        <v>-</v>
      </c>
      <c r="N254" s="2" t="str">
        <f>_xlfn.XLOOKUP($A254,[1]Table7_badETA!$A:$A,[1]Table7_badETA!U:U,"-",0)</f>
        <v>-</v>
      </c>
      <c r="O254" s="7">
        <f>_xlfn.XLOOKUP($A254,[1]Table7_badETA!$A:$A,[1]Table7_badETA!S:S,"-",0)</f>
        <v>498.45826</v>
      </c>
    </row>
    <row r="255" spans="1:15" x14ac:dyDescent="0.2">
      <c r="A255" s="8" t="s">
        <v>266</v>
      </c>
      <c r="B255" s="8" cm="1">
        <f t="array" aca="1" ref="B255" ca="1">_xlfn.XLOOKUP(A255,[1]Table2_V5_w3C28!A:A,[1]Table2_V5_w3C28!B:B,nan(),0)</f>
        <v>0.42699999999999999</v>
      </c>
      <c r="C255" s="8" cm="1">
        <f t="array" aca="1" ref="C255" ca="1">_xlfn.XLOOKUP(A255,[1]Table2_V5_w3C28!A:A,[1]Table2_V5_w3C28!D:D,nan(),0)</f>
        <v>323.90940000000001</v>
      </c>
      <c r="D255" s="8" cm="1">
        <f t="array" aca="1" ref="D255" ca="1">_xlfn.XLOOKUP(A255,[1]Table2_V5_w3C28!A:A,[1]Table2_V5_w3C28!E:E,nan(),0)</f>
        <v>-57.441000000000003</v>
      </c>
      <c r="E255" s="1">
        <f>_xlfn.XLOOKUP($A255,[1]Table7_badETA!$A:$A,[1]Table7_badETA!C:C,"-",0)</f>
        <v>3.7150000000000002E-2</v>
      </c>
      <c r="F255" s="1">
        <f>_xlfn.XLOOKUP($A255,[1]Table7_badETA!$A:$A,[1]Table7_badETA!E:E,"-",0)</f>
        <v>6.6049999999999998E-3</v>
      </c>
      <c r="G255" s="5">
        <f>_xlfn.XLOOKUP($A255,[1]Table7_badETA!$A:$A,[1]Table7_badETA!F:F,"-",0)</f>
        <v>3.7499999999999998E-8</v>
      </c>
      <c r="H255" s="6">
        <f>_xlfn.XLOOKUP($A255,[1]Table7_badETA!$A:$A,[1]Table7_badETA!H:H,"-",0)</f>
        <v>1.0700000000000001E-7</v>
      </c>
      <c r="I255" s="2">
        <f>_xlfn.XLOOKUP($A255,[1]Table7_badETA!$A:$A,[1]Table7_badETA!M:M,"-",0)</f>
        <v>0.98970000000000002</v>
      </c>
      <c r="J255" s="2">
        <f>_xlfn.XLOOKUP($A255,[1]Table7_badETA!$A:$A,[1]Table7_badETA!O:O,"-",0)</f>
        <v>3.1419999999999997E-2</v>
      </c>
      <c r="K255" s="2">
        <f>_xlfn.XLOOKUP($A255,[1]morph_04R500.dat!$A:$A,[1]morph_04R500.dat!P:P,"-",0)</f>
        <v>16.760000000000002</v>
      </c>
      <c r="L255" s="2">
        <f>_xlfn.XLOOKUP($A255,[1]morph_04R500.dat!$A:$A,[1]morph_04R500.dat!R:R,"-",0)</f>
        <v>45.75</v>
      </c>
      <c r="M255" s="2" t="str">
        <f>_xlfn.XLOOKUP($A255,[1]Table7_badETA!$A:$A,[1]Table7_badETA!T:T,"-",0)</f>
        <v>-</v>
      </c>
      <c r="N255" s="2" t="str">
        <f>_xlfn.XLOOKUP($A255,[1]Table7_badETA!$A:$A,[1]Table7_badETA!U:U,"-",0)</f>
        <v>-</v>
      </c>
      <c r="O255" s="7">
        <f>_xlfn.XLOOKUP($A255,[1]Table7_badETA!$A:$A,[1]Table7_badETA!S:S,"-",0)</f>
        <v>421.30759999999998</v>
      </c>
    </row>
    <row r="256" spans="1:15" x14ac:dyDescent="0.2">
      <c r="A256" s="8" t="s">
        <v>267</v>
      </c>
      <c r="B256" s="8" cm="1">
        <f t="array" aca="1" ref="B256" ca="1">_xlfn.XLOOKUP(A256,[1]Table2_V5_w3C28!A:A,[1]Table2_V5_w3C28!B:B,nan(),0)</f>
        <v>0.313</v>
      </c>
      <c r="C256" s="8" cm="1">
        <f t="array" aca="1" ref="C256" ca="1">_xlfn.XLOOKUP(A256,[1]Table2_V5_w3C28!A:A,[1]Table2_V5_w3C28!D:D,nan(),0)</f>
        <v>325.06330000000003</v>
      </c>
      <c r="D256" s="8" cm="1">
        <f t="array" aca="1" ref="D256" ca="1">_xlfn.XLOOKUP(A256,[1]Table2_V5_w3C28!A:A,[1]Table2_V5_w3C28!E:E,nan(),0)</f>
        <v>-23.661100000000001</v>
      </c>
      <c r="E256" s="1">
        <f>_xlfn.XLOOKUP($A256,[1]Table7_badETA!$A:$A,[1]Table7_badETA!C:C,"-",0)</f>
        <v>8.3809999999999996E-2</v>
      </c>
      <c r="F256" s="1">
        <f>_xlfn.XLOOKUP($A256,[1]Table7_badETA!$A:$A,[1]Table7_badETA!E:E,"-",0)</f>
        <v>1.2789999999999999E-2</v>
      </c>
      <c r="G256" s="5">
        <f>_xlfn.XLOOKUP($A256,[1]Table7_badETA!$A:$A,[1]Table7_badETA!F:F,"-",0)</f>
        <v>5.6599999999999999E-9</v>
      </c>
      <c r="H256" s="6">
        <f>_xlfn.XLOOKUP($A256,[1]Table7_badETA!$A:$A,[1]Table7_badETA!H:H,"-",0)</f>
        <v>8.1199999999999993E-9</v>
      </c>
      <c r="I256" s="2">
        <f>_xlfn.XLOOKUP($A256,[1]Table7_badETA!$A:$A,[1]Table7_badETA!M:M,"-",0)</f>
        <v>0.95040000000000002</v>
      </c>
      <c r="J256" s="2">
        <f>_xlfn.XLOOKUP($A256,[1]Table7_badETA!$A:$A,[1]Table7_badETA!O:O,"-",0)</f>
        <v>6.025E-3</v>
      </c>
      <c r="K256" s="2">
        <f>_xlfn.XLOOKUP($A256,[1]morph_04R500.dat!$A:$A,[1]morph_04R500.dat!P:P,"-",0)</f>
        <v>61.51</v>
      </c>
      <c r="L256" s="2">
        <f>_xlfn.XLOOKUP($A256,[1]morph_04R500.dat!$A:$A,[1]morph_04R500.dat!R:R,"-",0)</f>
        <v>3.8010000000000002</v>
      </c>
      <c r="M256" s="2">
        <f>_xlfn.XLOOKUP($A256,[1]Table7_badETA!$A:$A,[1]Table7_badETA!T:T,"-",0)</f>
        <v>0.79504594486616065</v>
      </c>
      <c r="N256" s="2">
        <f>_xlfn.XLOOKUP($A256,[1]Table7_badETA!$A:$A,[1]Table7_badETA!U:U,"-",0)</f>
        <v>5.7131411257928437E-3</v>
      </c>
      <c r="O256" s="7">
        <f>_xlfn.XLOOKUP($A256,[1]Table7_badETA!$A:$A,[1]Table7_badETA!S:S,"-",0)</f>
        <v>433.43392999999998</v>
      </c>
    </row>
    <row r="257" spans="1:15" x14ac:dyDescent="0.2">
      <c r="A257" s="8" t="s">
        <v>268</v>
      </c>
      <c r="B257" s="8" cm="1">
        <f t="array" aca="1" ref="B257" ca="1">_xlfn.XLOOKUP(A257,[1]Table2_V5_w3C28!A:A,[1]Table2_V5_w3C28!B:B,nan(),0)</f>
        <v>6.2E-2</v>
      </c>
      <c r="C257" s="8" cm="1">
        <f t="array" aca="1" ref="C257" ca="1">_xlfn.XLOOKUP(A257,[1]Table2_V5_w3C28!A:A,[1]Table2_V5_w3C28!D:D,nan(),0)</f>
        <v>326.74619999999999</v>
      </c>
      <c r="D257" s="8" cm="1">
        <f t="array" aca="1" ref="D257" ca="1">_xlfn.XLOOKUP(A257,[1]Table2_V5_w3C28!A:A,[1]Table2_V5_w3C28!E:E,nan(),0)</f>
        <v>-43.898699999999998</v>
      </c>
      <c r="E257" s="1">
        <f>_xlfn.XLOOKUP($A257,[1]Table7_badETA!$A:$A,[1]Table7_badETA!C:C,"-",0)</f>
        <v>1.3679999999999999E-2</v>
      </c>
      <c r="F257" s="1">
        <f>_xlfn.XLOOKUP($A257,[1]Table7_badETA!$A:$A,[1]Table7_badETA!E:E,"-",0)</f>
        <v>2.1559999999999999E-3</v>
      </c>
      <c r="G257" s="5">
        <f>_xlfn.XLOOKUP($A257,[1]Table7_badETA!$A:$A,[1]Table7_badETA!F:F,"-",0)</f>
        <v>4.6800000000000002E-8</v>
      </c>
      <c r="H257" s="6">
        <f>_xlfn.XLOOKUP($A257,[1]Table7_badETA!$A:$A,[1]Table7_badETA!H:H,"-",0)</f>
        <v>4.3399999999999998E-8</v>
      </c>
      <c r="I257" s="2">
        <f>_xlfn.XLOOKUP($A257,[1]Table7_badETA!$A:$A,[1]Table7_badETA!M:M,"-",0)</f>
        <v>0.89529999999999998</v>
      </c>
      <c r="J257" s="2">
        <f>_xlfn.XLOOKUP($A257,[1]Table7_badETA!$A:$A,[1]Table7_badETA!O:O,"-",0)</f>
        <v>7.8450000000000006E-2</v>
      </c>
      <c r="K257" s="2">
        <f>_xlfn.XLOOKUP($A257,[1]morph_04R500.dat!$A:$A,[1]morph_04R500.dat!P:P,"-",0)</f>
        <v>-89.18</v>
      </c>
      <c r="L257" s="2">
        <f>_xlfn.XLOOKUP($A257,[1]morph_04R500.dat!$A:$A,[1]morph_04R500.dat!R:R,"-",0)</f>
        <v>2.524</v>
      </c>
      <c r="M257" s="2">
        <f>_xlfn.XLOOKUP($A257,[1]Table7_badETA!$A:$A,[1]Table7_badETA!T:T,"-",0)</f>
        <v>0.49146524648368151</v>
      </c>
      <c r="N257" s="2">
        <f>_xlfn.XLOOKUP($A257,[1]Table7_badETA!$A:$A,[1]Table7_badETA!U:U,"-",0)</f>
        <v>1.9568938111423104E-2</v>
      </c>
      <c r="O257" s="7">
        <f>_xlfn.XLOOKUP($A257,[1]Table7_badETA!$A:$A,[1]Table7_badETA!S:S,"-",0)</f>
        <v>321.01022</v>
      </c>
    </row>
    <row r="258" spans="1:15" x14ac:dyDescent="0.2">
      <c r="A258" s="8" t="s">
        <v>269</v>
      </c>
      <c r="B258" s="8" cm="1">
        <f t="array" aca="1" ref="B258" ca="1">_xlfn.XLOOKUP(A258,[1]Table2_V5_w3C28!A:A,[1]Table2_V5_w3C28!B:B,nan(),0)</f>
        <v>9.4E-2</v>
      </c>
      <c r="C258" s="8" cm="1">
        <f t="array" aca="1" ref="C258" ca="1">_xlfn.XLOOKUP(A258,[1]Table2_V5_w3C28!A:A,[1]Table2_V5_w3C28!D:D,nan(),0)</f>
        <v>328.08879999999999</v>
      </c>
      <c r="D258" s="8" cm="1">
        <f t="array" aca="1" ref="D258" ca="1">_xlfn.XLOOKUP(A258,[1]Table2_V5_w3C28!A:A,[1]Table2_V5_w3C28!E:E,nan(),0)</f>
        <v>-19.5474</v>
      </c>
      <c r="E258" s="1">
        <f>_xlfn.XLOOKUP($A258,[1]Table7_badETA!$A:$A,[1]Table7_badETA!C:C,"-",0)</f>
        <v>3.8789999999999998E-2</v>
      </c>
      <c r="F258" s="1">
        <f>_xlfn.XLOOKUP($A258,[1]Table7_badETA!$A:$A,[1]Table7_badETA!E:E,"-",0)</f>
        <v>1.6080000000000001E-3</v>
      </c>
      <c r="G258" s="5">
        <f>_xlfn.XLOOKUP($A258,[1]Table7_badETA!$A:$A,[1]Table7_badETA!F:F,"-",0)</f>
        <v>9.2900000000000005E-8</v>
      </c>
      <c r="H258" s="6">
        <f>_xlfn.XLOOKUP($A258,[1]Table7_badETA!$A:$A,[1]Table7_badETA!H:H,"-",0)</f>
        <v>2.9300000000000001E-8</v>
      </c>
      <c r="I258" s="2">
        <f>_xlfn.XLOOKUP($A258,[1]Table7_badETA!$A:$A,[1]Table7_badETA!M:M,"-",0)</f>
        <v>0.88449999999999995</v>
      </c>
      <c r="J258" s="2">
        <f>_xlfn.XLOOKUP($A258,[1]Table7_badETA!$A:$A,[1]Table7_badETA!O:O,"-",0)</f>
        <v>5.437E-3</v>
      </c>
      <c r="K258" s="2">
        <f>_xlfn.XLOOKUP($A258,[1]morph_04R500.dat!$A:$A,[1]morph_04R500.dat!P:P,"-",0)</f>
        <v>19.11</v>
      </c>
      <c r="L258" s="2">
        <f>_xlfn.XLOOKUP($A258,[1]morph_04R500.dat!$A:$A,[1]morph_04R500.dat!R:R,"-",0)</f>
        <v>1.286</v>
      </c>
      <c r="M258" s="2">
        <f>_xlfn.XLOOKUP($A258,[1]Table7_badETA!$A:$A,[1]Table7_badETA!T:T,"-",0)</f>
        <v>0.5674358141046475</v>
      </c>
      <c r="N258" s="2">
        <f>_xlfn.XLOOKUP($A258,[1]Table7_badETA!$A:$A,[1]Table7_badETA!U:U,"-",0)</f>
        <v>7.4589961626914617E-3</v>
      </c>
      <c r="O258" s="7">
        <f>_xlfn.XLOOKUP($A258,[1]Table7_badETA!$A:$A,[1]Table7_badETA!S:S,"-",0)</f>
        <v>469.47059000000002</v>
      </c>
    </row>
    <row r="259" spans="1:15" x14ac:dyDescent="0.2">
      <c r="A259" s="8" t="s">
        <v>270</v>
      </c>
      <c r="B259" s="8" cm="1">
        <f t="array" aca="1" ref="B259" ca="1">_xlfn.XLOOKUP(A259,[1]Table2_V5_w3C28!A:A,[1]Table2_V5_w3C28!B:B,nan(),0)</f>
        <v>0.29199999999999998</v>
      </c>
      <c r="C259" s="8" cm="1">
        <f t="array" aca="1" ref="C259" ca="1">_xlfn.XLOOKUP(A259,[1]Table2_V5_w3C28!A:A,[1]Table2_V5_w3C28!D:D,nan(),0)</f>
        <v>328.96749999999997</v>
      </c>
      <c r="D259" s="8" cm="1">
        <f t="array" aca="1" ref="D259" ca="1">_xlfn.XLOOKUP(A259,[1]Table2_V5_w3C28!A:A,[1]Table2_V5_w3C28!E:E,nan(),0)</f>
        <v>38.006799999999998</v>
      </c>
      <c r="E259" s="1">
        <f>_xlfn.XLOOKUP($A259,[1]Table7_badETA!$A:$A,[1]Table7_badETA!C:C,"-",0)</f>
        <v>4.53E-2</v>
      </c>
      <c r="F259" s="1">
        <f>_xlfn.XLOOKUP($A259,[1]Table7_badETA!$A:$A,[1]Table7_badETA!E:E,"-",0)</f>
        <v>9.1240000000000002E-3</v>
      </c>
      <c r="G259" s="5">
        <f>_xlfn.XLOOKUP($A259,[1]Table7_badETA!$A:$A,[1]Table7_badETA!F:F,"-",0)</f>
        <v>5.2700000000000002E-9</v>
      </c>
      <c r="H259" s="6">
        <f>_xlfn.XLOOKUP($A259,[1]Table7_badETA!$A:$A,[1]Table7_badETA!H:H,"-",0)</f>
        <v>6.1E-9</v>
      </c>
      <c r="I259" s="2">
        <f>_xlfn.XLOOKUP($A259,[1]Table7_badETA!$A:$A,[1]Table7_badETA!M:M,"-",0)</f>
        <v>0.94340000000000002</v>
      </c>
      <c r="J259" s="2">
        <f>_xlfn.XLOOKUP($A259,[1]Table7_badETA!$A:$A,[1]Table7_badETA!O:O,"-",0)</f>
        <v>3.0409999999999999E-3</v>
      </c>
      <c r="K259" s="2">
        <f>_xlfn.XLOOKUP($A259,[1]morph_04R500.dat!$A:$A,[1]morph_04R500.dat!P:P,"-",0)</f>
        <v>17.16</v>
      </c>
      <c r="L259" s="2">
        <f>_xlfn.XLOOKUP($A259,[1]morph_04R500.dat!$A:$A,[1]morph_04R500.dat!R:R,"-",0)</f>
        <v>1.8160000000000001</v>
      </c>
      <c r="M259" s="2">
        <f>_xlfn.XLOOKUP($A259,[1]Table7_badETA!$A:$A,[1]Table7_badETA!T:T,"-",0)</f>
        <v>0.40674157303370789</v>
      </c>
      <c r="N259" s="2">
        <f>_xlfn.XLOOKUP($A259,[1]Table7_badETA!$A:$A,[1]Table7_badETA!U:U,"-",0)</f>
        <v>5.1034960080525429E-3</v>
      </c>
      <c r="O259" s="7">
        <f>_xlfn.XLOOKUP($A259,[1]Table7_badETA!$A:$A,[1]Table7_badETA!S:S,"-",0)</f>
        <v>539.06739000000005</v>
      </c>
    </row>
    <row r="260" spans="1:15" x14ac:dyDescent="0.2">
      <c r="A260" s="8" t="s">
        <v>271</v>
      </c>
      <c r="B260" s="8" cm="1">
        <f t="array" aca="1" ref="B260" ca="1">_xlfn.XLOOKUP(A260,[1]Table2_V5_w3C28!A:A,[1]Table2_V5_w3C28!B:B,nan(),0)</f>
        <v>0.14799999999999999</v>
      </c>
      <c r="C260" s="8" cm="1">
        <f t="array" aca="1" ref="C260" ca="1">_xlfn.XLOOKUP(A260,[1]Table2_V5_w3C28!A:A,[1]Table2_V5_w3C28!D:D,nan(),0)</f>
        <v>330.21839999999997</v>
      </c>
      <c r="D260" s="8" cm="1">
        <f t="array" aca="1" ref="D260" ca="1">_xlfn.XLOOKUP(A260,[1]Table2_V5_w3C28!A:A,[1]Table2_V5_w3C28!E:E,nan(),0)</f>
        <v>20.968699999999998</v>
      </c>
      <c r="E260" s="1">
        <f>_xlfn.XLOOKUP($A260,[1]Table7_badETA!$A:$A,[1]Table7_badETA!C:C,"-",0)</f>
        <v>3.6200000000000003E-2</v>
      </c>
      <c r="F260" s="1">
        <f>_xlfn.XLOOKUP($A260,[1]Table7_badETA!$A:$A,[1]Table7_badETA!E:E,"-",0)</f>
        <v>1.9400000000000001E-3</v>
      </c>
      <c r="G260" s="5">
        <f>_xlfn.XLOOKUP($A260,[1]Table7_badETA!$A:$A,[1]Table7_badETA!F:F,"-",0)</f>
        <v>2.44E-8</v>
      </c>
      <c r="H260" s="6">
        <f>_xlfn.XLOOKUP($A260,[1]Table7_badETA!$A:$A,[1]Table7_badETA!H:H,"-",0)</f>
        <v>2.5300000000000002E-8</v>
      </c>
      <c r="I260" s="2">
        <f>_xlfn.XLOOKUP($A260,[1]Table7_badETA!$A:$A,[1]Table7_badETA!M:M,"-",0)</f>
        <v>0.92200000000000004</v>
      </c>
      <c r="J260" s="2">
        <f>_xlfn.XLOOKUP($A260,[1]Table7_badETA!$A:$A,[1]Table7_badETA!O:O,"-",0)</f>
        <v>1.3990000000000001E-2</v>
      </c>
      <c r="K260" s="2">
        <f>_xlfn.XLOOKUP($A260,[1]morph_04R500.dat!$A:$A,[1]morph_04R500.dat!P:P,"-",0)</f>
        <v>-7.9050000000000002</v>
      </c>
      <c r="L260" s="2">
        <f>_xlfn.XLOOKUP($A260,[1]morph_04R500.dat!$A:$A,[1]morph_04R500.dat!R:R,"-",0)</f>
        <v>3.7170000000000001</v>
      </c>
      <c r="M260" s="2">
        <f>_xlfn.XLOOKUP($A260,[1]Table7_badETA!$A:$A,[1]Table7_badETA!T:T,"-",0)</f>
        <v>0.46676300578034685</v>
      </c>
      <c r="N260" s="2">
        <f>_xlfn.XLOOKUP($A260,[1]Table7_badETA!$A:$A,[1]Table7_badETA!U:U,"-",0)</f>
        <v>1.2171049215345063E-2</v>
      </c>
      <c r="O260" s="7">
        <f>_xlfn.XLOOKUP($A260,[1]Table7_badETA!$A:$A,[1]Table7_badETA!S:S,"-",0)</f>
        <v>456.16962000000001</v>
      </c>
    </row>
    <row r="261" spans="1:15" x14ac:dyDescent="0.2">
      <c r="A261" s="8" t="s">
        <v>272</v>
      </c>
      <c r="B261" s="8" cm="1">
        <f t="array" aca="1" ref="B261" ca="1">_xlfn.XLOOKUP(A261,[1]Table2_V5_w3C28!A:A,[1]Table2_V5_w3C28!B:B,nan(),0)</f>
        <v>5.8000000000000003E-2</v>
      </c>
      <c r="C261" s="8" cm="1">
        <f t="array" aca="1" ref="C261" ca="1">_xlfn.XLOOKUP(A261,[1]Table2_V5_w3C28!A:A,[1]Table2_V5_w3C28!D:D,nan(),0)</f>
        <v>331.41050000000001</v>
      </c>
      <c r="D261" s="8" cm="1">
        <f t="array" aca="1" ref="D261" ca="1">_xlfn.XLOOKUP(A261,[1]Table2_V5_w3C28!A:A,[1]Table2_V5_w3C28!E:E,nan(),0)</f>
        <v>-5.5925000000000002</v>
      </c>
      <c r="E261" s="1">
        <f>_xlfn.XLOOKUP($A261,[1]Table7_badETA!$A:$A,[1]Table7_badETA!C:C,"-",0)</f>
        <v>2.5409999999999999E-2</v>
      </c>
      <c r="F261" s="1">
        <f>_xlfn.XLOOKUP($A261,[1]Table7_badETA!$A:$A,[1]Table7_badETA!E:E,"-",0)</f>
        <v>2.5990000000000002E-3</v>
      </c>
      <c r="G261" s="5">
        <f>_xlfn.XLOOKUP($A261,[1]Table7_badETA!$A:$A,[1]Table7_badETA!F:F,"-",0)</f>
        <v>2.48E-8</v>
      </c>
      <c r="H261" s="6">
        <f>_xlfn.XLOOKUP($A261,[1]Table7_badETA!$A:$A,[1]Table7_badETA!H:H,"-",0)</f>
        <v>4.0100000000000002E-8</v>
      </c>
      <c r="I261" s="2">
        <f>_xlfn.XLOOKUP($A261,[1]Table7_badETA!$A:$A,[1]Table7_badETA!M:M,"-",0)</f>
        <v>0.98640000000000005</v>
      </c>
      <c r="J261" s="2">
        <f>_xlfn.XLOOKUP($A261,[1]Table7_badETA!$A:$A,[1]Table7_badETA!O:O,"-",0)</f>
        <v>1.4239999999999999E-2</v>
      </c>
      <c r="K261" s="2">
        <f>_xlfn.XLOOKUP($A261,[1]morph_04R500.dat!$A:$A,[1]morph_04R500.dat!P:P,"-",0)</f>
        <v>17.399999999999999</v>
      </c>
      <c r="L261" s="2">
        <f>_xlfn.XLOOKUP($A261,[1]morph_04R500.dat!$A:$A,[1]morph_04R500.dat!R:R,"-",0)</f>
        <v>27.94</v>
      </c>
      <c r="M261" s="2">
        <f>_xlfn.XLOOKUP($A261,[1]Table7_badETA!$A:$A,[1]Table7_badETA!T:T,"-",0)</f>
        <v>0.53277942180742088</v>
      </c>
      <c r="N261" s="2">
        <f>_xlfn.XLOOKUP($A261,[1]Table7_badETA!$A:$A,[1]Table7_badETA!U:U,"-",0)</f>
        <v>2.0122994511619707E-2</v>
      </c>
      <c r="O261" s="7">
        <f>_xlfn.XLOOKUP($A261,[1]Table7_badETA!$A:$A,[1]Table7_badETA!S:S,"-",0)</f>
        <v>314.56268</v>
      </c>
    </row>
    <row r="262" spans="1:15" x14ac:dyDescent="0.2">
      <c r="A262" s="8" t="s">
        <v>273</v>
      </c>
      <c r="B262" s="8" cm="1">
        <f t="array" aca="1" ref="B262" ca="1">_xlfn.XLOOKUP(A262,[1]Table2_V5_w3C28!A:A,[1]Table2_V5_w3C28!B:B,nan(),0)</f>
        <v>0.48299999999999998</v>
      </c>
      <c r="C262" s="8" cm="1">
        <f t="array" aca="1" ref="C262" ca="1">_xlfn.XLOOKUP(A262,[1]Table2_V5_w3C28!A:A,[1]Table2_V5_w3C28!D:D,nan(),0)</f>
        <v>333.73899999999998</v>
      </c>
      <c r="D262" s="8" cm="1">
        <f t="array" aca="1" ref="D262" ca="1">_xlfn.XLOOKUP(A262,[1]Table2_V5_w3C28!A:A,[1]Table2_V5_w3C28!E:E,nan(),0)</f>
        <v>-14.0038</v>
      </c>
      <c r="E262" s="1">
        <f>_xlfn.XLOOKUP($A262,[1]Table7_badETA!$A:$A,[1]Table7_badETA!C:C,"-",0)</f>
        <v>2.324E-2</v>
      </c>
      <c r="F262" s="1">
        <f>_xlfn.XLOOKUP($A262,[1]Table7_badETA!$A:$A,[1]Table7_badETA!E:E,"-",0)</f>
        <v>2.5709999999999999E-3</v>
      </c>
      <c r="G262" s="5">
        <f>_xlfn.XLOOKUP($A262,[1]Table7_badETA!$A:$A,[1]Table7_badETA!F:F,"-",0)</f>
        <v>1.6299999999999999E-7</v>
      </c>
      <c r="H262" s="6">
        <f>_xlfn.XLOOKUP($A262,[1]Table7_badETA!$A:$A,[1]Table7_badETA!H:H,"-",0)</f>
        <v>1.09E-7</v>
      </c>
      <c r="I262" s="2">
        <f>_xlfn.XLOOKUP($A262,[1]Table7_badETA!$A:$A,[1]Table7_badETA!M:M,"-",0)</f>
        <v>0.84709999999999996</v>
      </c>
      <c r="J262" s="2">
        <f>_xlfn.XLOOKUP($A262,[1]Table7_badETA!$A:$A,[1]Table7_badETA!O:O,"-",0)</f>
        <v>9.5530000000000007E-3</v>
      </c>
      <c r="K262" s="2">
        <f>_xlfn.XLOOKUP($A262,[1]morph_04R500.dat!$A:$A,[1]morph_04R500.dat!P:P,"-",0)</f>
        <v>41.89</v>
      </c>
      <c r="L262" s="2">
        <f>_xlfn.XLOOKUP($A262,[1]morph_04R500.dat!$A:$A,[1]morph_04R500.dat!R:R,"-",0)</f>
        <v>2.1579999999999999</v>
      </c>
      <c r="M262" s="2">
        <f>_xlfn.XLOOKUP($A262,[1]Table7_badETA!$A:$A,[1]Table7_badETA!T:T,"-",0)</f>
        <v>0.47295423023578365</v>
      </c>
      <c r="N262" s="2">
        <f>_xlfn.XLOOKUP($A262,[1]Table7_badETA!$A:$A,[1]Table7_badETA!U:U,"-",0)</f>
        <v>1.3400323005215476E-2</v>
      </c>
      <c r="O262" s="7">
        <f>_xlfn.XLOOKUP($A262,[1]Table7_badETA!$A:$A,[1]Table7_badETA!S:S,"-",0)</f>
        <v>469.09615000000002</v>
      </c>
    </row>
    <row r="263" spans="1:15" x14ac:dyDescent="0.2">
      <c r="A263" s="8" t="s">
        <v>274</v>
      </c>
      <c r="B263" s="8" cm="1">
        <f t="array" aca="1" ref="B263" ca="1">_xlfn.XLOOKUP(A263,[1]Table2_V5_w3C28!A:A,[1]Table2_V5_w3C28!B:B,nan(),0)</f>
        <v>0.14899999999999999</v>
      </c>
      <c r="C263" s="8" cm="1">
        <f t="array" aca="1" ref="C263" ca="1">_xlfn.XLOOKUP(A263,[1]Table2_V5_w3C28!A:A,[1]Table2_V5_w3C28!D:D,nan(),0)</f>
        <v>334.44099999999997</v>
      </c>
      <c r="D263" s="8" cm="1">
        <f t="array" aca="1" ref="D263" ca="1">_xlfn.XLOOKUP(A263,[1]Table2_V5_w3C28!A:A,[1]Table2_V5_w3C28!E:E,nan(),0)</f>
        <v>-35.724400000000003</v>
      </c>
      <c r="E263" s="1">
        <f>_xlfn.XLOOKUP($A263,[1]Table7_badETA!$A:$A,[1]Table7_badETA!C:C,"-",0)</f>
        <v>9.8410000000000008E-3</v>
      </c>
      <c r="F263" s="1">
        <f>_xlfn.XLOOKUP($A263,[1]Table7_badETA!$A:$A,[1]Table7_badETA!E:E,"-",0)</f>
        <v>1.5969999999999999E-3</v>
      </c>
      <c r="G263" s="5">
        <f>_xlfn.XLOOKUP($A263,[1]Table7_badETA!$A:$A,[1]Table7_badETA!F:F,"-",0)</f>
        <v>4.5200000000000001E-9</v>
      </c>
      <c r="H263" s="6">
        <f>_xlfn.XLOOKUP($A263,[1]Table7_badETA!$A:$A,[1]Table7_badETA!H:H,"-",0)</f>
        <v>1.9300000000000001E-8</v>
      </c>
      <c r="I263" s="2">
        <f>_xlfn.XLOOKUP($A263,[1]Table7_badETA!$A:$A,[1]Table7_badETA!M:M,"-",0)</f>
        <v>0.98199999999999998</v>
      </c>
      <c r="J263" s="2">
        <f>_xlfn.XLOOKUP($A263,[1]Table7_badETA!$A:$A,[1]Table7_badETA!O:O,"-",0)</f>
        <v>1.4120000000000001E-2</v>
      </c>
      <c r="K263" s="2">
        <f>_xlfn.XLOOKUP($A263,[1]morph_04R500.dat!$A:$A,[1]morph_04R500.dat!P:P,"-",0)</f>
        <v>-20.89</v>
      </c>
      <c r="L263" s="2">
        <f>_xlfn.XLOOKUP($A263,[1]morph_04R500.dat!$A:$A,[1]morph_04R500.dat!R:R,"-",0)</f>
        <v>25.95</v>
      </c>
      <c r="M263" s="2">
        <f>_xlfn.XLOOKUP($A263,[1]Table7_badETA!$A:$A,[1]Table7_badETA!T:T,"-",0)</f>
        <v>0.51427730350309087</v>
      </c>
      <c r="N263" s="2">
        <f>_xlfn.XLOOKUP($A263,[1]Table7_badETA!$A:$A,[1]Table7_badETA!U:U,"-",0)</f>
        <v>1.3749205964179684E-2</v>
      </c>
      <c r="O263" s="7">
        <f>_xlfn.XLOOKUP($A263,[1]Table7_badETA!$A:$A,[1]Table7_badETA!S:S,"-",0)</f>
        <v>438.43331000000001</v>
      </c>
    </row>
    <row r="264" spans="1:15" x14ac:dyDescent="0.2">
      <c r="A264" s="8" t="s">
        <v>275</v>
      </c>
      <c r="B264" s="8" cm="1">
        <f t="array" aca="1" ref="B264" ca="1">_xlfn.XLOOKUP(A264,[1]Table2_V5_w3C28!A:A,[1]Table2_V5_w3C28!B:B,nan(),0)</f>
        <v>0.13800000000000001</v>
      </c>
      <c r="C264" s="8" cm="1">
        <f t="array" aca="1" ref="C264" ca="1">_xlfn.XLOOKUP(A264,[1]Table2_V5_w3C28!A:A,[1]Table2_V5_w3C28!D:D,nan(),0)</f>
        <v>334.6644</v>
      </c>
      <c r="D264" s="8" cm="1">
        <f t="array" aca="1" ref="D264" ca="1">_xlfn.XLOOKUP(A264,[1]Table2_V5_w3C28!A:A,[1]Table2_V5_w3C28!E:E,nan(),0)</f>
        <v>-38.9009</v>
      </c>
      <c r="E264" s="1">
        <f>_xlfn.XLOOKUP($A264,[1]Table7_badETA!$A:$A,[1]Table7_badETA!C:C,"-",0)</f>
        <v>1.487E-2</v>
      </c>
      <c r="F264" s="1">
        <f>_xlfn.XLOOKUP($A264,[1]Table7_badETA!$A:$A,[1]Table7_badETA!E:E,"-",0)</f>
        <v>3.418E-3</v>
      </c>
      <c r="G264" s="5">
        <f>_xlfn.XLOOKUP($A264,[1]Table7_badETA!$A:$A,[1]Table7_badETA!F:F,"-",0)</f>
        <v>4.5699999999999999E-8</v>
      </c>
      <c r="H264" s="6">
        <f>_xlfn.XLOOKUP($A264,[1]Table7_badETA!$A:$A,[1]Table7_badETA!H:H,"-",0)</f>
        <v>2.77E-8</v>
      </c>
      <c r="I264" s="2">
        <f>_xlfn.XLOOKUP($A264,[1]Table7_badETA!$A:$A,[1]Table7_badETA!M:M,"-",0)</f>
        <v>0.79479999999999995</v>
      </c>
      <c r="J264" s="2">
        <f>_xlfn.XLOOKUP($A264,[1]Table7_badETA!$A:$A,[1]Table7_badETA!O:O,"-",0)</f>
        <v>8.1309999999999993E-3</v>
      </c>
      <c r="K264" s="2">
        <f>_xlfn.XLOOKUP($A264,[1]morph_04R500.dat!$A:$A,[1]morph_04R500.dat!P:P,"-",0)</f>
        <v>-42.71</v>
      </c>
      <c r="L264" s="2">
        <f>_xlfn.XLOOKUP($A264,[1]morph_04R500.dat!$A:$A,[1]morph_04R500.dat!R:R,"-",0)</f>
        <v>1.1379999999999999</v>
      </c>
      <c r="M264" s="2">
        <f>_xlfn.XLOOKUP($A264,[1]Table7_badETA!$A:$A,[1]Table7_badETA!T:T,"-",0)</f>
        <v>0.50802970126057678</v>
      </c>
      <c r="N264" s="2">
        <f>_xlfn.XLOOKUP($A264,[1]Table7_badETA!$A:$A,[1]Table7_badETA!U:U,"-",0)</f>
        <v>1.1799984186476445E-2</v>
      </c>
      <c r="O264" s="7">
        <f>_xlfn.XLOOKUP($A264,[1]Table7_badETA!$A:$A,[1]Table7_badETA!S:S,"-",0)</f>
        <v>448.65291000000002</v>
      </c>
    </row>
    <row r="265" spans="1:15" x14ac:dyDescent="0.2">
      <c r="A265" s="8" t="s">
        <v>276</v>
      </c>
      <c r="B265" s="8" cm="1">
        <f t="array" aca="1" ref="B265" ca="1">_xlfn.XLOOKUP(A265,[1]Table2_V5_w3C28!A:A,[1]Table2_V5_w3C28!B:B,nan(),0)</f>
        <v>0.108</v>
      </c>
      <c r="C265" s="8" cm="1">
        <f t="array" aca="1" ref="C265" ca="1">_xlfn.XLOOKUP(A265,[1]Table2_V5_w3C28!A:A,[1]Table2_V5_w3C28!D:D,nan(),0)</f>
        <v>336.52589999999998</v>
      </c>
      <c r="D265" s="8" cm="1">
        <f t="array" aca="1" ref="D265" ca="1">_xlfn.XLOOKUP(A265,[1]Table2_V5_w3C28!A:A,[1]Table2_V5_w3C28!E:E,nan(),0)</f>
        <v>17.366199999999999</v>
      </c>
      <c r="E265" s="1">
        <f>_xlfn.XLOOKUP($A265,[1]Table7_badETA!$A:$A,[1]Table7_badETA!C:C,"-",0)</f>
        <v>3.3759999999999998E-2</v>
      </c>
      <c r="F265" s="1">
        <f>_xlfn.XLOOKUP($A265,[1]Table7_badETA!$A:$A,[1]Table7_badETA!E:E,"-",0)</f>
        <v>5.6129999999999999E-3</v>
      </c>
      <c r="G265" s="5">
        <f>_xlfn.XLOOKUP($A265,[1]Table7_badETA!$A:$A,[1]Table7_badETA!F:F,"-",0)</f>
        <v>4.1300000000000001E-7</v>
      </c>
      <c r="H265" s="6">
        <f>_xlfn.XLOOKUP($A265,[1]Table7_badETA!$A:$A,[1]Table7_badETA!H:H,"-",0)</f>
        <v>7.3199999999999994E-8</v>
      </c>
      <c r="I265" s="2">
        <f>_xlfn.XLOOKUP($A265,[1]Table7_badETA!$A:$A,[1]Table7_badETA!M:M,"-",0)</f>
        <v>0.86080000000000001</v>
      </c>
      <c r="J265" s="2">
        <f>_xlfn.XLOOKUP($A265,[1]Table7_badETA!$A:$A,[1]Table7_badETA!O:O,"-",0)</f>
        <v>5.816E-3</v>
      </c>
      <c r="K265" s="2">
        <f>_xlfn.XLOOKUP($A265,[1]morph_04R500.dat!$A:$A,[1]morph_04R500.dat!P:P,"-",0)</f>
        <v>12.7</v>
      </c>
      <c r="L265" s="2">
        <f>_xlfn.XLOOKUP($A265,[1]morph_04R500.dat!$A:$A,[1]morph_04R500.dat!R:R,"-",0)</f>
        <v>1.2829999999999999</v>
      </c>
      <c r="M265" s="2">
        <f>_xlfn.XLOOKUP($A265,[1]Table7_badETA!$A:$A,[1]Table7_badETA!T:T,"-",0)</f>
        <v>0.51597027887677305</v>
      </c>
      <c r="N265" s="2">
        <f>_xlfn.XLOOKUP($A265,[1]Table7_badETA!$A:$A,[1]Table7_badETA!U:U,"-",0)</f>
        <v>1.0130791466817802E-2</v>
      </c>
      <c r="O265" s="7">
        <f>_xlfn.XLOOKUP($A265,[1]Table7_badETA!$A:$A,[1]Table7_badETA!S:S,"-",0)</f>
        <v>454.87608999999998</v>
      </c>
    </row>
    <row r="266" spans="1:15" x14ac:dyDescent="0.2">
      <c r="A266" s="8" t="s">
        <v>277</v>
      </c>
      <c r="B266" s="8" cm="1">
        <f t="array" aca="1" ref="B266" ca="1">_xlfn.XLOOKUP(A266,[1]Table2_V5_w3C28!A:A,[1]Table2_V5_w3C28!B:B,nan(),0)</f>
        <v>0.16600000000000001</v>
      </c>
      <c r="C266" s="8" cm="1">
        <f t="array" aca="1" ref="C266" ca="1">_xlfn.XLOOKUP(A266,[1]Table2_V5_w3C28!A:A,[1]Table2_V5_w3C28!D:D,nan(),0)</f>
        <v>336.73360000000002</v>
      </c>
      <c r="D266" s="8" cm="1">
        <f t="array" aca="1" ref="D266" ca="1">_xlfn.XLOOKUP(A266,[1]Table2_V5_w3C28!A:A,[1]Table2_V5_w3C28!E:E,nan(),0)</f>
        <v>25.835100000000001</v>
      </c>
      <c r="E266" s="1">
        <f>_xlfn.XLOOKUP($A266,[1]Table7_badETA!$A:$A,[1]Table7_badETA!C:C,"-",0)</f>
        <v>1.154E-2</v>
      </c>
      <c r="F266" s="1">
        <f>_xlfn.XLOOKUP($A266,[1]Table7_badETA!$A:$A,[1]Table7_badETA!E:E,"-",0)</f>
        <v>5.091E-3</v>
      </c>
      <c r="G266" s="5">
        <f>_xlfn.XLOOKUP($A266,[1]Table7_badETA!$A:$A,[1]Table7_badETA!F:F,"-",0)</f>
        <v>9.5200000000000002E-9</v>
      </c>
      <c r="H266" s="6">
        <f>_xlfn.XLOOKUP($A266,[1]Table7_badETA!$A:$A,[1]Table7_badETA!H:H,"-",0)</f>
        <v>1.9300000000000001E-8</v>
      </c>
      <c r="I266" s="2">
        <f>_xlfn.XLOOKUP($A266,[1]Table7_badETA!$A:$A,[1]Table7_badETA!M:M,"-",0)</f>
        <v>0.85489999999999999</v>
      </c>
      <c r="J266" s="2">
        <f>_xlfn.XLOOKUP($A266,[1]Table7_badETA!$A:$A,[1]Table7_badETA!O:O,"-",0)</f>
        <v>7.8869999999999999E-3</v>
      </c>
      <c r="K266" s="2">
        <f>_xlfn.XLOOKUP($A266,[1]morph_04R500.dat!$A:$A,[1]morph_04R500.dat!P:P,"-",0)</f>
        <v>-32.700000000000003</v>
      </c>
      <c r="L266" s="2">
        <f>_xlfn.XLOOKUP($A266,[1]morph_04R500.dat!$A:$A,[1]morph_04R500.dat!R:R,"-",0)</f>
        <v>1.669</v>
      </c>
      <c r="M266" s="2">
        <f>_xlfn.XLOOKUP($A266,[1]Table7_badETA!$A:$A,[1]Table7_badETA!T:T,"-",0)</f>
        <v>0.54636711281070738</v>
      </c>
      <c r="N266" s="2">
        <f>_xlfn.XLOOKUP($A266,[1]Table7_badETA!$A:$A,[1]Table7_badETA!U:U,"-",0)</f>
        <v>1.2115082492144229E-2</v>
      </c>
      <c r="O266" s="7">
        <f>_xlfn.XLOOKUP($A266,[1]Table7_badETA!$A:$A,[1]Table7_badETA!S:S,"-",0)</f>
        <v>371.11183</v>
      </c>
    </row>
    <row r="267" spans="1:15" x14ac:dyDescent="0.2">
      <c r="A267" s="8" t="s">
        <v>278</v>
      </c>
      <c r="B267" s="8" cm="1">
        <f t="array" aca="1" ref="B267" ca="1">_xlfn.XLOOKUP(A267,[1]Table2_V5_w3C28!A:A,[1]Table2_V5_w3C28!B:B,nan(),0)</f>
        <v>5.8000000000000003E-2</v>
      </c>
      <c r="C267" s="8" cm="1">
        <f t="array" aca="1" ref="C267" ca="1">_xlfn.XLOOKUP(A267,[1]Table2_V5_w3C28!A:A,[1]Table2_V5_w3C28!D:D,nan(),0)</f>
        <v>336.97660000000002</v>
      </c>
      <c r="D267" s="8" cm="1">
        <f t="array" aca="1" ref="D267" ca="1">_xlfn.XLOOKUP(A267,[1]Table2_V5_w3C28!A:A,[1]Table2_V5_w3C28!E:E,nan(),0)</f>
        <v>-30.577000000000002</v>
      </c>
      <c r="E267" s="1">
        <f>_xlfn.XLOOKUP($A267,[1]Table7_badETA!$A:$A,[1]Table7_badETA!C:C,"-",0)</f>
        <v>6.8599999999999998E-3</v>
      </c>
      <c r="F267" s="1">
        <f>_xlfn.XLOOKUP($A267,[1]Table7_badETA!$A:$A,[1]Table7_badETA!E:E,"-",0)</f>
        <v>9.7759999999999991E-4</v>
      </c>
      <c r="G267" s="5">
        <f>_xlfn.XLOOKUP($A267,[1]Table7_badETA!$A:$A,[1]Table7_badETA!F:F,"-",0)</f>
        <v>6.5000000000000003E-9</v>
      </c>
      <c r="H267" s="6">
        <f>_xlfn.XLOOKUP($A267,[1]Table7_badETA!$A:$A,[1]Table7_badETA!H:H,"-",0)</f>
        <v>9.3999999999999998E-9</v>
      </c>
      <c r="I267" s="2">
        <f>_xlfn.XLOOKUP($A267,[1]Table7_badETA!$A:$A,[1]Table7_badETA!M:M,"-",0)</f>
        <v>0.92789999999999995</v>
      </c>
      <c r="J267" s="2">
        <f>_xlfn.XLOOKUP($A267,[1]Table7_badETA!$A:$A,[1]Table7_badETA!O:O,"-",0)</f>
        <v>7.45E-3</v>
      </c>
      <c r="K267" s="2">
        <f>_xlfn.XLOOKUP($A267,[1]morph_04R500.dat!$A:$A,[1]morph_04R500.dat!P:P,"-",0)</f>
        <v>-17.13</v>
      </c>
      <c r="L267" s="2">
        <f>_xlfn.XLOOKUP($A267,[1]morph_04R500.dat!$A:$A,[1]morph_04R500.dat!R:R,"-",0)</f>
        <v>2.476</v>
      </c>
      <c r="M267" s="2">
        <f>_xlfn.XLOOKUP($A267,[1]Table7_badETA!$A:$A,[1]Table7_badETA!T:T,"-",0)</f>
        <v>0.64327861817401566</v>
      </c>
      <c r="N267" s="2">
        <f>_xlfn.XLOOKUP($A267,[1]Table7_badETA!$A:$A,[1]Table7_badETA!U:U,"-",0)</f>
        <v>1.4913160606301703E-2</v>
      </c>
      <c r="O267" s="7">
        <f>_xlfn.XLOOKUP($A267,[1]Table7_badETA!$A:$A,[1]Table7_badETA!S:S,"-",0)</f>
        <v>322.84629000000001</v>
      </c>
    </row>
    <row r="268" spans="1:15" x14ac:dyDescent="0.2">
      <c r="A268" s="8" t="s">
        <v>279</v>
      </c>
      <c r="B268" s="8" cm="1">
        <f t="array" aca="1" ref="B268" ca="1">_xlfn.XLOOKUP(A268,[1]Table2_V5_w3C28!A:A,[1]Table2_V5_w3C28!B:B,nan(),0)</f>
        <v>0.32400000000000001</v>
      </c>
      <c r="C268" s="8" cm="1">
        <f t="array" aca="1" ref="C268" ca="1">_xlfn.XLOOKUP(A268,[1]Table2_V5_w3C28!A:A,[1]Table2_V5_w3C28!D:D,nan(),0)</f>
        <v>337.43849999999998</v>
      </c>
      <c r="D268" s="8" cm="1">
        <f t="array" aca="1" ref="D268" ca="1">_xlfn.XLOOKUP(A268,[1]Table2_V5_w3C28!A:A,[1]Table2_V5_w3C28!E:E,nan(),0)</f>
        <v>-27.9267</v>
      </c>
      <c r="E268" s="1">
        <f>_xlfn.XLOOKUP($A268,[1]Table7_badETA!$A:$A,[1]Table7_badETA!C:C,"-",0)</f>
        <v>5.7979999999999997E-2</v>
      </c>
      <c r="F268" s="1">
        <f>_xlfn.XLOOKUP($A268,[1]Table7_badETA!$A:$A,[1]Table7_badETA!E:E,"-",0)</f>
        <v>8.9099999999999995E-3</v>
      </c>
      <c r="G268" s="5">
        <f>_xlfn.XLOOKUP($A268,[1]Table7_badETA!$A:$A,[1]Table7_badETA!F:F,"-",0)</f>
        <v>7.7200000000000006E-9</v>
      </c>
      <c r="H268" s="6">
        <f>_xlfn.XLOOKUP($A268,[1]Table7_badETA!$A:$A,[1]Table7_badETA!H:H,"-",0)</f>
        <v>1.81E-8</v>
      </c>
      <c r="I268" s="2">
        <f>_xlfn.XLOOKUP($A268,[1]Table7_badETA!$A:$A,[1]Table7_badETA!M:M,"-",0)</f>
        <v>0.89300000000000002</v>
      </c>
      <c r="J268" s="2">
        <f>_xlfn.XLOOKUP($A268,[1]Table7_badETA!$A:$A,[1]Table7_badETA!O:O,"-",0)</f>
        <v>1.18E-2</v>
      </c>
      <c r="K268" s="2">
        <f>_xlfn.XLOOKUP($A268,[1]morph_04R500.dat!$A:$A,[1]morph_04R500.dat!P:P,"-",0)</f>
        <v>11.32</v>
      </c>
      <c r="L268" s="2">
        <f>_xlfn.XLOOKUP($A268,[1]morph_04R500.dat!$A:$A,[1]morph_04R500.dat!R:R,"-",0)</f>
        <v>2.714</v>
      </c>
      <c r="M268" s="2">
        <f>_xlfn.XLOOKUP($A268,[1]Table7_badETA!$A:$A,[1]Table7_badETA!T:T,"-",0)</f>
        <v>0.74503893494096962</v>
      </c>
      <c r="N268" s="2">
        <f>_xlfn.XLOOKUP($A268,[1]Table7_badETA!$A:$A,[1]Table7_badETA!U:U,"-",0)</f>
        <v>1.0971998258820193E-2</v>
      </c>
      <c r="O268" s="7">
        <f>_xlfn.XLOOKUP($A268,[1]Table7_badETA!$A:$A,[1]Table7_badETA!S:S,"-",0)</f>
        <v>414.74723</v>
      </c>
    </row>
    <row r="269" spans="1:15" x14ac:dyDescent="0.2">
      <c r="A269" s="8" t="s">
        <v>280</v>
      </c>
      <c r="B269" s="8" cm="1">
        <f t="array" aca="1" ref="B269" ca="1">_xlfn.XLOOKUP(A269,[1]Table2_V5_w3C28!A:A,[1]Table2_V5_w3C28!B:B,nan(),0)</f>
        <v>5.8999999999999997E-2</v>
      </c>
      <c r="C269" s="8" cm="1">
        <f t="array" aca="1" ref="C269" ca="1">_xlfn.XLOOKUP(A269,[1]Table2_V5_w3C28!A:A,[1]Table2_V5_w3C28!D:D,nan(),0)</f>
        <v>338.9221</v>
      </c>
      <c r="D269" s="8" cm="1">
        <f t="array" aca="1" ref="D269" ca="1">_xlfn.XLOOKUP(A269,[1]Table2_V5_w3C28!A:A,[1]Table2_V5_w3C28!E:E,nan(),0)</f>
        <v>1.4866999999999999</v>
      </c>
      <c r="E269" s="1">
        <f>_xlfn.XLOOKUP($A269,[1]Table7_badETA!$A:$A,[1]Table7_badETA!C:C,"-",0)</f>
        <v>2.716E-2</v>
      </c>
      <c r="F269" s="1">
        <f>_xlfn.XLOOKUP($A269,[1]Table7_badETA!$A:$A,[1]Table7_badETA!E:E,"-",0)</f>
        <v>4.156E-3</v>
      </c>
      <c r="G269" s="5">
        <f>_xlfn.XLOOKUP($A269,[1]Table7_badETA!$A:$A,[1]Table7_badETA!F:F,"-",0)</f>
        <v>1.14E-7</v>
      </c>
      <c r="H269" s="6">
        <f>_xlfn.XLOOKUP($A269,[1]Table7_badETA!$A:$A,[1]Table7_badETA!H:H,"-",0)</f>
        <v>6.1200000000000005E-8</v>
      </c>
      <c r="I269" s="2">
        <f>_xlfn.XLOOKUP($A269,[1]Table7_badETA!$A:$A,[1]Table7_badETA!M:M,"-",0)</f>
        <v>0.90110000000000001</v>
      </c>
      <c r="J269" s="2">
        <f>_xlfn.XLOOKUP($A269,[1]Table7_badETA!$A:$A,[1]Table7_badETA!O:O,"-",0)</f>
        <v>7.5040000000000003E-3</v>
      </c>
      <c r="K269" s="2">
        <f>_xlfn.XLOOKUP($A269,[1]morph_04R500.dat!$A:$A,[1]morph_04R500.dat!P:P,"-",0)</f>
        <v>78.650000000000006</v>
      </c>
      <c r="L269" s="2">
        <f>_xlfn.XLOOKUP($A269,[1]morph_04R500.dat!$A:$A,[1]morph_04R500.dat!R:R,"-",0)</f>
        <v>2.3650000000000002</v>
      </c>
      <c r="M269" s="2">
        <f>_xlfn.XLOOKUP($A269,[1]Table7_badETA!$A:$A,[1]Table7_badETA!T:T,"-",0)</f>
        <v>0.36251072698295944</v>
      </c>
      <c r="N269" s="2">
        <f>_xlfn.XLOOKUP($A269,[1]Table7_badETA!$A:$A,[1]Table7_badETA!U:U,"-",0)</f>
        <v>2.0641927821712935E-2</v>
      </c>
      <c r="O269" s="7">
        <f>_xlfn.XLOOKUP($A269,[1]Table7_badETA!$A:$A,[1]Table7_badETA!S:S,"-",0)</f>
        <v>354.14422999999999</v>
      </c>
    </row>
    <row r="270" spans="1:15" x14ac:dyDescent="0.2">
      <c r="A270" s="8" t="s">
        <v>281</v>
      </c>
      <c r="B270" s="8" cm="1">
        <f t="array" aca="1" ref="B270" ca="1">_xlfn.XLOOKUP(A270,[1]Table2_V5_w3C28!A:A,[1]Table2_V5_w3C28!B:B,nan(),0)</f>
        <v>0.245</v>
      </c>
      <c r="C270" s="8" cm="1">
        <f t="array" aca="1" ref="C270" ca="1">_xlfn.XLOOKUP(A270,[1]Table2_V5_w3C28!A:A,[1]Table2_V5_w3C28!D:D,nan(),0)</f>
        <v>339.9126</v>
      </c>
      <c r="D270" s="8" cm="1">
        <f t="array" aca="1" ref="D270" ca="1">_xlfn.XLOOKUP(A270,[1]Table2_V5_w3C28!A:A,[1]Table2_V5_w3C28!E:E,nan(),0)</f>
        <v>-5.7241999999999997</v>
      </c>
      <c r="E270" s="1">
        <f>_xlfn.XLOOKUP($A270,[1]Table7_badETA!$A:$A,[1]Table7_badETA!C:C,"-",0)</f>
        <v>7.0879999999999999E-2</v>
      </c>
      <c r="F270" s="1">
        <f>_xlfn.XLOOKUP($A270,[1]Table7_badETA!$A:$A,[1]Table7_badETA!E:E,"-",0)</f>
        <v>8.0490000000000006E-3</v>
      </c>
      <c r="G270" s="5">
        <f>_xlfn.XLOOKUP($A270,[1]Table7_badETA!$A:$A,[1]Table7_badETA!F:F,"-",0)</f>
        <v>1.6500000000000001E-6</v>
      </c>
      <c r="H270" s="6">
        <f>_xlfn.XLOOKUP($A270,[1]Table7_badETA!$A:$A,[1]Table7_badETA!H:H,"-",0)</f>
        <v>7.4000000000000001E-7</v>
      </c>
      <c r="I270" s="2">
        <f>_xlfn.XLOOKUP($A270,[1]Table7_badETA!$A:$A,[1]Table7_badETA!M:M,"-",0)</f>
        <v>0.88539999999999996</v>
      </c>
      <c r="J270" s="2">
        <f>_xlfn.XLOOKUP($A270,[1]Table7_badETA!$A:$A,[1]Table7_badETA!O:O,"-",0)</f>
        <v>1.9050000000000001E-2</v>
      </c>
      <c r="K270" s="2">
        <f>_xlfn.XLOOKUP($A270,[1]morph_04R500.dat!$A:$A,[1]morph_04R500.dat!P:P,"-",0)</f>
        <v>75.510000000000005</v>
      </c>
      <c r="L270" s="2">
        <f>_xlfn.XLOOKUP($A270,[1]morph_04R500.dat!$A:$A,[1]morph_04R500.dat!R:R,"-",0)</f>
        <v>5.7380000000000004</v>
      </c>
      <c r="M270" s="2" t="str">
        <f>_xlfn.XLOOKUP($A270,[1]Table7_badETA!$A:$A,[1]Table7_badETA!T:T,"-",0)</f>
        <v>-</v>
      </c>
      <c r="N270" s="2" t="str">
        <f>_xlfn.XLOOKUP($A270,[1]Table7_badETA!$A:$A,[1]Table7_badETA!U:U,"-",0)</f>
        <v>-</v>
      </c>
      <c r="O270" s="7">
        <f>_xlfn.XLOOKUP($A270,[1]Table7_badETA!$A:$A,[1]Table7_badETA!S:S,"-",0)</f>
        <v>293.60980000000001</v>
      </c>
    </row>
    <row r="271" spans="1:15" x14ac:dyDescent="0.2">
      <c r="A271" s="8" t="s">
        <v>282</v>
      </c>
      <c r="B271" s="8" cm="1">
        <f t="array" aca="1" ref="B271" ca="1">_xlfn.XLOOKUP(A271,[1]Table2_V5_w3C28!A:A,[1]Table2_V5_w3C28!B:B,nan(),0)</f>
        <v>0.192</v>
      </c>
      <c r="C271" s="8" cm="1">
        <f t="array" aca="1" ref="C271" ca="1">_xlfn.XLOOKUP(A271,[1]Table2_V5_w3C28!A:A,[1]Table2_V5_w3C28!D:D,nan(),0)</f>
        <v>340.66469999999998</v>
      </c>
      <c r="D271" s="8" cm="1">
        <f t="array" aca="1" ref="D271" ca="1">_xlfn.XLOOKUP(A271,[1]Table2_V5_w3C28!A:A,[1]Table2_V5_w3C28!E:E,nan(),0)</f>
        <v>52.995800000000003</v>
      </c>
      <c r="E271" s="1">
        <f>_xlfn.XLOOKUP($A271,[1]Table7_badETA!$A:$A,[1]Table7_badETA!C:C,"-",0)</f>
        <v>0.16550000000000001</v>
      </c>
      <c r="F271" s="1">
        <f>_xlfn.XLOOKUP($A271,[1]Table7_badETA!$A:$A,[1]Table7_badETA!E:E,"-",0)</f>
        <v>4.104E-3</v>
      </c>
      <c r="G271" s="5">
        <f>_xlfn.XLOOKUP($A271,[1]Table7_badETA!$A:$A,[1]Table7_badETA!F:F,"-",0)</f>
        <v>6.4700000000000001E-7</v>
      </c>
      <c r="H271" s="6">
        <f>_xlfn.XLOOKUP($A271,[1]Table7_badETA!$A:$A,[1]Table7_badETA!H:H,"-",0)</f>
        <v>7.5499999999999994E-8</v>
      </c>
      <c r="I271" s="2">
        <f>_xlfn.XLOOKUP($A271,[1]Table7_badETA!$A:$A,[1]Table7_badETA!M:M,"-",0)</f>
        <v>0.81979999999999997</v>
      </c>
      <c r="J271" s="2">
        <f>_xlfn.XLOOKUP($A271,[1]Table7_badETA!$A:$A,[1]Table7_badETA!O:O,"-",0)</f>
        <v>2.4780000000000002E-3</v>
      </c>
      <c r="K271" s="2">
        <f>_xlfn.XLOOKUP($A271,[1]morph_04R500.dat!$A:$A,[1]morph_04R500.dat!P:P,"-",0)</f>
        <v>9.234</v>
      </c>
      <c r="L271" s="2">
        <f>_xlfn.XLOOKUP($A271,[1]morph_04R500.dat!$A:$A,[1]morph_04R500.dat!R:R,"-",0)</f>
        <v>0.57010000000000005</v>
      </c>
      <c r="M271" s="2">
        <f>_xlfn.XLOOKUP($A271,[1]Table7_badETA!$A:$A,[1]Table7_badETA!T:T,"-",0)</f>
        <v>0.25129943502824853</v>
      </c>
      <c r="N271" s="2">
        <f>_xlfn.XLOOKUP($A271,[1]Table7_badETA!$A:$A,[1]Table7_badETA!U:U,"-",0)</f>
        <v>5.5149018099110237E-3</v>
      </c>
      <c r="O271" s="7">
        <f>_xlfn.XLOOKUP($A271,[1]Table7_badETA!$A:$A,[1]Table7_badETA!S:S,"-",0)</f>
        <v>538.24959999999999</v>
      </c>
    </row>
    <row r="272" spans="1:15" x14ac:dyDescent="0.2">
      <c r="A272" s="8" t="s">
        <v>283</v>
      </c>
      <c r="B272" s="8" cm="1">
        <f t="array" aca="1" ref="B272" ca="1">_xlfn.XLOOKUP(A272,[1]Table2_V5_w3C28!A:A,[1]Table2_V5_w3C28!B:B,nan(),0)</f>
        <v>0.432</v>
      </c>
      <c r="C272" s="8" cm="1">
        <f t="array" aca="1" ref="C272" ca="1">_xlfn.XLOOKUP(A272,[1]Table2_V5_w3C28!A:A,[1]Table2_V5_w3C28!D:D,nan(),0)</f>
        <v>340.83789999999999</v>
      </c>
      <c r="D272" s="8" cm="1">
        <f t="array" aca="1" ref="D272" ca="1">_xlfn.XLOOKUP(A272,[1]Table2_V5_w3C28!A:A,[1]Table2_V5_w3C28!E:E,nan(),0)</f>
        <v>-9.5935000000000006</v>
      </c>
      <c r="E272" s="1">
        <f>_xlfn.XLOOKUP($A272,[1]Table7_badETA!$A:$A,[1]Table7_badETA!C:C,"-",0)</f>
        <v>2.4150000000000001E-2</v>
      </c>
      <c r="F272" s="1">
        <f>_xlfn.XLOOKUP($A272,[1]Table7_badETA!$A:$A,[1]Table7_badETA!E:E,"-",0)</f>
        <v>5.3819999999999996E-3</v>
      </c>
      <c r="G272" s="5">
        <f>_xlfn.XLOOKUP($A272,[1]Table7_badETA!$A:$A,[1]Table7_badETA!F:F,"-",0)</f>
        <v>5.4099999999999999E-7</v>
      </c>
      <c r="H272" s="6">
        <f>_xlfn.XLOOKUP($A272,[1]Table7_badETA!$A:$A,[1]Table7_badETA!H:H,"-",0)</f>
        <v>2.8000000000000002E-7</v>
      </c>
      <c r="I272" s="2">
        <f>_xlfn.XLOOKUP($A272,[1]Table7_badETA!$A:$A,[1]Table7_badETA!M:M,"-",0)</f>
        <v>0.79510000000000003</v>
      </c>
      <c r="J272" s="2">
        <f>_xlfn.XLOOKUP($A272,[1]Table7_badETA!$A:$A,[1]Table7_badETA!O:O,"-",0)</f>
        <v>9.4400000000000005E-3</v>
      </c>
      <c r="K272" s="2">
        <f>_xlfn.XLOOKUP($A272,[1]morph_04R500.dat!$A:$A,[1]morph_04R500.dat!P:P,"-",0)</f>
        <v>-79.23</v>
      </c>
      <c r="L272" s="2">
        <f>_xlfn.XLOOKUP($A272,[1]morph_04R500.dat!$A:$A,[1]morph_04R500.dat!R:R,"-",0)</f>
        <v>1.4770000000000001</v>
      </c>
      <c r="M272" s="2" t="str">
        <f>_xlfn.XLOOKUP($A272,[1]Table7_badETA!$A:$A,[1]Table7_badETA!T:T,"-",0)</f>
        <v>-</v>
      </c>
      <c r="N272" s="2" t="str">
        <f>_xlfn.XLOOKUP($A272,[1]Table7_badETA!$A:$A,[1]Table7_badETA!U:U,"-",0)</f>
        <v>-</v>
      </c>
      <c r="O272" s="7">
        <f>_xlfn.XLOOKUP($A272,[1]Table7_badETA!$A:$A,[1]Table7_badETA!S:S,"-",0)</f>
        <v>441.66340000000002</v>
      </c>
    </row>
    <row r="273" spans="1:15" x14ac:dyDescent="0.2">
      <c r="A273" s="8" t="s">
        <v>284</v>
      </c>
      <c r="B273" s="8" cm="1">
        <f t="array" aca="1" ref="B273" ca="1">_xlfn.XLOOKUP(A273,[1]Table2_V5_w3C28!A:A,[1]Table2_V5_w3C28!B:B,nan(),0)</f>
        <v>0.30399999999999999</v>
      </c>
      <c r="C273" s="8" cm="1">
        <f t="array" aca="1" ref="C273" ca="1">_xlfn.XLOOKUP(A273,[1]Table2_V5_w3C28!A:A,[1]Table2_V5_w3C28!D:D,nan(),0)</f>
        <v>341.26920000000001</v>
      </c>
      <c r="D273" s="8" cm="1">
        <f t="array" aca="1" ref="D273" ca="1">_xlfn.XLOOKUP(A273,[1]Table2_V5_w3C28!A:A,[1]Table2_V5_w3C28!E:E,nan(),0)</f>
        <v>26.634799999999998</v>
      </c>
      <c r="E273" s="1">
        <f>_xlfn.XLOOKUP($A273,[1]Table7_badETA!$A:$A,[1]Table7_badETA!C:C,"-",0)</f>
        <v>4.0689999999999997E-2</v>
      </c>
      <c r="F273" s="1">
        <f>_xlfn.XLOOKUP($A273,[1]Table7_badETA!$A:$A,[1]Table7_badETA!E:E,"-",0)</f>
        <v>5.6270000000000001E-3</v>
      </c>
      <c r="G273" s="5">
        <f>_xlfn.XLOOKUP($A273,[1]Table7_badETA!$A:$A,[1]Table7_badETA!F:F,"-",0)</f>
        <v>8.7499999999999996E-8</v>
      </c>
      <c r="H273" s="6">
        <f>_xlfn.XLOOKUP($A273,[1]Table7_badETA!$A:$A,[1]Table7_badETA!H:H,"-",0)</f>
        <v>5.54E-8</v>
      </c>
      <c r="I273" s="2">
        <f>_xlfn.XLOOKUP($A273,[1]Table7_badETA!$A:$A,[1]Table7_badETA!M:M,"-",0)</f>
        <v>0.8659</v>
      </c>
      <c r="J273" s="2">
        <f>_xlfn.XLOOKUP($A273,[1]Table7_badETA!$A:$A,[1]Table7_badETA!O:O,"-",0)</f>
        <v>1.4749999999999999E-2</v>
      </c>
      <c r="K273" s="2">
        <f>_xlfn.XLOOKUP($A273,[1]morph_04R500.dat!$A:$A,[1]morph_04R500.dat!P:P,"-",0)</f>
        <v>-40.26</v>
      </c>
      <c r="L273" s="2">
        <f>_xlfn.XLOOKUP($A273,[1]morph_04R500.dat!$A:$A,[1]morph_04R500.dat!R:R,"-",0)</f>
        <v>3.2250000000000001</v>
      </c>
      <c r="M273" s="2">
        <f>_xlfn.XLOOKUP($A273,[1]Table7_badETA!$A:$A,[1]Table7_badETA!T:T,"-",0)</f>
        <v>0.67533742331288349</v>
      </c>
      <c r="N273" s="2">
        <f>_xlfn.XLOOKUP($A273,[1]Table7_badETA!$A:$A,[1]Table7_badETA!U:U,"-",0)</f>
        <v>1.5713022551913258E-2</v>
      </c>
      <c r="O273" s="7">
        <f>_xlfn.XLOOKUP($A273,[1]Table7_badETA!$A:$A,[1]Table7_badETA!S:S,"-",0)</f>
        <v>444.18894</v>
      </c>
    </row>
    <row r="274" spans="1:15" x14ac:dyDescent="0.2">
      <c r="A274" s="8" t="s">
        <v>285</v>
      </c>
      <c r="B274" s="8" cm="1">
        <f t="array" aca="1" ref="B274" ca="1">_xlfn.XLOOKUP(A274,[1]Table2_V5_w3C28!A:A,[1]Table2_V5_w3C28!B:B,nan(),0)</f>
        <v>9.7000000000000003E-2</v>
      </c>
      <c r="C274" s="8" cm="1">
        <f t="array" aca="1" ref="C274" ca="1">_xlfn.XLOOKUP(A274,[1]Table2_V5_w3C28!A:A,[1]Table2_V5_w3C28!D:D,nan(),0)</f>
        <v>341.61169999999998</v>
      </c>
      <c r="D274" s="8" cm="1">
        <f t="array" aca="1" ref="D274" ca="1">_xlfn.XLOOKUP(A274,[1]Table2_V5_w3C28!A:A,[1]Table2_V5_w3C28!E:E,nan(),0)</f>
        <v>-52.739800000000002</v>
      </c>
      <c r="E274" s="1">
        <f>_xlfn.XLOOKUP($A274,[1]Table7_badETA!$A:$A,[1]Table7_badETA!C:C,"-",0)</f>
        <v>1.6039999999999999E-2</v>
      </c>
      <c r="F274" s="1">
        <f>_xlfn.XLOOKUP($A274,[1]Table7_badETA!$A:$A,[1]Table7_badETA!E:E,"-",0)</f>
        <v>1.2160000000000001E-2</v>
      </c>
      <c r="G274" s="5">
        <f>_xlfn.XLOOKUP($A274,[1]Table7_badETA!$A:$A,[1]Table7_badETA!F:F,"-",0)</f>
        <v>7.8300000000000006E-8</v>
      </c>
      <c r="H274" s="6">
        <f>_xlfn.XLOOKUP($A274,[1]Table7_badETA!$A:$A,[1]Table7_badETA!H:H,"-",0)</f>
        <v>6.1599999999999996E-8</v>
      </c>
      <c r="I274" s="2">
        <f>_xlfn.XLOOKUP($A274,[1]Table7_badETA!$A:$A,[1]Table7_badETA!M:M,"-",0)</f>
        <v>0.80369999999999997</v>
      </c>
      <c r="J274" s="2">
        <f>_xlfn.XLOOKUP($A274,[1]Table7_badETA!$A:$A,[1]Table7_badETA!O:O,"-",0)</f>
        <v>6.8120000000000003E-3</v>
      </c>
      <c r="K274" s="2">
        <f>_xlfn.XLOOKUP($A274,[1]morph_04R500.dat!$A:$A,[1]morph_04R500.dat!P:P,"-",0)</f>
        <v>-44.54</v>
      </c>
      <c r="L274" s="2">
        <f>_xlfn.XLOOKUP($A274,[1]morph_04R500.dat!$A:$A,[1]morph_04R500.dat!R:R,"-",0)</f>
        <v>1.3049999999999999</v>
      </c>
      <c r="M274" s="2">
        <f>_xlfn.XLOOKUP($A274,[1]Table7_badETA!$A:$A,[1]Table7_badETA!T:T,"-",0)</f>
        <v>0.28911715221818829</v>
      </c>
      <c r="N274" s="2">
        <f>_xlfn.XLOOKUP($A274,[1]Table7_badETA!$A:$A,[1]Table7_badETA!U:U,"-",0)</f>
        <v>9.1162263198639303E-3</v>
      </c>
      <c r="O274" s="7">
        <f>_xlfn.XLOOKUP($A274,[1]Table7_badETA!$A:$A,[1]Table7_badETA!S:S,"-",0)</f>
        <v>499.55302</v>
      </c>
    </row>
    <row r="275" spans="1:15" x14ac:dyDescent="0.2">
      <c r="A275" s="8" t="s">
        <v>286</v>
      </c>
      <c r="B275" s="8" cm="1">
        <f t="array" aca="1" ref="B275" ca="1">_xlfn.XLOOKUP(A275,[1]Table2_V5_w3C28!A:A,[1]Table2_V5_w3C28!B:B,nan(),0)</f>
        <v>0.34699999999999998</v>
      </c>
      <c r="C275" s="8" cm="1">
        <f t="array" aca="1" ref="C275" ca="1">_xlfn.XLOOKUP(A275,[1]Table2_V5_w3C28!A:A,[1]Table2_V5_w3C28!D:D,nan(),0)</f>
        <v>342.18349999999998</v>
      </c>
      <c r="D275" s="8" cm="1">
        <f t="array" aca="1" ref="D275" ca="1">_xlfn.XLOOKUP(A275,[1]Table2_V5_w3C28!A:A,[1]Table2_V5_w3C28!E:E,nan(),0)</f>
        <v>-44.5304</v>
      </c>
      <c r="E275" s="1">
        <f>_xlfn.XLOOKUP($A275,[1]Table7_badETA!$A:$A,[1]Table7_badETA!C:C,"-",0)</f>
        <v>5.8659999999999997E-3</v>
      </c>
      <c r="F275" s="1">
        <f>_xlfn.XLOOKUP($A275,[1]Table7_badETA!$A:$A,[1]Table7_badETA!E:E,"-",0)</f>
        <v>7.1510000000000002E-3</v>
      </c>
      <c r="G275" s="5">
        <f>_xlfn.XLOOKUP($A275,[1]Table7_badETA!$A:$A,[1]Table7_badETA!F:F,"-",0)</f>
        <v>1.7800000000000001E-8</v>
      </c>
      <c r="H275" s="6">
        <f>_xlfn.XLOOKUP($A275,[1]Table7_badETA!$A:$A,[1]Table7_badETA!H:H,"-",0)</f>
        <v>1.14E-8</v>
      </c>
      <c r="I275" s="2">
        <f>_xlfn.XLOOKUP($A275,[1]Table7_badETA!$A:$A,[1]Table7_badETA!M:M,"-",0)</f>
        <v>0.91849999999999998</v>
      </c>
      <c r="J275" s="2">
        <f>_xlfn.XLOOKUP($A275,[1]Table7_badETA!$A:$A,[1]Table7_badETA!O:O,"-",0)</f>
        <v>5.6220000000000003E-3</v>
      </c>
      <c r="K275" s="2">
        <f>_xlfn.XLOOKUP($A275,[1]morph_04R500.dat!$A:$A,[1]morph_04R500.dat!P:P,"-",0)</f>
        <v>62.96</v>
      </c>
      <c r="L275" s="2">
        <f>_xlfn.XLOOKUP($A275,[1]morph_04R500.dat!$A:$A,[1]morph_04R500.dat!R:R,"-",0)</f>
        <v>2.085</v>
      </c>
      <c r="M275" s="2">
        <f>_xlfn.XLOOKUP($A275,[1]Table7_badETA!$A:$A,[1]Table7_badETA!T:T,"-",0)</f>
        <v>0.57670950341107408</v>
      </c>
      <c r="N275" s="2">
        <f>_xlfn.XLOOKUP($A275,[1]Table7_badETA!$A:$A,[1]Table7_badETA!U:U,"-",0)</f>
        <v>6.0812758516293622E-3</v>
      </c>
      <c r="O275" s="7">
        <f>_xlfn.XLOOKUP($A275,[1]Table7_badETA!$A:$A,[1]Table7_badETA!S:S,"-",0)</f>
        <v>587.35504000000003</v>
      </c>
    </row>
    <row r="276" spans="1:15" x14ac:dyDescent="0.2">
      <c r="A276" s="8" t="s">
        <v>287</v>
      </c>
      <c r="B276" s="8" cm="1">
        <f t="array" aca="1" ref="B276" ca="1">_xlfn.XLOOKUP(A276,[1]Table2_V5_w3C28!A:A,[1]Table2_V5_w3C28!B:B,nan(),0)</f>
        <v>9.2999999999999999E-2</v>
      </c>
      <c r="C276" s="8" cm="1">
        <f t="array" aca="1" ref="C276" ca="1">_xlfn.XLOOKUP(A276,[1]Table2_V5_w3C28!A:A,[1]Table2_V5_w3C28!D:D,nan(),0)</f>
        <v>342.48610000000002</v>
      </c>
      <c r="D276" s="8" cm="1">
        <f t="array" aca="1" ref="D276" ca="1">_xlfn.XLOOKUP(A276,[1]Table2_V5_w3C28!A:A,[1]Table2_V5_w3C28!E:E,nan(),0)</f>
        <v>-64.430199999999999</v>
      </c>
      <c r="E276" s="1">
        <f>_xlfn.XLOOKUP($A276,[1]Table7_badETA!$A:$A,[1]Table7_badETA!C:C,"-",0)</f>
        <v>1.746E-2</v>
      </c>
      <c r="F276" s="1">
        <f>_xlfn.XLOOKUP($A276,[1]Table7_badETA!$A:$A,[1]Table7_badETA!E:E,"-",0)</f>
        <v>2.5860000000000002E-3</v>
      </c>
      <c r="G276" s="5">
        <f>_xlfn.XLOOKUP($A276,[1]Table7_badETA!$A:$A,[1]Table7_badETA!F:F,"-",0)</f>
        <v>8.79E-8</v>
      </c>
      <c r="H276" s="6">
        <f>_xlfn.XLOOKUP($A276,[1]Table7_badETA!$A:$A,[1]Table7_badETA!H:H,"-",0)</f>
        <v>2.0899999999999999E-8</v>
      </c>
      <c r="I276" s="2">
        <f>_xlfn.XLOOKUP($A276,[1]Table7_badETA!$A:$A,[1]Table7_badETA!M:M,"-",0)</f>
        <v>0.84150000000000003</v>
      </c>
      <c r="J276" s="2">
        <f>_xlfn.XLOOKUP($A276,[1]Table7_badETA!$A:$A,[1]Table7_badETA!O:O,"-",0)</f>
        <v>3.8539999999999998E-3</v>
      </c>
      <c r="K276" s="2">
        <f>_xlfn.XLOOKUP($A276,[1]morph_04R500.dat!$A:$A,[1]morph_04R500.dat!P:P,"-",0)</f>
        <v>82.92</v>
      </c>
      <c r="L276" s="2">
        <f>_xlfn.XLOOKUP($A276,[1]morph_04R500.dat!$A:$A,[1]morph_04R500.dat!R:R,"-",0)</f>
        <v>0.80630000000000002</v>
      </c>
      <c r="M276" s="2">
        <f>_xlfn.XLOOKUP($A276,[1]Table7_badETA!$A:$A,[1]Table7_badETA!T:T,"-",0)</f>
        <v>0.47394713106223546</v>
      </c>
      <c r="N276" s="2">
        <f>_xlfn.XLOOKUP($A276,[1]Table7_badETA!$A:$A,[1]Table7_badETA!U:U,"-",0)</f>
        <v>6.8377220396888729E-3</v>
      </c>
      <c r="O276" s="7">
        <f>_xlfn.XLOOKUP($A276,[1]Table7_badETA!$A:$A,[1]Table7_badETA!S:S,"-",0)</f>
        <v>475.98482000000001</v>
      </c>
    </row>
    <row r="277" spans="1:15" x14ac:dyDescent="0.2">
      <c r="A277" s="8" t="s">
        <v>288</v>
      </c>
      <c r="B277" s="8" cm="1">
        <f t="array" aca="1" ref="B277" ca="1">_xlfn.XLOOKUP(A277,[1]Table2_V5_w3C28!A:A,[1]Table2_V5_w3C28!B:B,nan(),0)</f>
        <v>0.19600000000000001</v>
      </c>
      <c r="C277" s="8" cm="1">
        <f t="array" aca="1" ref="C277" ca="1">_xlfn.XLOOKUP(A277,[1]Table2_V5_w3C28!A:A,[1]Table2_V5_w3C28!D:D,nan(),0)</f>
        <v>344.21940000000001</v>
      </c>
      <c r="D277" s="8" cm="1">
        <f t="array" aca="1" ref="D277" ca="1">_xlfn.XLOOKUP(A277,[1]Table2_V5_w3C28!A:A,[1]Table2_V5_w3C28!E:E,nan(),0)</f>
        <v>5.5045999999999999</v>
      </c>
      <c r="E277" s="1">
        <f>_xlfn.XLOOKUP($A277,[1]Table7_badETA!$A:$A,[1]Table7_badETA!C:C,"-",0)</f>
        <v>9.0719999999999995E-2</v>
      </c>
      <c r="F277" s="1">
        <f>_xlfn.XLOOKUP($A277,[1]Table7_badETA!$A:$A,[1]Table7_badETA!E:E,"-",0)</f>
        <v>8.0870000000000004E-3</v>
      </c>
      <c r="G277" s="5">
        <f>_xlfn.XLOOKUP($A277,[1]Table7_badETA!$A:$A,[1]Table7_badETA!F:F,"-",0)</f>
        <v>2.88E-6</v>
      </c>
      <c r="H277" s="6">
        <f>_xlfn.XLOOKUP($A277,[1]Table7_badETA!$A:$A,[1]Table7_badETA!H:H,"-",0)</f>
        <v>5.4199999999999996E-7</v>
      </c>
      <c r="I277" s="2">
        <f>_xlfn.XLOOKUP($A277,[1]Table7_badETA!$A:$A,[1]Table7_badETA!M:M,"-",0)</f>
        <v>0.88560000000000005</v>
      </c>
      <c r="J277" s="2">
        <f>_xlfn.XLOOKUP($A277,[1]Table7_badETA!$A:$A,[1]Table7_badETA!O:O,"-",0)</f>
        <v>1.158E-2</v>
      </c>
      <c r="K277" s="2">
        <f>_xlfn.XLOOKUP($A277,[1]morph_04R500.dat!$A:$A,[1]morph_04R500.dat!P:P,"-",0)</f>
        <v>77.45</v>
      </c>
      <c r="L277" s="2">
        <f>_xlfn.XLOOKUP($A277,[1]morph_04R500.dat!$A:$A,[1]morph_04R500.dat!R:R,"-",0)</f>
        <v>2.8679999999999999</v>
      </c>
      <c r="M277" s="2">
        <f>_xlfn.XLOOKUP($A277,[1]Table7_badETA!$A:$A,[1]Table7_badETA!T:T,"-",0)</f>
        <v>0.23536804308797127</v>
      </c>
      <c r="N277" s="2">
        <f>_xlfn.XLOOKUP($A277,[1]Table7_badETA!$A:$A,[1]Table7_badETA!U:U,"-",0)</f>
        <v>2.1272891213431889E-2</v>
      </c>
      <c r="O277" s="7">
        <f>_xlfn.XLOOKUP($A277,[1]Table7_badETA!$A:$A,[1]Table7_badETA!S:S,"-",0)</f>
        <v>412.08553000000001</v>
      </c>
    </row>
    <row r="278" spans="1:15" x14ac:dyDescent="0.2">
      <c r="A278" s="8" t="s">
        <v>289</v>
      </c>
      <c r="B278" s="8" cm="1">
        <f t="array" aca="1" ref="B278" ca="1">_xlfn.XLOOKUP(A278,[1]Table2_V5_w3C28!A:A,[1]Table2_V5_w3C28!B:B,nan(),0)</f>
        <v>0.72199999999999998</v>
      </c>
      <c r="C278" s="8" cm="1">
        <f t="array" aca="1" ref="C278" ca="1">_xlfn.XLOOKUP(A278,[1]Table2_V5_w3C28!A:A,[1]Table2_V5_w3C28!D:D,nan(),0)</f>
        <v>345.70060000000001</v>
      </c>
      <c r="D278" s="8" cm="1">
        <f t="array" aca="1" ref="D278" ca="1">_xlfn.XLOOKUP(A278,[1]Table2_V5_w3C28!A:A,[1]Table2_V5_w3C28!E:E,nan(),0)</f>
        <v>8.7307000000000006</v>
      </c>
      <c r="E278" s="1">
        <f>_xlfn.XLOOKUP($A278,[1]Table7_badETA!$A:$A,[1]Table7_badETA!C:C,"-",0)</f>
        <v>2.1399999999999999E-2</v>
      </c>
      <c r="F278" s="1">
        <f>_xlfn.XLOOKUP($A278,[1]Table7_badETA!$A:$A,[1]Table7_badETA!E:E,"-",0)</f>
        <v>5.1650000000000003E-3</v>
      </c>
      <c r="G278" s="5">
        <f>_xlfn.XLOOKUP($A278,[1]Table7_badETA!$A:$A,[1]Table7_badETA!F:F,"-",0)</f>
        <v>2.5199999999999998E-7</v>
      </c>
      <c r="H278" s="6">
        <f>_xlfn.XLOOKUP($A278,[1]Table7_badETA!$A:$A,[1]Table7_badETA!H:H,"-",0)</f>
        <v>2.67E-7</v>
      </c>
      <c r="I278" s="2">
        <f>_xlfn.XLOOKUP($A278,[1]Table7_badETA!$A:$A,[1]Table7_badETA!M:M,"-",0)</f>
        <v>0.98370000000000002</v>
      </c>
      <c r="J278" s="2">
        <f>_xlfn.XLOOKUP($A278,[1]Table7_badETA!$A:$A,[1]Table7_badETA!O:O,"-",0)</f>
        <v>2.4320000000000001E-2</v>
      </c>
      <c r="K278" s="2">
        <f>_xlfn.XLOOKUP($A278,[1]morph_04R500.dat!$A:$A,[1]morph_04R500.dat!P:P,"-",0)</f>
        <v>-43.91</v>
      </c>
      <c r="L278" s="2">
        <f>_xlfn.XLOOKUP($A278,[1]morph_04R500.dat!$A:$A,[1]morph_04R500.dat!R:R,"-",0)</f>
        <v>41.53</v>
      </c>
      <c r="M278" s="2" t="str">
        <f>_xlfn.XLOOKUP($A278,[1]Table7_badETA!$A:$A,[1]Table7_badETA!T:T,"-",0)</f>
        <v>-</v>
      </c>
      <c r="N278" s="2" t="str">
        <f>_xlfn.XLOOKUP($A278,[1]Table7_badETA!$A:$A,[1]Table7_badETA!U:U,"-",0)</f>
        <v>-</v>
      </c>
      <c r="O278" s="7">
        <f>_xlfn.XLOOKUP($A278,[1]Table7_badETA!$A:$A,[1]Table7_badETA!S:S,"-",0)</f>
        <v>364.89213000000001</v>
      </c>
    </row>
    <row r="279" spans="1:15" x14ac:dyDescent="0.2">
      <c r="A279" s="8" t="s">
        <v>290</v>
      </c>
      <c r="B279" s="8" cm="1">
        <f t="array" aca="1" ref="B279" ca="1">_xlfn.XLOOKUP(A279,[1]Table2_V5_w3C28!A:A,[1]Table2_V5_w3C28!B:B,nan(),0)</f>
        <v>0.29499999999999998</v>
      </c>
      <c r="C279" s="8" cm="1">
        <f t="array" aca="1" ref="C279" ca="1">_xlfn.XLOOKUP(A279,[1]Table2_V5_w3C28!A:A,[1]Table2_V5_w3C28!D:D,nan(),0)</f>
        <v>347.09289999999999</v>
      </c>
      <c r="D279" s="8" cm="1">
        <f t="array" aca="1" ref="D279" ca="1">_xlfn.XLOOKUP(A279,[1]Table2_V5_w3C28!A:A,[1]Table2_V5_w3C28!E:E,nan(),0)</f>
        <v>-2.1916000000000002</v>
      </c>
      <c r="E279" s="1">
        <f>_xlfn.XLOOKUP($A279,[1]Table7_badETA!$A:$A,[1]Table7_badETA!C:C,"-",0)</f>
        <v>2.1340000000000001E-2</v>
      </c>
      <c r="F279" s="1">
        <f>_xlfn.XLOOKUP($A279,[1]Table7_badETA!$A:$A,[1]Table7_badETA!E:E,"-",0)</f>
        <v>6.1079999999999997E-3</v>
      </c>
      <c r="G279" s="5">
        <f>_xlfn.XLOOKUP($A279,[1]Table7_badETA!$A:$A,[1]Table7_badETA!F:F,"-",0)</f>
        <v>1.1800000000000001E-9</v>
      </c>
      <c r="H279" s="6">
        <f>_xlfn.XLOOKUP($A279,[1]Table7_badETA!$A:$A,[1]Table7_badETA!H:H,"-",0)</f>
        <v>6.6299999999999996E-9</v>
      </c>
      <c r="I279" s="2">
        <f>_xlfn.XLOOKUP($A279,[1]Table7_badETA!$A:$A,[1]Table7_badETA!M:M,"-",0)</f>
        <v>0.93969999999999998</v>
      </c>
      <c r="J279" s="2">
        <f>_xlfn.XLOOKUP($A279,[1]Table7_badETA!$A:$A,[1]Table7_badETA!O:O,"-",0)</f>
        <v>5.96E-3</v>
      </c>
      <c r="K279" s="2">
        <f>_xlfn.XLOOKUP($A279,[1]morph_04R500.dat!$A:$A,[1]morph_04R500.dat!P:P,"-",0)</f>
        <v>-61.92</v>
      </c>
      <c r="L279" s="2">
        <f>_xlfn.XLOOKUP($A279,[1]morph_04R500.dat!$A:$A,[1]morph_04R500.dat!R:R,"-",0)</f>
        <v>2.8820000000000001</v>
      </c>
      <c r="M279" s="2">
        <f>_xlfn.XLOOKUP($A279,[1]Table7_badETA!$A:$A,[1]Table7_badETA!T:T,"-",0)</f>
        <v>0.54227769110764434</v>
      </c>
      <c r="N279" s="2">
        <f>_xlfn.XLOOKUP($A279,[1]Table7_badETA!$A:$A,[1]Table7_badETA!U:U,"-",0)</f>
        <v>8.1582272935026064E-3</v>
      </c>
      <c r="O279" s="7">
        <f>_xlfn.XLOOKUP($A279,[1]Table7_badETA!$A:$A,[1]Table7_badETA!S:S,"-",0)</f>
        <v>467.70001999999999</v>
      </c>
    </row>
    <row r="280" spans="1:15" x14ac:dyDescent="0.2">
      <c r="A280" s="8" t="s">
        <v>291</v>
      </c>
      <c r="B280" s="8" cm="1">
        <f t="array" aca="1" ref="B280" ca="1">_xlfn.XLOOKUP(A280,[1]Table2_V5_w3C28!A:A,[1]Table2_V5_w3C28!B:B,nan(),0)</f>
        <v>0.3</v>
      </c>
      <c r="C280" s="8" cm="1">
        <f t="array" aca="1" ref="C280" ca="1">_xlfn.XLOOKUP(A280,[1]Table2_V5_w3C28!A:A,[1]Table2_V5_w3C28!D:D,nan(),0)</f>
        <v>347.88850000000002</v>
      </c>
      <c r="D280" s="8" cm="1">
        <f t="array" aca="1" ref="D280" ca="1">_xlfn.XLOOKUP(A280,[1]Table2_V5_w3C28!A:A,[1]Table2_V5_w3C28!E:E,nan(),0)</f>
        <v>3.6353</v>
      </c>
      <c r="E280" s="1">
        <f>_xlfn.XLOOKUP($A280,[1]Table7_badETA!$A:$A,[1]Table7_badETA!C:C,"-",0)</f>
        <v>5.6049999999999997E-3</v>
      </c>
      <c r="F280" s="1">
        <f>_xlfn.XLOOKUP($A280,[1]Table7_badETA!$A:$A,[1]Table7_badETA!E:E,"-",0)</f>
        <v>1.554E-3</v>
      </c>
      <c r="G280" s="5">
        <f>_xlfn.XLOOKUP($A280,[1]Table7_badETA!$A:$A,[1]Table7_badETA!F:F,"-",0)</f>
        <v>3.32E-8</v>
      </c>
      <c r="H280" s="6">
        <f>_xlfn.XLOOKUP($A280,[1]Table7_badETA!$A:$A,[1]Table7_badETA!H:H,"-",0)</f>
        <v>2.5600000000000001E-8</v>
      </c>
      <c r="I280" s="2">
        <f>_xlfn.XLOOKUP($A280,[1]Table7_badETA!$A:$A,[1]Table7_badETA!M:M,"-",0)</f>
        <v>0.90369999999999995</v>
      </c>
      <c r="J280" s="2">
        <f>_xlfn.XLOOKUP($A280,[1]Table7_badETA!$A:$A,[1]Table7_badETA!O:O,"-",0)</f>
        <v>7.3330000000000001E-3</v>
      </c>
      <c r="K280" s="2">
        <f>_xlfn.XLOOKUP($A280,[1]morph_04R500.dat!$A:$A,[1]morph_04R500.dat!P:P,"-",0)</f>
        <v>27.49</v>
      </c>
      <c r="L280" s="2">
        <f>_xlfn.XLOOKUP($A280,[1]morph_04R500.dat!$A:$A,[1]morph_04R500.dat!R:R,"-",0)</f>
        <v>2.5009999999999999</v>
      </c>
      <c r="M280" s="2">
        <f>_xlfn.XLOOKUP($A280,[1]Table7_badETA!$A:$A,[1]Table7_badETA!T:T,"-",0)</f>
        <v>0.49978485370051634</v>
      </c>
      <c r="N280" s="2">
        <f>_xlfn.XLOOKUP($A280,[1]Table7_badETA!$A:$A,[1]Table7_badETA!U:U,"-",0)</f>
        <v>1.4789046846547717E-2</v>
      </c>
      <c r="O280" s="7">
        <f>_xlfn.XLOOKUP($A280,[1]Table7_badETA!$A:$A,[1]Table7_badETA!S:S,"-",0)</f>
        <v>528.96469999999999</v>
      </c>
    </row>
    <row r="281" spans="1:15" x14ac:dyDescent="0.2">
      <c r="A281" s="8" t="s">
        <v>292</v>
      </c>
      <c r="B281" s="8" cm="1">
        <f t="array" aca="1" ref="B281" ca="1">_xlfn.XLOOKUP(A281,[1]Table2_V5_w3C28!A:A,[1]Table2_V5_w3C28!B:B,nan(),0)</f>
        <v>0.123</v>
      </c>
      <c r="C281" s="8" cm="1">
        <f t="array" aca="1" ref="C281" ca="1">_xlfn.XLOOKUP(A281,[1]Table2_V5_w3C28!A:A,[1]Table2_V5_w3C28!D:D,nan(),0)</f>
        <v>347.89929999999998</v>
      </c>
      <c r="D281" s="8" cm="1">
        <f t="array" aca="1" ref="D281" ca="1">_xlfn.XLOOKUP(A281,[1]Table2_V5_w3C28!A:A,[1]Table2_V5_w3C28!E:E,nan(),0)</f>
        <v>-21.746200000000002</v>
      </c>
      <c r="E281" s="1">
        <f>_xlfn.XLOOKUP($A281,[1]Table7_badETA!$A:$A,[1]Table7_badETA!C:C,"-",0)</f>
        <v>4.5900000000000003E-2</v>
      </c>
      <c r="F281" s="1">
        <f>_xlfn.XLOOKUP($A281,[1]Table7_badETA!$A:$A,[1]Table7_badETA!E:E,"-",0)</f>
        <v>3.2339999999999999E-3</v>
      </c>
      <c r="G281" s="5">
        <f>_xlfn.XLOOKUP($A281,[1]Table7_badETA!$A:$A,[1]Table7_badETA!F:F,"-",0)</f>
        <v>7.3099999999999998E-9</v>
      </c>
      <c r="H281" s="6">
        <f>_xlfn.XLOOKUP($A281,[1]Table7_badETA!$A:$A,[1]Table7_badETA!H:H,"-",0)</f>
        <v>1.7800000000000001E-8</v>
      </c>
      <c r="I281" s="2">
        <f>_xlfn.XLOOKUP($A281,[1]Table7_badETA!$A:$A,[1]Table7_badETA!M:M,"-",0)</f>
        <v>0.9869</v>
      </c>
      <c r="J281" s="2">
        <f>_xlfn.XLOOKUP($A281,[1]Table7_badETA!$A:$A,[1]Table7_badETA!O:O,"-",0)</f>
        <v>8.7379999999999992E-3</v>
      </c>
      <c r="K281" s="2">
        <f>_xlfn.XLOOKUP($A281,[1]morph_04R500.dat!$A:$A,[1]morph_04R500.dat!P:P,"-",0)</f>
        <v>-38.51</v>
      </c>
      <c r="L281" s="2">
        <f>_xlfn.XLOOKUP($A281,[1]morph_04R500.dat!$A:$A,[1]morph_04R500.dat!R:R,"-",0)</f>
        <v>25.14</v>
      </c>
      <c r="M281" s="2">
        <f>_xlfn.XLOOKUP($A281,[1]Table7_badETA!$A:$A,[1]Table7_badETA!T:T,"-",0)</f>
        <v>0.6296081997024302</v>
      </c>
      <c r="N281" s="2">
        <f>_xlfn.XLOOKUP($A281,[1]Table7_badETA!$A:$A,[1]Table7_badETA!U:U,"-",0)</f>
        <v>1.8913735982689195E-2</v>
      </c>
      <c r="O281" s="7">
        <f>_xlfn.XLOOKUP($A281,[1]Table7_badETA!$A:$A,[1]Table7_badETA!S:S,"-",0)</f>
        <v>244.46659</v>
      </c>
    </row>
    <row r="282" spans="1:15" x14ac:dyDescent="0.2">
      <c r="A282" s="8" t="s">
        <v>293</v>
      </c>
      <c r="B282" s="8" cm="1">
        <f t="array" aca="1" ref="B282" ca="1">_xlfn.XLOOKUP(A282,[1]Table2_V5_w3C28!A:A,[1]Table2_V5_w3C28!B:B,nan(),0)</f>
        <v>8.6999999999999994E-2</v>
      </c>
      <c r="C282" s="8" cm="1">
        <f t="array" aca="1" ref="C282" ca="1">_xlfn.XLOOKUP(A282,[1]Table2_V5_w3C28!A:A,[1]Table2_V5_w3C28!D:D,nan(),0)</f>
        <v>348.25560000000002</v>
      </c>
      <c r="D282" s="8" cm="1">
        <f t="array" aca="1" ref="D282" ca="1">_xlfn.XLOOKUP(A282,[1]Table2_V5_w3C28!A:A,[1]Table2_V5_w3C28!E:E,nan(),0)</f>
        <v>-21.634399999999999</v>
      </c>
      <c r="E282" s="1">
        <f>_xlfn.XLOOKUP($A282,[1]Table7_badETA!$A:$A,[1]Table7_badETA!C:C,"-",0)</f>
        <v>1.1089999999999999E-2</v>
      </c>
      <c r="F282" s="1">
        <f>_xlfn.XLOOKUP($A282,[1]Table7_badETA!$A:$A,[1]Table7_badETA!E:E,"-",0)</f>
        <v>1.4599999999999999E-3</v>
      </c>
      <c r="G282" s="5">
        <f>_xlfn.XLOOKUP($A282,[1]Table7_badETA!$A:$A,[1]Table7_badETA!F:F,"-",0)</f>
        <v>1.6000000000000001E-9</v>
      </c>
      <c r="H282" s="6">
        <f>_xlfn.XLOOKUP($A282,[1]Table7_badETA!$A:$A,[1]Table7_badETA!H:H,"-",0)</f>
        <v>3.8300000000000002E-9</v>
      </c>
      <c r="I282" s="2">
        <f>_xlfn.XLOOKUP($A282,[1]Table7_badETA!$A:$A,[1]Table7_badETA!M:M,"-",0)</f>
        <v>0.9153</v>
      </c>
      <c r="J282" s="2">
        <f>_xlfn.XLOOKUP($A282,[1]Table7_badETA!$A:$A,[1]Table7_badETA!O:O,"-",0)</f>
        <v>5.9829999999999996E-3</v>
      </c>
      <c r="K282" s="2">
        <f>_xlfn.XLOOKUP($A282,[1]morph_04R500.dat!$A:$A,[1]morph_04R500.dat!P:P,"-",0)</f>
        <v>-38.630000000000003</v>
      </c>
      <c r="L282" s="2">
        <f>_xlfn.XLOOKUP($A282,[1]morph_04R500.dat!$A:$A,[1]morph_04R500.dat!R:R,"-",0)</f>
        <v>1.768</v>
      </c>
      <c r="M282" s="2">
        <f>_xlfn.XLOOKUP($A282,[1]Table7_badETA!$A:$A,[1]Table7_badETA!T:T,"-",0)</f>
        <v>0.67569035762788587</v>
      </c>
      <c r="N282" s="2">
        <f>_xlfn.XLOOKUP($A282,[1]Table7_badETA!$A:$A,[1]Table7_badETA!U:U,"-",0)</f>
        <v>6.5727071597357026E-3</v>
      </c>
      <c r="O282" s="7">
        <f>_xlfn.XLOOKUP($A282,[1]Table7_badETA!$A:$A,[1]Table7_badETA!S:S,"-",0)</f>
        <v>374.89138000000003</v>
      </c>
    </row>
    <row r="283" spans="1:15" x14ac:dyDescent="0.2">
      <c r="A283" s="8" t="s">
        <v>294</v>
      </c>
      <c r="B283" s="8" cm="1">
        <f t="array" aca="1" ref="B283" ca="1">_xlfn.XLOOKUP(A283,[1]Table2_V5_w3C28!A:A,[1]Table2_V5_w3C28!B:B,nan(),0)</f>
        <v>5.8000000000000003E-2</v>
      </c>
      <c r="C283" s="8" cm="1">
        <f t="array" aca="1" ref="C283" ca="1">_xlfn.XLOOKUP(A283,[1]Table2_V5_w3C28!A:A,[1]Table2_V5_w3C28!D:D,nan(),0)</f>
        <v>348.49459999999999</v>
      </c>
      <c r="D283" s="8" cm="1">
        <f t="array" aca="1" ref="D283" ca="1">_xlfn.XLOOKUP(A283,[1]Table2_V5_w3C28!A:A,[1]Table2_V5_w3C28!E:E,nan(),0)</f>
        <v>-42.725299999999997</v>
      </c>
      <c r="E283" s="1">
        <f>_xlfn.XLOOKUP($A283,[1]Table7_badETA!$A:$A,[1]Table7_badETA!C:C,"-",0)</f>
        <v>1.9640000000000001E-2</v>
      </c>
      <c r="F283" s="1">
        <f>_xlfn.XLOOKUP($A283,[1]Table7_badETA!$A:$A,[1]Table7_badETA!E:E,"-",0)</f>
        <v>3.6679999999999998E-3</v>
      </c>
      <c r="G283" s="5">
        <f>_xlfn.XLOOKUP($A283,[1]Table7_badETA!$A:$A,[1]Table7_badETA!F:F,"-",0)</f>
        <v>1.16E-8</v>
      </c>
      <c r="H283" s="6">
        <f>_xlfn.XLOOKUP($A283,[1]Table7_badETA!$A:$A,[1]Table7_badETA!H:H,"-",0)</f>
        <v>2.7099999999999999E-9</v>
      </c>
      <c r="I283" s="2">
        <f>_xlfn.XLOOKUP($A283,[1]Table7_badETA!$A:$A,[1]Table7_badETA!M:M,"-",0)</f>
        <v>0.90010000000000001</v>
      </c>
      <c r="J283" s="2">
        <f>_xlfn.XLOOKUP($A283,[1]Table7_badETA!$A:$A,[1]Table7_badETA!O:O,"-",0)</f>
        <v>2.4060000000000002E-3</v>
      </c>
      <c r="K283" s="2">
        <f>_xlfn.XLOOKUP($A283,[1]morph_04R500.dat!$A:$A,[1]morph_04R500.dat!P:P,"-",0)</f>
        <v>58.76</v>
      </c>
      <c r="L283" s="2">
        <f>_xlfn.XLOOKUP($A283,[1]morph_04R500.dat!$A:$A,[1]morph_04R500.dat!R:R,"-",0)</f>
        <v>0.64510000000000001</v>
      </c>
      <c r="M283" s="2">
        <f>_xlfn.XLOOKUP($A283,[1]Table7_badETA!$A:$A,[1]Table7_badETA!T:T,"-",0)</f>
        <v>0.77880069669071916</v>
      </c>
      <c r="N283" s="2">
        <f>_xlfn.XLOOKUP($A283,[1]Table7_badETA!$A:$A,[1]Table7_badETA!U:U,"-",0)</f>
        <v>3.8795941035276445E-3</v>
      </c>
      <c r="O283" s="7">
        <f>_xlfn.XLOOKUP($A283,[1]Table7_badETA!$A:$A,[1]Table7_badETA!S:S,"-",0)</f>
        <v>318.02424000000002</v>
      </c>
    </row>
    <row r="284" spans="1:15" x14ac:dyDescent="0.2">
      <c r="A284" s="8" t="s">
        <v>295</v>
      </c>
      <c r="B284" s="8" cm="1">
        <f t="array" aca="1" ref="B284" ca="1">_xlfn.XLOOKUP(A284,[1]Table2_V5_w3C28!A:A,[1]Table2_V5_w3C28!B:B,nan(),0)</f>
        <v>0.78</v>
      </c>
      <c r="C284" s="8" cm="1">
        <f t="array" aca="1" ref="C284" ca="1">_xlfn.XLOOKUP(A284,[1]Table2_V5_w3C28!A:A,[1]Table2_V5_w3C28!D:D,nan(),0)</f>
        <v>349.62959999999998</v>
      </c>
      <c r="D284" s="8" cm="1">
        <f t="array" aca="1" ref="D284" ca="1">_xlfn.XLOOKUP(A284,[1]Table2_V5_w3C28!A:A,[1]Table2_V5_w3C28!E:E,nan(),0)</f>
        <v>0.56740000000000002</v>
      </c>
      <c r="E284" s="1">
        <f>_xlfn.XLOOKUP($A284,[1]Table7_badETA!$A:$A,[1]Table7_badETA!C:C,"-",0)</f>
        <v>3.9390000000000001E-2</v>
      </c>
      <c r="F284" s="1">
        <f>_xlfn.XLOOKUP($A284,[1]Table7_badETA!$A:$A,[1]Table7_badETA!E:E,"-",0)</f>
        <v>9.0799999999999995E-3</v>
      </c>
      <c r="G284" s="5">
        <f>_xlfn.XLOOKUP($A284,[1]Table7_badETA!$A:$A,[1]Table7_badETA!F:F,"-",0)</f>
        <v>1.2E-8</v>
      </c>
      <c r="H284" s="6">
        <f>_xlfn.XLOOKUP($A284,[1]Table7_badETA!$A:$A,[1]Table7_badETA!H:H,"-",0)</f>
        <v>8.0999999999999997E-8</v>
      </c>
      <c r="I284" s="2">
        <f>_xlfn.XLOOKUP($A284,[1]Table7_badETA!$A:$A,[1]Table7_badETA!M:M,"-",0)</f>
        <v>0.95979999999999999</v>
      </c>
      <c r="J284" s="2">
        <f>_xlfn.XLOOKUP($A284,[1]Table7_badETA!$A:$A,[1]Table7_badETA!O:O,"-",0)</f>
        <v>1.235E-2</v>
      </c>
      <c r="K284" s="2">
        <f>_xlfn.XLOOKUP($A284,[1]morph_04R500.dat!$A:$A,[1]morph_04R500.dat!P:P,"-",0)</f>
        <v>34.26</v>
      </c>
      <c r="L284" s="2">
        <f>_xlfn.XLOOKUP($A284,[1]morph_04R500.dat!$A:$A,[1]morph_04R500.dat!R:R,"-",0)</f>
        <v>9.593</v>
      </c>
      <c r="M284" s="2" t="str">
        <f>_xlfn.XLOOKUP($A284,[1]Table7_badETA!$A:$A,[1]Table7_badETA!T:T,"-",0)</f>
        <v>-</v>
      </c>
      <c r="N284" s="2" t="str">
        <f>_xlfn.XLOOKUP($A284,[1]Table7_badETA!$A:$A,[1]Table7_badETA!U:U,"-",0)</f>
        <v>-</v>
      </c>
      <c r="O284" s="7">
        <f>_xlfn.XLOOKUP($A284,[1]Table7_badETA!$A:$A,[1]Table7_badETA!S:S,"-",0)</f>
        <v>317.21791000000002</v>
      </c>
    </row>
    <row r="285" spans="1:15" x14ac:dyDescent="0.2">
      <c r="A285" s="8" t="s">
        <v>296</v>
      </c>
      <c r="B285" s="8" cm="1">
        <f t="array" aca="1" ref="B285" ca="1">_xlfn.XLOOKUP(A285,[1]Table2_V5_w3C28!A:A,[1]Table2_V5_w3C28!B:B,nan(),0)</f>
        <v>8.5000000000000006E-2</v>
      </c>
      <c r="C285" s="8" cm="1">
        <f t="array" aca="1" ref="C285" ca="1">_xlfn.XLOOKUP(A285,[1]Table2_V5_w3C28!A:A,[1]Table2_V5_w3C28!D:D,nan(),0)</f>
        <v>351.33260000000001</v>
      </c>
      <c r="D285" s="8" cm="1">
        <f t="array" aca="1" ref="D285" ca="1">_xlfn.XLOOKUP(A285,[1]Table2_V5_w3C28!A:A,[1]Table2_V5_w3C28!E:E,nan(),0)</f>
        <v>-12.1242</v>
      </c>
      <c r="E285" s="1">
        <f>_xlfn.XLOOKUP($A285,[1]Table7_badETA!$A:$A,[1]Table7_badETA!C:C,"-",0)</f>
        <v>2.758E-2</v>
      </c>
      <c r="F285" s="1">
        <f>_xlfn.XLOOKUP($A285,[1]Table7_badETA!$A:$A,[1]Table7_badETA!E:E,"-",0)</f>
        <v>8.1320000000000003E-4</v>
      </c>
      <c r="G285" s="5">
        <f>_xlfn.XLOOKUP($A285,[1]Table7_badETA!$A:$A,[1]Table7_badETA!F:F,"-",0)</f>
        <v>8.9400000000000006E-8</v>
      </c>
      <c r="H285" s="6">
        <f>_xlfn.XLOOKUP($A285,[1]Table7_badETA!$A:$A,[1]Table7_badETA!H:H,"-",0)</f>
        <v>4.5800000000000003E-9</v>
      </c>
      <c r="I285" s="2">
        <f>_xlfn.XLOOKUP($A285,[1]Table7_badETA!$A:$A,[1]Table7_badETA!M:M,"-",0)</f>
        <v>0.96299999999999997</v>
      </c>
      <c r="J285" s="2">
        <f>_xlfn.XLOOKUP($A285,[1]Table7_badETA!$A:$A,[1]Table7_badETA!O:O,"-",0)</f>
        <v>1.9629999999999999E-3</v>
      </c>
      <c r="K285" s="2">
        <f>_xlfn.XLOOKUP($A285,[1]morph_04R500.dat!$A:$A,[1]morph_04R500.dat!P:P,"-",0)</f>
        <v>-64.31</v>
      </c>
      <c r="L285" s="2">
        <f>_xlfn.XLOOKUP($A285,[1]morph_04R500.dat!$A:$A,[1]morph_04R500.dat!R:R,"-",0)</f>
        <v>1.4219999999999999</v>
      </c>
      <c r="M285" s="2">
        <f>_xlfn.XLOOKUP($A285,[1]Table7_badETA!$A:$A,[1]Table7_badETA!T:T,"-",0)</f>
        <v>0.82285868198958512</v>
      </c>
      <c r="N285" s="2">
        <f>_xlfn.XLOOKUP($A285,[1]Table7_badETA!$A:$A,[1]Table7_badETA!U:U,"-",0)</f>
        <v>2.3161868182390742E-3</v>
      </c>
      <c r="O285" s="7">
        <f>_xlfn.XLOOKUP($A285,[1]Table7_badETA!$A:$A,[1]Table7_badETA!S:S,"-",0)</f>
        <v>408.87067000000002</v>
      </c>
    </row>
    <row r="286" spans="1:15" x14ac:dyDescent="0.2">
      <c r="A286" s="8" t="s">
        <v>297</v>
      </c>
      <c r="B286" s="8" cm="1">
        <f t="array" aca="1" ref="B286" ca="1">_xlfn.XLOOKUP(A286,[1]Table2_V5_w3C28!A:A,[1]Table2_V5_w3C28!B:B,nan(),0)</f>
        <v>0.57099999999999995</v>
      </c>
      <c r="C286" s="8" cm="1">
        <f t="array" aca="1" ref="C286" ca="1">_xlfn.XLOOKUP(A286,[1]Table2_V5_w3C28!A:A,[1]Table2_V5_w3C28!D:D,nan(),0)</f>
        <v>352.9633</v>
      </c>
      <c r="D286" s="8" cm="1">
        <f t="array" aca="1" ref="D286" ca="1">_xlfn.XLOOKUP(A286,[1]Table2_V5_w3C28!A:A,[1]Table2_V5_w3C28!E:E,nan(),0)</f>
        <v>-50.864899999999999</v>
      </c>
      <c r="E286" s="1">
        <f>_xlfn.XLOOKUP($A286,[1]Table7_badETA!$A:$A,[1]Table7_badETA!C:C,"-",0)</f>
        <v>0.107</v>
      </c>
      <c r="F286" s="1">
        <f>_xlfn.XLOOKUP($A286,[1]Table7_badETA!$A:$A,[1]Table7_badETA!E:E,"-",0)</f>
        <v>1.2710000000000001E-2</v>
      </c>
      <c r="G286" s="5">
        <f>_xlfn.XLOOKUP($A286,[1]Table7_badETA!$A:$A,[1]Table7_badETA!F:F,"-",0)</f>
        <v>1.6299999999999999E-7</v>
      </c>
      <c r="H286" s="6">
        <f>_xlfn.XLOOKUP($A286,[1]Table7_badETA!$A:$A,[1]Table7_badETA!H:H,"-",0)</f>
        <v>2.84E-7</v>
      </c>
      <c r="I286" s="2">
        <f>_xlfn.XLOOKUP($A286,[1]Table7_badETA!$A:$A,[1]Table7_badETA!M:M,"-",0)</f>
        <v>0.84940000000000004</v>
      </c>
      <c r="J286" s="2">
        <f>_xlfn.XLOOKUP($A286,[1]Table7_badETA!$A:$A,[1]Table7_badETA!O:O,"-",0)</f>
        <v>0.1045</v>
      </c>
      <c r="K286" s="2">
        <f>_xlfn.XLOOKUP($A286,[1]morph_04R500.dat!$A:$A,[1]morph_04R500.dat!P:P,"-",0)</f>
        <v>1.7130000000000001</v>
      </c>
      <c r="L286" s="2">
        <f>_xlfn.XLOOKUP($A286,[1]morph_04R500.dat!$A:$A,[1]morph_04R500.dat!R:R,"-",0)</f>
        <v>4.3730000000000002</v>
      </c>
      <c r="M286" s="2" t="str">
        <f>_xlfn.XLOOKUP($A286,[1]Table7_badETA!$A:$A,[1]Table7_badETA!T:T,"-",0)</f>
        <v>-</v>
      </c>
      <c r="N286" s="2" t="str">
        <f>_xlfn.XLOOKUP($A286,[1]Table7_badETA!$A:$A,[1]Table7_badETA!U:U,"-",0)</f>
        <v>-</v>
      </c>
      <c r="O286" s="7">
        <f>_xlfn.XLOOKUP($A286,[1]Table7_badETA!$A:$A,[1]Table7_badETA!S:S,"-",0)</f>
        <v>334.28492</v>
      </c>
    </row>
    <row r="287" spans="1:15" x14ac:dyDescent="0.2">
      <c r="A287" s="8" t="s">
        <v>298</v>
      </c>
      <c r="B287" s="8" cm="1">
        <f t="array" aca="1" ref="B287" ca="1">_xlfn.XLOOKUP(A287,[1]Table2_V5_w3C28!A:A,[1]Table2_V5_w3C28!B:B,nan(),0)</f>
        <v>0.193</v>
      </c>
      <c r="C287" s="8" cm="1">
        <f t="array" aca="1" ref="C287" ca="1">_xlfn.XLOOKUP(A287,[1]Table2_V5_w3C28!A:A,[1]Table2_V5_w3C28!D:D,nan(),0)</f>
        <v>355.02879999999999</v>
      </c>
      <c r="D287" s="8" cm="1">
        <f t="array" aca="1" ref="D287" ca="1">_xlfn.XLOOKUP(A287,[1]Table2_V5_w3C28!A:A,[1]Table2_V5_w3C28!E:E,nan(),0)</f>
        <v>-85.197400000000002</v>
      </c>
      <c r="E287" s="1">
        <f>_xlfn.XLOOKUP($A287,[1]Table7_badETA!$A:$A,[1]Table7_badETA!C:C,"-",0)</f>
        <v>0.19489999999999999</v>
      </c>
      <c r="F287" s="1">
        <f>_xlfn.XLOOKUP($A287,[1]Table7_badETA!$A:$A,[1]Table7_badETA!E:E,"-",0)</f>
        <v>1.188E-2</v>
      </c>
      <c r="G287" s="5">
        <f>_xlfn.XLOOKUP($A287,[1]Table7_badETA!$A:$A,[1]Table7_badETA!F:F,"-",0)</f>
        <v>1.86E-7</v>
      </c>
      <c r="H287" s="6">
        <f>_xlfn.XLOOKUP($A287,[1]Table7_badETA!$A:$A,[1]Table7_badETA!H:H,"-",0)</f>
        <v>1.35E-7</v>
      </c>
      <c r="I287" s="2">
        <f>_xlfn.XLOOKUP($A287,[1]Table7_badETA!$A:$A,[1]Table7_badETA!M:M,"-",0)</f>
        <v>0.80789999999999995</v>
      </c>
      <c r="J287" s="2">
        <f>_xlfn.XLOOKUP($A287,[1]Table7_badETA!$A:$A,[1]Table7_badETA!O:O,"-",0)</f>
        <v>0.1164</v>
      </c>
      <c r="K287" s="2">
        <f>_xlfn.XLOOKUP($A287,[1]morph_04R500.dat!$A:$A,[1]morph_04R500.dat!P:P,"-",0)</f>
        <v>1.0429999999999999</v>
      </c>
      <c r="L287" s="2">
        <f>_xlfn.XLOOKUP($A287,[1]morph_04R500.dat!$A:$A,[1]morph_04R500.dat!R:R,"-",0)</f>
        <v>1.4850000000000001</v>
      </c>
      <c r="M287" s="2" t="str">
        <f>_xlfn.XLOOKUP($A287,[1]Table7_badETA!$A:$A,[1]Table7_badETA!T:T,"-",0)</f>
        <v>-</v>
      </c>
      <c r="N287" s="2" t="str">
        <f>_xlfn.XLOOKUP($A287,[1]Table7_badETA!$A:$A,[1]Table7_badETA!U:U,"-",0)</f>
        <v>-</v>
      </c>
      <c r="O287" s="7">
        <f>_xlfn.XLOOKUP($A287,[1]Table7_badETA!$A:$A,[1]Table7_badETA!S:S,"-",0)</f>
        <v>483.86691000000002</v>
      </c>
    </row>
    <row r="288" spans="1:15" x14ac:dyDescent="0.2">
      <c r="A288" s="8" t="s">
        <v>299</v>
      </c>
      <c r="B288" s="8" cm="1">
        <f t="array" aca="1" ref="B288" ca="1">_xlfn.XLOOKUP(A288,[1]Table2_V5_w3C28!A:A,[1]Table2_V5_w3C28!B:B,nan(),0)</f>
        <v>0.251</v>
      </c>
      <c r="C288" s="8" cm="1">
        <f t="array" aca="1" ref="C288" ca="1">_xlfn.XLOOKUP(A288,[1]Table2_V5_w3C28!A:A,[1]Table2_V5_w3C28!D:D,nan(),0)</f>
        <v>355.32319999999999</v>
      </c>
      <c r="D288" s="8" cm="1">
        <f t="array" aca="1" ref="D288" ca="1">_xlfn.XLOOKUP(A288,[1]Table2_V5_w3C28!A:A,[1]Table2_V5_w3C28!E:E,nan(),0)</f>
        <v>-9.0165000000000006</v>
      </c>
      <c r="E288" s="1">
        <f>_xlfn.XLOOKUP($A288,[1]Table7_badETA!$A:$A,[1]Table7_badETA!C:C,"-",0)</f>
        <v>3.465E-2</v>
      </c>
      <c r="F288" s="1">
        <f>_xlfn.XLOOKUP($A288,[1]Table7_badETA!$A:$A,[1]Table7_badETA!E:E,"-",0)</f>
        <v>7.0759999999999998E-3</v>
      </c>
      <c r="G288" s="5">
        <f>_xlfn.XLOOKUP($A288,[1]Table7_badETA!$A:$A,[1]Table7_badETA!F:F,"-",0)</f>
        <v>1.3899999999999999E-7</v>
      </c>
      <c r="H288" s="6">
        <f>_xlfn.XLOOKUP($A288,[1]Table7_badETA!$A:$A,[1]Table7_badETA!H:H,"-",0)</f>
        <v>1.1899999999999999E-7</v>
      </c>
      <c r="I288" s="2">
        <f>_xlfn.XLOOKUP($A288,[1]Table7_badETA!$A:$A,[1]Table7_badETA!M:M,"-",0)</f>
        <v>0.86550000000000005</v>
      </c>
      <c r="J288" s="2">
        <f>_xlfn.XLOOKUP($A288,[1]Table7_badETA!$A:$A,[1]Table7_badETA!O:O,"-",0)</f>
        <v>1.243E-2</v>
      </c>
      <c r="K288" s="2">
        <f>_xlfn.XLOOKUP($A288,[1]morph_04R500.dat!$A:$A,[1]morph_04R500.dat!P:P,"-",0)</f>
        <v>32.08</v>
      </c>
      <c r="L288" s="2">
        <f>_xlfn.XLOOKUP($A288,[1]morph_04R500.dat!$A:$A,[1]morph_04R500.dat!R:R,"-",0)</f>
        <v>2.992</v>
      </c>
      <c r="M288" s="2" t="str">
        <f>_xlfn.XLOOKUP($A288,[1]Table7_badETA!$A:$A,[1]Table7_badETA!T:T,"-",0)</f>
        <v>-</v>
      </c>
      <c r="N288" s="2" t="str">
        <f>_xlfn.XLOOKUP($A288,[1]Table7_badETA!$A:$A,[1]Table7_badETA!U:U,"-",0)</f>
        <v>-</v>
      </c>
      <c r="O288" s="7">
        <f>_xlfn.XLOOKUP($A288,[1]Table7_badETA!$A:$A,[1]Table7_badETA!S:S,"-",0)</f>
        <v>459.48764</v>
      </c>
    </row>
    <row r="289" spans="1:15" x14ac:dyDescent="0.2">
      <c r="A289" s="8" t="s">
        <v>300</v>
      </c>
      <c r="B289" s="8" cm="1">
        <f t="array" aca="1" ref="B289" ca="1">_xlfn.XLOOKUP(A289,[1]Table2_V5_w3C28!A:A,[1]Table2_V5_w3C28!B:B,nan(),0)</f>
        <v>7.9000000000000001E-2</v>
      </c>
      <c r="C289" s="8" cm="1">
        <f t="array" aca="1" ref="C289" ca="1">_xlfn.XLOOKUP(A289,[1]Table2_V5_w3C28!A:A,[1]Table2_V5_w3C28!D:D,nan(),0)</f>
        <v>356.07690000000002</v>
      </c>
      <c r="D289" s="8" cm="1">
        <f t="array" aca="1" ref="D289" ca="1">_xlfn.XLOOKUP(A289,[1]Table2_V5_w3C28!A:A,[1]Table2_V5_w3C28!E:E,nan(),0)</f>
        <v>-4.3815999999999997</v>
      </c>
      <c r="E289" s="1">
        <f>_xlfn.XLOOKUP($A289,[1]Table7_badETA!$A:$A,[1]Table7_badETA!C:C,"-",0)</f>
        <v>3.977E-2</v>
      </c>
      <c r="F289" s="1">
        <f>_xlfn.XLOOKUP($A289,[1]Table7_badETA!$A:$A,[1]Table7_badETA!E:E,"-",0)</f>
        <v>2.493E-3</v>
      </c>
      <c r="G289" s="5">
        <f>_xlfn.XLOOKUP($A289,[1]Table7_badETA!$A:$A,[1]Table7_badETA!F:F,"-",0)</f>
        <v>5.3799999999999999E-8</v>
      </c>
      <c r="H289" s="6">
        <f>_xlfn.XLOOKUP($A289,[1]Table7_badETA!$A:$A,[1]Table7_badETA!H:H,"-",0)</f>
        <v>3.4100000000000001E-8</v>
      </c>
      <c r="I289" s="2">
        <f>_xlfn.XLOOKUP($A289,[1]Table7_badETA!$A:$A,[1]Table7_badETA!M:M,"-",0)</f>
        <v>0.92179999999999995</v>
      </c>
      <c r="J289" s="2">
        <f>_xlfn.XLOOKUP($A289,[1]Table7_badETA!$A:$A,[1]Table7_badETA!O:O,"-",0)</f>
        <v>7.2649999999999998E-3</v>
      </c>
      <c r="K289" s="2">
        <f>_xlfn.XLOOKUP($A289,[1]morph_04R500.dat!$A:$A,[1]morph_04R500.dat!P:P,"-",0)</f>
        <v>-24.43</v>
      </c>
      <c r="L289" s="2">
        <f>_xlfn.XLOOKUP($A289,[1]morph_04R500.dat!$A:$A,[1]morph_04R500.dat!R:R,"-",0)</f>
        <v>2.9750000000000001</v>
      </c>
      <c r="M289" s="2">
        <f>_xlfn.XLOOKUP($A289,[1]Table7_badETA!$A:$A,[1]Table7_badETA!T:T,"-",0)</f>
        <v>0.34586168697578729</v>
      </c>
      <c r="N289" s="2">
        <f>_xlfn.XLOOKUP($A289,[1]Table7_badETA!$A:$A,[1]Table7_badETA!U:U,"-",0)</f>
        <v>1.2207858550579037E-2</v>
      </c>
      <c r="O289" s="7">
        <f>_xlfn.XLOOKUP($A289,[1]Table7_badETA!$A:$A,[1]Table7_badETA!S:S,"-",0)</f>
        <v>408.84352000000001</v>
      </c>
    </row>
    <row r="290" spans="1:15" x14ac:dyDescent="0.2">
      <c r="A290" s="8" t="s">
        <v>301</v>
      </c>
      <c r="B290" s="8" cm="1">
        <f t="array" aca="1" ref="B290" ca="1">_xlfn.XLOOKUP(A290,[1]Table2_V5_w3C28!A:A,[1]Table2_V5_w3C28!B:B,nan(),0)</f>
        <v>0.26100000000000001</v>
      </c>
      <c r="C290" s="8" cm="1">
        <f t="array" aca="1" ref="C290" ca="1">_xlfn.XLOOKUP(A290,[1]Table2_V5_w3C28!A:A,[1]Table2_V5_w3C28!D:D,nan(),0)</f>
        <v>356.95549999999997</v>
      </c>
      <c r="D290" s="8" cm="1">
        <f t="array" aca="1" ref="D290" ca="1">_xlfn.XLOOKUP(A290,[1]Table2_V5_w3C28!A:A,[1]Table2_V5_w3C28!E:E,nan(),0)</f>
        <v>-35.5867</v>
      </c>
      <c r="E290" s="1">
        <f>_xlfn.XLOOKUP($A290,[1]Table7_badETA!$A:$A,[1]Table7_badETA!C:C,"-",0)</f>
        <v>1.9970000000000002E-2</v>
      </c>
      <c r="F290" s="1">
        <f>_xlfn.XLOOKUP($A290,[1]Table7_badETA!$A:$A,[1]Table7_badETA!E:E,"-",0)</f>
        <v>5.5729999999999998E-3</v>
      </c>
      <c r="G290" s="5">
        <f>_xlfn.XLOOKUP($A290,[1]Table7_badETA!$A:$A,[1]Table7_badETA!F:F,"-",0)</f>
        <v>5.6400000000000002E-8</v>
      </c>
      <c r="H290" s="6">
        <f>_xlfn.XLOOKUP($A290,[1]Table7_badETA!$A:$A,[1]Table7_badETA!H:H,"-",0)</f>
        <v>1.2800000000000001E-7</v>
      </c>
      <c r="I290" s="2">
        <f>_xlfn.XLOOKUP($A290,[1]Table7_badETA!$A:$A,[1]Table7_badETA!M:M,"-",0)</f>
        <v>0.95130000000000003</v>
      </c>
      <c r="J290" s="2">
        <f>_xlfn.XLOOKUP($A290,[1]Table7_badETA!$A:$A,[1]Table7_badETA!O:O,"-",0)</f>
        <v>3.3980000000000003E-2</v>
      </c>
      <c r="K290" s="2">
        <f>_xlfn.XLOOKUP($A290,[1]morph_04R500.dat!$A:$A,[1]morph_04R500.dat!P:P,"-",0)</f>
        <v>-7.2939999999999996</v>
      </c>
      <c r="L290" s="2">
        <f>_xlfn.XLOOKUP($A290,[1]morph_04R500.dat!$A:$A,[1]morph_04R500.dat!R:R,"-",0)</f>
        <v>11.11</v>
      </c>
      <c r="M290" s="2" t="str">
        <f>_xlfn.XLOOKUP($A290,[1]Table7_badETA!$A:$A,[1]Table7_badETA!T:T,"-",0)</f>
        <v>-</v>
      </c>
      <c r="N290" s="2" t="str">
        <f>_xlfn.XLOOKUP($A290,[1]Table7_badETA!$A:$A,[1]Table7_badETA!U:U,"-",0)</f>
        <v>-</v>
      </c>
      <c r="O290" s="7">
        <f>_xlfn.XLOOKUP($A290,[1]Table7_badETA!$A:$A,[1]Table7_badETA!S:S,"-",0)</f>
        <v>446.75776000000002</v>
      </c>
    </row>
    <row r="291" spans="1:15" x14ac:dyDescent="0.2">
      <c r="A291" s="8" t="s">
        <v>302</v>
      </c>
      <c r="B291" s="8" cm="1">
        <f t="array" aca="1" ref="B291" ca="1">_xlfn.XLOOKUP(A291,[1]Table2_V5_w3C28!A:A,[1]Table2_V5_w3C28!B:B,nan(),0)</f>
        <v>5.6000000000000001E-2</v>
      </c>
      <c r="C291" s="8" cm="1">
        <f t="array" aca="1" ref="C291" ca="1">_xlfn.XLOOKUP(A291,[1]Table2_V5_w3C28!A:A,[1]Table2_V5_w3C28!D:D,nan(),0)</f>
        <v>357.71089999999998</v>
      </c>
      <c r="D291" s="8" cm="1">
        <f t="array" aca="1" ref="D291" ca="1">_xlfn.XLOOKUP(A291,[1]Table2_V5_w3C28!A:A,[1]Table2_V5_w3C28!E:E,nan(),0)</f>
        <v>6.1502999999999997</v>
      </c>
      <c r="E291" s="1">
        <f>_xlfn.XLOOKUP($A291,[1]Table7_badETA!$A:$A,[1]Table7_badETA!C:C,"-",0)</f>
        <v>9.8320000000000005E-3</v>
      </c>
      <c r="F291" s="1">
        <f>_xlfn.XLOOKUP($A291,[1]Table7_badETA!$A:$A,[1]Table7_badETA!E:E,"-",0)</f>
        <v>1.9530000000000001E-3</v>
      </c>
      <c r="G291" s="5">
        <f>_xlfn.XLOOKUP($A291,[1]Table7_badETA!$A:$A,[1]Table7_badETA!F:F,"-",0)</f>
        <v>4.8E-8</v>
      </c>
      <c r="H291" s="6">
        <f>_xlfn.XLOOKUP($A291,[1]Table7_badETA!$A:$A,[1]Table7_badETA!H:H,"-",0)</f>
        <v>3.47E-8</v>
      </c>
      <c r="I291" s="2">
        <f>_xlfn.XLOOKUP($A291,[1]Table7_badETA!$A:$A,[1]Table7_badETA!M:M,"-",0)</f>
        <v>0.97299999999999998</v>
      </c>
      <c r="J291" s="2">
        <f>_xlfn.XLOOKUP($A291,[1]Table7_badETA!$A:$A,[1]Table7_badETA!O:O,"-",0)</f>
        <v>2.1690000000000001E-2</v>
      </c>
      <c r="K291" s="2">
        <f>_xlfn.XLOOKUP($A291,[1]morph_04R500.dat!$A:$A,[1]morph_04R500.dat!P:P,"-",0)</f>
        <v>87.11</v>
      </c>
      <c r="L291" s="2">
        <f>_xlfn.XLOOKUP($A291,[1]morph_04R500.dat!$A:$A,[1]morph_04R500.dat!R:R,"-",0)</f>
        <v>7.54</v>
      </c>
      <c r="M291" s="2">
        <f>_xlfn.XLOOKUP($A291,[1]Table7_badETA!$A:$A,[1]Table7_badETA!T:T,"-",0)</f>
        <v>0.50737302020753683</v>
      </c>
      <c r="N291" s="2">
        <f>_xlfn.XLOOKUP($A291,[1]Table7_badETA!$A:$A,[1]Table7_badETA!U:U,"-",0)</f>
        <v>1.4856766053276257E-2</v>
      </c>
      <c r="O291" s="7">
        <f>_xlfn.XLOOKUP($A291,[1]Table7_badETA!$A:$A,[1]Table7_badETA!S:S,"-",0)</f>
        <v>419.34778999999997</v>
      </c>
    </row>
    <row r="292" spans="1:15" x14ac:dyDescent="0.2">
      <c r="A292" s="8" t="s">
        <v>303</v>
      </c>
      <c r="B292" s="8" cm="1">
        <f t="array" aca="1" ref="B292" ca="1">_xlfn.XLOOKUP(A292,[1]Table2_V5_w3C28!A:A,[1]Table2_V5_w3C28!B:B,nan(),0)</f>
        <v>0.23</v>
      </c>
      <c r="C292" s="8" cm="1">
        <f t="array" aca="1" ref="C292" ca="1">_xlfn.XLOOKUP(A292,[1]Table2_V5_w3C28!A:A,[1]Table2_V5_w3C28!D:D,nan(),0)</f>
        <v>357.91410000000002</v>
      </c>
      <c r="D292" s="8" cm="1">
        <f t="array" aca="1" ref="D292" ca="1">_xlfn.XLOOKUP(A292,[1]Table2_V5_w3C28!A:A,[1]Table2_V5_w3C28!E:E,nan(),0)</f>
        <v>-26.0837</v>
      </c>
      <c r="E292" s="1">
        <f>_xlfn.XLOOKUP($A292,[1]Table7_badETA!$A:$A,[1]Table7_badETA!C:C,"-",0)</f>
        <v>3.134E-2</v>
      </c>
      <c r="F292" s="1">
        <f>_xlfn.XLOOKUP($A292,[1]Table7_badETA!$A:$A,[1]Table7_badETA!E:E,"-",0)</f>
        <v>2E-3</v>
      </c>
      <c r="G292" s="5">
        <f>_xlfn.XLOOKUP($A292,[1]Table7_badETA!$A:$A,[1]Table7_badETA!F:F,"-",0)</f>
        <v>2.6499999999999999E-8</v>
      </c>
      <c r="H292" s="6">
        <f>_xlfn.XLOOKUP($A292,[1]Table7_badETA!$A:$A,[1]Table7_badETA!H:H,"-",0)</f>
        <v>1.77E-8</v>
      </c>
      <c r="I292" s="2">
        <f>_xlfn.XLOOKUP($A292,[1]Table7_badETA!$A:$A,[1]Table7_badETA!M:M,"-",0)</f>
        <v>0.88049999999999995</v>
      </c>
      <c r="J292" s="2">
        <f>_xlfn.XLOOKUP($A292,[1]Table7_badETA!$A:$A,[1]Table7_badETA!O:O,"-",0)</f>
        <v>7.92E-3</v>
      </c>
      <c r="K292" s="2">
        <f>_xlfn.XLOOKUP($A292,[1]morph_04R500.dat!$A:$A,[1]morph_04R500.dat!P:P,"-",0)</f>
        <v>56.34</v>
      </c>
      <c r="L292" s="2">
        <f>_xlfn.XLOOKUP($A292,[1]morph_04R500.dat!$A:$A,[1]morph_04R500.dat!R:R,"-",0)</f>
        <v>2.0720000000000001</v>
      </c>
      <c r="M292" s="2">
        <f>_xlfn.XLOOKUP($A292,[1]Table7_badETA!$A:$A,[1]Table7_badETA!T:T,"-",0)</f>
        <v>0.65968127490039841</v>
      </c>
      <c r="N292" s="2">
        <f>_xlfn.XLOOKUP($A292,[1]Table7_badETA!$A:$A,[1]Table7_badETA!U:U,"-",0)</f>
        <v>8.1729597808466864E-3</v>
      </c>
      <c r="O292" s="7">
        <f>_xlfn.XLOOKUP($A292,[1]Table7_badETA!$A:$A,[1]Table7_badETA!S:S,"-",0)</f>
        <v>533.40665999999999</v>
      </c>
    </row>
    <row r="293" spans="1:15" x14ac:dyDescent="0.2">
      <c r="A293" s="8" t="s">
        <v>304</v>
      </c>
      <c r="B293" s="8" cm="1">
        <f t="array" aca="1" ref="B293" ca="1">_xlfn.XLOOKUP(A293,[1]Table2_V5_w3C28!A:A,[1]Table2_V5_w3C28!B:B,nan(),0)</f>
        <v>7.5999999999999998E-2</v>
      </c>
      <c r="C293" s="8" cm="1">
        <f t="array" aca="1" ref="C293" ca="1">_xlfn.XLOOKUP(A293,[1]Table2_V5_w3C28!A:A,[1]Table2_V5_w3C28!D:D,nan(),0)</f>
        <v>358.55709999999999</v>
      </c>
      <c r="D293" s="8" cm="1">
        <f t="array" aca="1" ref="D293" ca="1">_xlfn.XLOOKUP(A293,[1]Table2_V5_w3C28!A:A,[1]Table2_V5_w3C28!E:E,nan(),0)</f>
        <v>-10.4192</v>
      </c>
      <c r="E293" s="1">
        <f>_xlfn.XLOOKUP($A293,[1]Table7_badETA!$A:$A,[1]Table7_badETA!C:C,"-",0)</f>
        <v>6.8809999999999996E-2</v>
      </c>
      <c r="F293" s="1">
        <f>_xlfn.XLOOKUP($A293,[1]Table7_badETA!$A:$A,[1]Table7_badETA!E:E,"-",0)</f>
        <v>2.8540000000000002E-3</v>
      </c>
      <c r="G293" s="5">
        <f>_xlfn.XLOOKUP($A293,[1]Table7_badETA!$A:$A,[1]Table7_badETA!F:F,"-",0)</f>
        <v>2.62E-8</v>
      </c>
      <c r="H293" s="6">
        <f>_xlfn.XLOOKUP($A293,[1]Table7_badETA!$A:$A,[1]Table7_badETA!H:H,"-",0)</f>
        <v>1.31E-8</v>
      </c>
      <c r="I293" s="2">
        <f>_xlfn.XLOOKUP($A293,[1]Table7_badETA!$A:$A,[1]Table7_badETA!M:M,"-",0)</f>
        <v>0.98640000000000005</v>
      </c>
      <c r="J293" s="2">
        <f>_xlfn.XLOOKUP($A293,[1]Table7_badETA!$A:$A,[1]Table7_badETA!O:O,"-",0)</f>
        <v>7.2110000000000004E-3</v>
      </c>
      <c r="K293" s="2">
        <f>_xlfn.XLOOKUP($A293,[1]morph_04R500.dat!$A:$A,[1]morph_04R500.dat!P:P,"-",0)</f>
        <v>74.05</v>
      </c>
      <c r="L293" s="2">
        <f>_xlfn.XLOOKUP($A293,[1]morph_04R500.dat!$A:$A,[1]morph_04R500.dat!R:R,"-",0)</f>
        <v>13.54</v>
      </c>
      <c r="M293" s="2">
        <f>_xlfn.XLOOKUP($A293,[1]Table7_badETA!$A:$A,[1]Table7_badETA!T:T,"-",0)</f>
        <v>0.50884198516828294</v>
      </c>
      <c r="N293" s="2">
        <f>_xlfn.XLOOKUP($A293,[1]Table7_badETA!$A:$A,[1]Table7_badETA!U:U,"-",0)</f>
        <v>9.7800395783607403E-3</v>
      </c>
      <c r="O293" s="7">
        <f>_xlfn.XLOOKUP($A293,[1]Table7_badETA!$A:$A,[1]Table7_badETA!S:S,"-",0)</f>
        <v>391.15145999999999</v>
      </c>
    </row>
    <row r="294" spans="1:15" x14ac:dyDescent="0.2">
      <c r="A294" s="8" t="s">
        <v>305</v>
      </c>
      <c r="B294" s="8" cm="1">
        <f t="array" aca="1" ref="B294" ca="1">_xlfn.XLOOKUP(A294,[1]Table2_V5_w3C28!A:A,[1]Table2_V5_w3C28!B:B,nan(),0)</f>
        <v>0.76</v>
      </c>
      <c r="C294" s="8" cm="1">
        <f t="array" aca="1" ref="C294" ca="1">_xlfn.XLOOKUP(A294,[1]Table2_V5_w3C28!A:A,[1]Table2_V5_w3C28!D:D,nan(),0)</f>
        <v>359.92829999999998</v>
      </c>
      <c r="D294" s="8" cm="1">
        <f t="array" aca="1" ref="D294" ca="1">_xlfn.XLOOKUP(A294,[1]Table2_V5_w3C28!A:A,[1]Table2_V5_w3C28!E:E,nan(),0)</f>
        <v>-50.168799999999997</v>
      </c>
      <c r="E294" s="1">
        <f>_xlfn.XLOOKUP($A294,[1]Table7_badETA!$A:$A,[1]Table7_badETA!C:C,"-",0)</f>
        <v>5.5300000000000002E-2</v>
      </c>
      <c r="F294" s="1">
        <f>_xlfn.XLOOKUP($A294,[1]Table7_badETA!$A:$A,[1]Table7_badETA!E:E,"-",0)</f>
        <v>1.3350000000000001E-2</v>
      </c>
      <c r="G294" s="5">
        <f>_xlfn.XLOOKUP($A294,[1]Table7_badETA!$A:$A,[1]Table7_badETA!F:F,"-",0)</f>
        <v>6.4099999999999998E-8</v>
      </c>
      <c r="H294" s="6">
        <f>_xlfn.XLOOKUP($A294,[1]Table7_badETA!$A:$A,[1]Table7_badETA!H:H,"-",0)</f>
        <v>3.58E-7</v>
      </c>
      <c r="I294" s="2">
        <f>_xlfn.XLOOKUP($A294,[1]Table7_badETA!$A:$A,[1]Table7_badETA!M:M,"-",0)</f>
        <v>0.90500000000000003</v>
      </c>
      <c r="J294" s="2">
        <f>_xlfn.XLOOKUP($A294,[1]Table7_badETA!$A:$A,[1]Table7_badETA!O:O,"-",0)</f>
        <v>1.917E-2</v>
      </c>
      <c r="K294" s="2">
        <f>_xlfn.XLOOKUP($A294,[1]morph_04R500.dat!$A:$A,[1]morph_04R500.dat!P:P,"-",0)</f>
        <v>-51.52</v>
      </c>
      <c r="L294" s="2">
        <f>_xlfn.XLOOKUP($A294,[1]morph_04R500.dat!$A:$A,[1]morph_04R500.dat!R:R,"-",0)</f>
        <v>6.069</v>
      </c>
      <c r="M294" s="2" t="str">
        <f>_xlfn.XLOOKUP($A294,[1]Table7_badETA!$A:$A,[1]Table7_badETA!T:T,"-",0)</f>
        <v>-</v>
      </c>
      <c r="N294" s="2" t="str">
        <f>_xlfn.XLOOKUP($A294,[1]Table7_badETA!$A:$A,[1]Table7_badETA!U:U,"-",0)</f>
        <v>-</v>
      </c>
      <c r="O294" s="7">
        <f>_xlfn.XLOOKUP($A294,[1]Table7_badETA!$A:$A,[1]Table7_badETA!S:S,"-",0)</f>
        <v>270.29363000000001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Table2_v2</vt:lpstr>
      <vt:lpstr>Table3_v2</vt:lpstr>
      <vt:lpstr>Table5_v2</vt:lpstr>
      <vt:lpstr>Table6</vt:lpstr>
      <vt:lpstr>Table7</vt:lpstr>
      <vt:lpstr>Table2_v2!Table2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Donahue, Megan</dc:creator>
  <cp:lastModifiedBy>Donahue, Megan</cp:lastModifiedBy>
  <dcterms:created xsi:type="dcterms:W3CDTF">2024-12-28T16:01:54Z</dcterms:created>
  <dcterms:modified xsi:type="dcterms:W3CDTF">2025-07-17T20:04:55Z</dcterms:modified>
</cp:coreProperties>
</file>